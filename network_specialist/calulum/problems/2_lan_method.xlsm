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0E2F5161-4BC8-45FD-AF03-A67345AE0CC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レビュー" sheetId="2" r:id="rId1"/>
    <sheet name="format" sheetId="4" r:id="rId2"/>
    <sheet name="1" sheetId="9" r:id="rId3"/>
    <sheet name="2" sheetId="10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10" l="1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G2" i="10"/>
  <c r="F2" i="10"/>
  <c r="E18" i="9"/>
  <c r="E17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<sst xmlns="http://schemas.openxmlformats.org/spreadsheetml/2006/main" count="123" uniqueCount="47">
  <si>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</si>
  <si>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</si>
  <si>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</si>
  <si>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</si>
  <si>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</si>
  <si>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</si>
  <si>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</si>
  <si>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</si>
  <si>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</si>
  <si>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</si>
  <si>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</si>
  <si>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</si>
  <si>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オ</t>
    <phoneticPr fontId="1"/>
  </si>
  <si>
    <t>4</t>
    <phoneticPr fontId="1"/>
  </si>
  <si>
    <t>2</t>
    <phoneticPr fontId="1"/>
  </si>
  <si>
    <t>重点対策</t>
    <rPh sb="0" eb="4">
      <t>ジュウテンタイサク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</si>
  <si>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</si>
  <si>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</si>
  <si>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</si>
  <si>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</si>
  <si>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</si>
  <si>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3</t>
    <phoneticPr fontId="1"/>
  </si>
  <si>
    <t>PSE</t>
    <phoneticPr fontId="1"/>
  </si>
  <si>
    <t>PoE</t>
    <phoneticPr fontId="1"/>
  </si>
  <si>
    <t>奇数番号</t>
    <rPh sb="0" eb="4">
      <t>キスウバンゴウ</t>
    </rPh>
    <phoneticPr fontId="1"/>
  </si>
  <si>
    <t>IEEE802.3at</t>
    <phoneticPr fontId="1"/>
  </si>
  <si>
    <t>スタック接続が可能</t>
    <rPh sb="4" eb="6">
      <t>セツゾク</t>
    </rPh>
    <rPh sb="7" eb="9">
      <t>カノウ</t>
    </rPh>
    <phoneticPr fontId="1"/>
  </si>
  <si>
    <t>スタック専用ポートが存在</t>
    <rPh sb="4" eb="6">
      <t>センヨウ</t>
    </rPh>
    <rPh sb="10" eb="12">
      <t>ソンザイ</t>
    </rPh>
    <phoneticPr fontId="1"/>
  </si>
  <si>
    <t>inポートを接続しリングを構成する</t>
    <rPh sb="6" eb="8">
      <t>セツゾク</t>
    </rPh>
    <rPh sb="13" eb="15">
      <t>コウセイ</t>
    </rPh>
    <phoneticPr fontId="1"/>
  </si>
  <si>
    <t>交互にin-outを接続する</t>
    <rPh sb="0" eb="2">
      <t>コウゴ</t>
    </rPh>
    <rPh sb="10" eb="12">
      <t>セツゾク</t>
    </rPh>
    <phoneticPr fontId="1"/>
  </si>
  <si>
    <t>８ポートから降順に接続</t>
    <rPh sb="6" eb="8">
      <t>コウジュン</t>
    </rPh>
    <rPh sb="9" eb="11">
      <t>セツゾク</t>
    </rPh>
    <phoneticPr fontId="1"/>
  </si>
  <si>
    <t>残りポートは有線LAN</t>
    <rPh sb="0" eb="1">
      <t>ノコ</t>
    </rPh>
    <rPh sb="6" eb="8">
      <t>ユウセン</t>
    </rPh>
    <phoneticPr fontId="1"/>
  </si>
  <si>
    <t>トンネルに参加するとトンネル</t>
    <rPh sb="5" eb="7">
      <t>サンカ</t>
    </rPh>
    <phoneticPr fontId="1"/>
  </si>
  <si>
    <t>データ用通信の流れ</t>
    <rPh sb="3" eb="4">
      <t>ヨウ</t>
    </rPh>
    <rPh sb="4" eb="6">
      <t>ツウシン</t>
    </rPh>
    <rPh sb="7" eb="8">
      <t>ナガ</t>
    </rPh>
    <phoneticPr fontId="1"/>
  </si>
  <si>
    <t>WLCとAPのトンネル構築</t>
    <rPh sb="11" eb="13">
      <t>コウチク</t>
    </rPh>
    <phoneticPr fontId="1"/>
  </si>
  <si>
    <t>PC1→AP1→L2SW1→L3SW1→WLC→L3SW1→L3SW2→サーバ1</t>
    <phoneticPr fontId="1"/>
  </si>
  <si>
    <t>モードAはWLCが停止</t>
    <rPh sb="9" eb="11">
      <t>テイシ</t>
    </rPh>
    <phoneticPr fontId="1"/>
  </si>
  <si>
    <t>モードAでテスト</t>
    <phoneticPr fontId="1"/>
  </si>
  <si>
    <t>PCがLANにつながらない</t>
    <phoneticPr fontId="1"/>
  </si>
  <si>
    <t>データ用通信はWLCを経由しないので影響はない</t>
    <rPh sb="3" eb="4">
      <t>ヨウ</t>
    </rPh>
    <rPh sb="4" eb="6">
      <t>ツウシン</t>
    </rPh>
    <rPh sb="11" eb="13">
      <t>ケイユ</t>
    </rPh>
    <rPh sb="18" eb="20">
      <t>エイキョウ</t>
    </rPh>
    <phoneticPr fontId="1"/>
  </si>
  <si>
    <t>PC再起動</t>
    <rPh sb="2" eb="5">
      <t>サイキドウ</t>
    </rPh>
    <phoneticPr fontId="1"/>
  </si>
  <si>
    <t>ローミング</t>
    <phoneticPr fontId="1"/>
  </si>
  <si>
    <t>WLCとAPの間にトンネルが構築されず通信が出来なくなるため</t>
    <rPh sb="7" eb="8">
      <t>アイダ</t>
    </rPh>
    <rPh sb="14" eb="16">
      <t>コウチク</t>
    </rPh>
    <rPh sb="19" eb="21">
      <t>ツウシン</t>
    </rPh>
    <rPh sb="22" eb="24">
      <t>デキ</t>
    </rPh>
    <phoneticPr fontId="1"/>
  </si>
  <si>
    <t>WLCの処理能力</t>
    <rPh sb="4" eb="8">
      <t>ショリノウリョク</t>
    </rPh>
    <phoneticPr fontId="1"/>
  </si>
  <si>
    <t>広域イーサネットの帯域</t>
    <rPh sb="0" eb="2">
      <t>コウイキ</t>
    </rPh>
    <rPh sb="9" eb="11">
      <t>タイイキ</t>
    </rPh>
    <phoneticPr fontId="1"/>
  </si>
  <si>
    <t>本社無線LABの津伸もBCを経由するため、広域イーサネット網の通信量が増加する</t>
    <rPh sb="0" eb="2">
      <t>ホンシャ</t>
    </rPh>
    <rPh sb="2" eb="4">
      <t>ムセン</t>
    </rPh>
    <rPh sb="8" eb="10">
      <t>ツシン</t>
    </rPh>
    <rPh sb="14" eb="16">
      <t>ケイユ</t>
    </rPh>
    <rPh sb="21" eb="23">
      <t>コウイキ</t>
    </rPh>
    <rPh sb="29" eb="30">
      <t>アミ</t>
    </rPh>
    <rPh sb="31" eb="34">
      <t>ツウシンリョウ</t>
    </rPh>
    <rPh sb="35" eb="37">
      <t>ゾウカ</t>
    </rPh>
    <phoneticPr fontId="1"/>
  </si>
  <si>
    <t>本社からDCへの通信がBCを経由しなくなる</t>
    <rPh sb="0" eb="2">
      <t>ホンシャ</t>
    </rPh>
    <rPh sb="8" eb="10">
      <t>ツウシン</t>
    </rPh>
    <rPh sb="14" eb="16">
      <t>ケイユ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</si>
</sst>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A2" sqref="A2: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DFC5-9F53-4462-B8C3-7C3B56B6694E}">
  <sheetPr codeName="Sheet4"/>
  <dimension ref="A1:P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7" sqref="G1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6">
      <c r="A1" s="2" t="s">
        <v>0</v>
      </c>
      <c r="D1" s="1" t="s">
        <v>15</v>
      </c>
    </row>
    <row r="2" spans="1:16">
      <c r="A2" s="2" t="s">
        <v>2</v>
      </c>
      <c r="D2" s="3" t="s">
        <v>16</v>
      </c>
      <c r="F2">
        <f>SUM(F4:F1000)</f>
        <v>50</v>
      </c>
      <c r="G2">
        <f>SUM(G4:G1000)</f>
        <v>28</v>
      </c>
    </row>
    <row r="3" spans="1:16">
      <c r="A3" s="2" t="s">
        <v>1</v>
      </c>
      <c r="D3" s="1" t="s">
        <v>3</v>
      </c>
      <c r="E3" t="s">
        <v>6</v>
      </c>
      <c r="F3" t="s">
        <v>4</v>
      </c>
      <c r="G3" t="s">
        <v>5</v>
      </c>
    </row>
    <row r="4" spans="1:16">
      <c r="A4" s="2" t="s">
        <v>16</v>
      </c>
      <c r="B4" s="2" t="s">
        <v>16</v>
      </c>
      <c r="C4" s="2" t="s">
        <v>17</v>
      </c>
      <c r="D4" s="1">
        <v>802.3</v>
      </c>
      <c r="E4">
        <f>IF(D4&lt;&gt;"",LEN(D4),"")</f>
        <v>5</v>
      </c>
      <c r="F4">
        <v>2</v>
      </c>
      <c r="G4">
        <v>0</v>
      </c>
      <c r="J4" t="s">
        <v>26</v>
      </c>
      <c r="M4" t="s">
        <v>30</v>
      </c>
      <c r="P4" t="s">
        <v>36</v>
      </c>
    </row>
    <row r="5" spans="1:16">
      <c r="C5" s="2" t="s">
        <v>18</v>
      </c>
      <c r="D5" s="1" t="s">
        <v>22</v>
      </c>
      <c r="E5">
        <f t="shared" ref="E5:E68" si="0">IF(D5&lt;&gt;"",LEN(D5),"")</f>
        <v>3</v>
      </c>
      <c r="F5">
        <v>2</v>
      </c>
      <c r="G5">
        <v>0</v>
      </c>
      <c r="J5" t="s">
        <v>27</v>
      </c>
      <c r="M5" t="s">
        <v>31</v>
      </c>
      <c r="P5" t="s">
        <v>37</v>
      </c>
    </row>
    <row r="6" spans="1:16">
      <c r="C6" s="2" t="s">
        <v>19</v>
      </c>
      <c r="D6" s="1" t="s">
        <v>23</v>
      </c>
      <c r="E6">
        <f t="shared" si="0"/>
        <v>3</v>
      </c>
      <c r="F6">
        <v>2</v>
      </c>
      <c r="G6">
        <v>0</v>
      </c>
      <c r="J6" t="s">
        <v>28</v>
      </c>
      <c r="M6" t="s">
        <v>32</v>
      </c>
      <c r="P6" t="s">
        <v>38</v>
      </c>
    </row>
    <row r="7" spans="1:16">
      <c r="C7" s="2" t="s">
        <v>20</v>
      </c>
      <c r="D7" s="1" t="s">
        <v>24</v>
      </c>
      <c r="E7">
        <f t="shared" si="0"/>
        <v>4</v>
      </c>
      <c r="F7">
        <v>2</v>
      </c>
      <c r="G7">
        <v>2</v>
      </c>
      <c r="J7" t="s">
        <v>34</v>
      </c>
      <c r="M7" t="s">
        <v>33</v>
      </c>
    </row>
    <row r="8" spans="1:16">
      <c r="C8" s="2" t="s">
        <v>12</v>
      </c>
      <c r="D8" s="1" t="s">
        <v>25</v>
      </c>
      <c r="E8">
        <f t="shared" si="0"/>
        <v>11</v>
      </c>
      <c r="F8">
        <v>2</v>
      </c>
      <c r="G8">
        <v>0</v>
      </c>
    </row>
    <row r="9" spans="1:16">
      <c r="B9" s="2" t="s">
        <v>14</v>
      </c>
      <c r="D9" s="1" t="s">
        <v>29</v>
      </c>
      <c r="E9">
        <f t="shared" si="0"/>
        <v>14</v>
      </c>
      <c r="F9">
        <v>4</v>
      </c>
      <c r="G9">
        <v>4</v>
      </c>
    </row>
    <row r="10" spans="1:16">
      <c r="A10" s="2" t="s">
        <v>14</v>
      </c>
      <c r="B10" s="2" t="s">
        <v>16</v>
      </c>
      <c r="D10" s="1" t="s">
        <v>35</v>
      </c>
      <c r="E10">
        <f t="shared" si="0"/>
        <v>40</v>
      </c>
      <c r="F10">
        <v>4</v>
      </c>
      <c r="G10">
        <v>4</v>
      </c>
    </row>
    <row r="11" spans="1:16">
      <c r="B11" s="2" t="s">
        <v>14</v>
      </c>
      <c r="D11" s="1" t="s">
        <v>39</v>
      </c>
      <c r="E11">
        <f t="shared" si="0"/>
        <v>23</v>
      </c>
      <c r="F11">
        <v>4</v>
      </c>
      <c r="G11">
        <v>2</v>
      </c>
    </row>
    <row r="12" spans="1:16">
      <c r="B12" s="2" t="s">
        <v>21</v>
      </c>
      <c r="C12" s="2" t="s">
        <v>16</v>
      </c>
      <c r="D12" s="1" t="s">
        <v>40</v>
      </c>
      <c r="E12">
        <f t="shared" si="0"/>
        <v>5</v>
      </c>
      <c r="F12">
        <v>4</v>
      </c>
      <c r="G12">
        <v>0</v>
      </c>
    </row>
    <row r="13" spans="1:16">
      <c r="C13" s="2" t="s">
        <v>14</v>
      </c>
      <c r="D13" s="1" t="s">
        <v>41</v>
      </c>
      <c r="E13">
        <f t="shared" si="0"/>
        <v>5</v>
      </c>
      <c r="F13">
        <v>4</v>
      </c>
      <c r="G13">
        <v>0</v>
      </c>
    </row>
    <row r="14" spans="1:16">
      <c r="A14" s="2" t="s">
        <v>21</v>
      </c>
      <c r="B14" s="2" t="s">
        <v>16</v>
      </c>
      <c r="D14" s="1" t="s">
        <v>42</v>
      </c>
      <c r="E14">
        <f t="shared" si="0"/>
        <v>30</v>
      </c>
      <c r="F14">
        <v>4</v>
      </c>
      <c r="G14">
        <v>2</v>
      </c>
    </row>
    <row r="15" spans="1:16">
      <c r="B15" s="2" t="s">
        <v>14</v>
      </c>
      <c r="C15" s="2" t="s">
        <v>16</v>
      </c>
      <c r="D15" s="1" t="s">
        <v>43</v>
      </c>
      <c r="E15">
        <f t="shared" si="0"/>
        <v>8</v>
      </c>
      <c r="F15">
        <v>4</v>
      </c>
      <c r="G15">
        <v>2</v>
      </c>
    </row>
    <row r="16" spans="1:16">
      <c r="C16" s="2" t="s">
        <v>14</v>
      </c>
      <c r="D16" s="1" t="s">
        <v>44</v>
      </c>
      <c r="E16">
        <f t="shared" si="0"/>
        <v>11</v>
      </c>
      <c r="F16">
        <v>4</v>
      </c>
      <c r="G16">
        <v>4</v>
      </c>
    </row>
    <row r="17" spans="2:7">
      <c r="B17" s="2" t="s">
        <v>21</v>
      </c>
      <c r="D17" s="1" t="s">
        <v>45</v>
      </c>
      <c r="E17">
        <f t="shared" si="0"/>
        <v>39</v>
      </c>
      <c r="F17">
        <v>4</v>
      </c>
      <c r="G17">
        <v>4</v>
      </c>
    </row>
    <row r="18" spans="2:7">
      <c r="B18" s="2" t="s">
        <v>13</v>
      </c>
      <c r="D18" s="1" t="s">
        <v>46</v>
      </c>
      <c r="E18">
        <f t="shared" si="0"/>
        <v>21</v>
      </c>
      <c r="F18">
        <v>4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72F2-C33F-42B2-81D3-9044BD3100BB}">
  <sheetPr codeName="Sheet5"/>
  <dimension ref="A1:P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0" sqref="D30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6">
      <c r="A1" s="2" t="s">
        <v>0</v>
      </c>
      <c r="D1" s="1" t="s">
        <v>15</v>
      </c>
    </row>
    <row r="2" spans="1:16">
      <c r="A2" s="2" t="s">
        <v>2</v>
      </c>
      <c r="D2" s="3" t="s">
        <v>16</v>
      </c>
      <c r="F2">
        <f>SUM(F4:F1000)</f>
        <v>50</v>
      </c>
      <c r="G2">
        <f>SUM(G4:G1000)</f>
        <v>28</v>
      </c>
    </row>
    <row r="3" spans="1:16">
      <c r="A3" s="2" t="s">
        <v>1</v>
      </c>
      <c r="D3" s="1" t="s">
        <v>3</v>
      </c>
      <c r="E3" t="s">
        <v>6</v>
      </c>
      <c r="F3" t="s">
        <v>4</v>
      </c>
      <c r="G3" t="s">
        <v>5</v>
      </c>
    </row>
    <row r="4" spans="1:16">
      <c r="A4" s="2" t="s">
        <v>16</v>
      </c>
      <c r="B4" s="2" t="s">
        <v>16</v>
      </c>
      <c r="C4" s="2" t="s">
        <v>17</v>
      </c>
      <c r="D4" s="1">
        <v>802.3</v>
      </c>
      <c r="E4">
        <f>IF(D4&lt;&gt;"",LEN(D4),"")</f>
        <v>5</v>
      </c>
      <c r="F4">
        <v>2</v>
      </c>
      <c r="G4">
        <v>0</v>
      </c>
      <c r="J4" t="s">
        <v>26</v>
      </c>
      <c r="M4" t="s">
        <v>30</v>
      </c>
      <c r="P4" t="s">
        <v>36</v>
      </c>
    </row>
    <row r="5" spans="1:16">
      <c r="C5" s="2" t="s">
        <v>18</v>
      </c>
      <c r="D5" s="1" t="s">
        <v>22</v>
      </c>
      <c r="E5">
        <f t="shared" ref="E5:E68" si="0">IF(D5&lt;&gt;"",LEN(D5),"")</f>
        <v>3</v>
      </c>
      <c r="F5">
        <v>2</v>
      </c>
      <c r="G5">
        <v>0</v>
      </c>
      <c r="J5" t="s">
        <v>27</v>
      </c>
      <c r="M5" t="s">
        <v>31</v>
      </c>
      <c r="P5" t="s">
        <v>37</v>
      </c>
    </row>
    <row r="6" spans="1:16">
      <c r="C6" s="2" t="s">
        <v>19</v>
      </c>
      <c r="D6" s="1" t="s">
        <v>23</v>
      </c>
      <c r="E6">
        <f t="shared" si="0"/>
        <v>3</v>
      </c>
      <c r="F6">
        <v>2</v>
      </c>
      <c r="G6">
        <v>0</v>
      </c>
      <c r="J6" t="s">
        <v>28</v>
      </c>
      <c r="M6" t="s">
        <v>32</v>
      </c>
      <c r="P6" t="s">
        <v>38</v>
      </c>
    </row>
    <row r="7" spans="1:16">
      <c r="C7" s="2" t="s">
        <v>20</v>
      </c>
      <c r="D7" s="1" t="s">
        <v>24</v>
      </c>
      <c r="E7">
        <f t="shared" si="0"/>
        <v>4</v>
      </c>
      <c r="F7">
        <v>2</v>
      </c>
      <c r="G7">
        <v>2</v>
      </c>
      <c r="J7" t="s">
        <v>34</v>
      </c>
      <c r="M7" t="s">
        <v>33</v>
      </c>
    </row>
    <row r="8" spans="1:16">
      <c r="C8" s="2" t="s">
        <v>12</v>
      </c>
      <c r="D8" s="1" t="s">
        <v>25</v>
      </c>
      <c r="E8">
        <f t="shared" si="0"/>
        <v>11</v>
      </c>
      <c r="F8">
        <v>2</v>
      </c>
      <c r="G8">
        <v>0</v>
      </c>
    </row>
    <row r="9" spans="1:16">
      <c r="B9" s="2" t="s">
        <v>14</v>
      </c>
      <c r="D9" s="1" t="s">
        <v>29</v>
      </c>
      <c r="E9">
        <f t="shared" si="0"/>
        <v>14</v>
      </c>
      <c r="F9">
        <v>4</v>
      </c>
      <c r="G9">
        <v>4</v>
      </c>
    </row>
    <row r="10" spans="1:16">
      <c r="A10" s="2" t="s">
        <v>14</v>
      </c>
      <c r="B10" s="2" t="s">
        <v>16</v>
      </c>
      <c r="D10" s="1" t="s">
        <v>35</v>
      </c>
      <c r="E10">
        <f t="shared" si="0"/>
        <v>40</v>
      </c>
      <c r="F10">
        <v>4</v>
      </c>
      <c r="G10">
        <v>4</v>
      </c>
    </row>
    <row r="11" spans="1:16">
      <c r="B11" s="2" t="s">
        <v>14</v>
      </c>
      <c r="D11" s="1" t="s">
        <v>39</v>
      </c>
      <c r="E11">
        <f t="shared" si="0"/>
        <v>23</v>
      </c>
      <c r="F11">
        <v>4</v>
      </c>
      <c r="G11">
        <v>2</v>
      </c>
    </row>
    <row r="12" spans="1:16">
      <c r="B12" s="2" t="s">
        <v>21</v>
      </c>
      <c r="C12" s="2" t="s">
        <v>16</v>
      </c>
      <c r="D12" s="1" t="s">
        <v>40</v>
      </c>
      <c r="E12">
        <f t="shared" si="0"/>
        <v>5</v>
      </c>
      <c r="F12">
        <v>4</v>
      </c>
      <c r="G12">
        <v>0</v>
      </c>
    </row>
    <row r="13" spans="1:16">
      <c r="C13" s="2" t="s">
        <v>14</v>
      </c>
      <c r="D13" s="1" t="s">
        <v>41</v>
      </c>
      <c r="E13">
        <f t="shared" si="0"/>
        <v>5</v>
      </c>
      <c r="F13">
        <v>4</v>
      </c>
      <c r="G13">
        <v>0</v>
      </c>
    </row>
    <row r="14" spans="1:16">
      <c r="A14" s="2" t="s">
        <v>21</v>
      </c>
      <c r="B14" s="2" t="s">
        <v>16</v>
      </c>
      <c r="D14" s="1" t="s">
        <v>42</v>
      </c>
      <c r="E14">
        <f t="shared" si="0"/>
        <v>30</v>
      </c>
      <c r="F14">
        <v>4</v>
      </c>
      <c r="G14">
        <v>2</v>
      </c>
    </row>
    <row r="15" spans="1:16">
      <c r="B15" s="2" t="s">
        <v>14</v>
      </c>
      <c r="C15" s="2" t="s">
        <v>16</v>
      </c>
      <c r="D15" s="1" t="s">
        <v>43</v>
      </c>
      <c r="E15">
        <f t="shared" si="0"/>
        <v>8</v>
      </c>
      <c r="F15">
        <v>4</v>
      </c>
      <c r="G15">
        <v>2</v>
      </c>
    </row>
    <row r="16" spans="1:16">
      <c r="C16" s="2" t="s">
        <v>14</v>
      </c>
      <c r="D16" s="1" t="s">
        <v>44</v>
      </c>
      <c r="E16">
        <f t="shared" si="0"/>
        <v>11</v>
      </c>
      <c r="F16">
        <v>4</v>
      </c>
      <c r="G16">
        <v>4</v>
      </c>
    </row>
    <row r="17" spans="2:7">
      <c r="B17" s="2" t="s">
        <v>21</v>
      </c>
      <c r="D17" s="1" t="s">
        <v>45</v>
      </c>
      <c r="E17">
        <f t="shared" si="0"/>
        <v>39</v>
      </c>
      <c r="F17">
        <v>4</v>
      </c>
      <c r="G17">
        <v>4</v>
      </c>
    </row>
    <row r="18" spans="2:7">
      <c r="B18" s="2" t="s">
        <v>13</v>
      </c>
      <c r="D18" s="1" t="s">
        <v>46</v>
      </c>
      <c r="E18">
        <f t="shared" si="0"/>
        <v>21</v>
      </c>
      <c r="F18">
        <v>4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2026-01-11T04:09:50Z</dcterms:modified>
</cp:coreProperties>
</file>