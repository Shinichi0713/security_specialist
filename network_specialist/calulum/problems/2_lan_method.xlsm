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D171BE3E-1CE0-4FCB-BAC1-B284D29604EB}" xr6:coauthVersionLast="47" xr6:coauthVersionMax="47" xr10:uidLastSave="{00000000-0000-0000-0000-000000000000}"/>
  <bookViews>
    <workbookView xWindow="900" yWindow="150" windowWidth="21285" windowHeight="14580" activeTab="4" xr2:uid="{00000000-000D-0000-FFFF-FFFF00000000}"/>
  </bookViews>
  <sheets>
    <sheet name="レビュー" sheetId="2" r:id="rId1"/>
    <sheet name="format" sheetId="4" r:id="rId2"/>
    <sheet name="1" sheetId="9" r:id="rId3"/>
    <sheet name="2" sheetId="10" r:id="rId4"/>
    <sheet name="3" sheetId="11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11" l="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G2" i="11"/>
  <c r="F2" i="11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G2" i="10"/>
  <c r="F2" i="10"/>
  <c r="E18" i="9"/>
  <c r="E17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<sst xmlns="http://schemas.openxmlformats.org/spreadsheetml/2006/main" count="184" uniqueCount="96">
  <si>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</si>
  <si>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</si>
  <si>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</si>
  <si>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</si>
  <si>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</si>
  <si>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</si>
  <si>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</si>
  <si>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</si>
  <si>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</si>
  <si>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</si>
  <si>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</si>
  <si>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</si>
  <si>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オ</t>
    <phoneticPr fontId="1"/>
  </si>
  <si>
    <t>4</t>
    <phoneticPr fontId="1"/>
  </si>
  <si>
    <t>2</t>
    <phoneticPr fontId="1"/>
  </si>
  <si>
    <t>重点対策</t>
    <rPh sb="0" eb="4">
      <t>ジュウテンタイサク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</si>
  <si>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</si>
  <si>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</si>
  <si>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</si>
  <si>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</si>
  <si>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</si>
  <si>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3</t>
    <phoneticPr fontId="1"/>
  </si>
  <si>
    <t>PSE</t>
    <phoneticPr fontId="1"/>
  </si>
  <si>
    <t>PoE</t>
    <phoneticPr fontId="1"/>
  </si>
  <si>
    <t>奇数番号</t>
    <rPh sb="0" eb="4">
      <t>キスウバンゴウ</t>
    </rPh>
    <phoneticPr fontId="1"/>
  </si>
  <si>
    <t>IEEE802.3at</t>
    <phoneticPr fontId="1"/>
  </si>
  <si>
    <t>スタック接続が可能</t>
    <rPh sb="4" eb="6">
      <t>セツゾク</t>
    </rPh>
    <rPh sb="7" eb="9">
      <t>カノウ</t>
    </rPh>
    <phoneticPr fontId="1"/>
  </si>
  <si>
    <t>スタック専用ポートが存在</t>
    <rPh sb="4" eb="6">
      <t>センヨウ</t>
    </rPh>
    <rPh sb="10" eb="12">
      <t>ソンザイ</t>
    </rPh>
    <phoneticPr fontId="1"/>
  </si>
  <si>
    <t>inポートを接続しリングを構成する</t>
    <rPh sb="6" eb="8">
      <t>セツゾク</t>
    </rPh>
    <rPh sb="13" eb="15">
      <t>コウセイ</t>
    </rPh>
    <phoneticPr fontId="1"/>
  </si>
  <si>
    <t>交互にin-outを接続する</t>
    <rPh sb="0" eb="2">
      <t>コウゴ</t>
    </rPh>
    <rPh sb="10" eb="12">
      <t>セツゾク</t>
    </rPh>
    <phoneticPr fontId="1"/>
  </si>
  <si>
    <t>８ポートから降順に接続</t>
    <rPh sb="6" eb="8">
      <t>コウジュン</t>
    </rPh>
    <rPh sb="9" eb="11">
      <t>セツゾク</t>
    </rPh>
    <phoneticPr fontId="1"/>
  </si>
  <si>
    <t>残りポートは有線LAN</t>
    <rPh sb="0" eb="1">
      <t>ノコ</t>
    </rPh>
    <rPh sb="6" eb="8">
      <t>ユウセン</t>
    </rPh>
    <phoneticPr fontId="1"/>
  </si>
  <si>
    <t>トンネルに参加するとトンネル</t>
    <rPh sb="5" eb="7">
      <t>サンカ</t>
    </rPh>
    <phoneticPr fontId="1"/>
  </si>
  <si>
    <t>データ用通信の流れ</t>
    <rPh sb="3" eb="4">
      <t>ヨウ</t>
    </rPh>
    <rPh sb="4" eb="6">
      <t>ツウシン</t>
    </rPh>
    <rPh sb="7" eb="8">
      <t>ナガ</t>
    </rPh>
    <phoneticPr fontId="1"/>
  </si>
  <si>
    <t>WLCとAPのトンネル構築</t>
    <rPh sb="11" eb="13">
      <t>コウチク</t>
    </rPh>
    <phoneticPr fontId="1"/>
  </si>
  <si>
    <t>PC1→AP1→L2SW1→L3SW1→WLC→L3SW1→L3SW2→サーバ1</t>
    <phoneticPr fontId="1"/>
  </si>
  <si>
    <t>モードAはWLCが停止</t>
    <rPh sb="9" eb="11">
      <t>テイシ</t>
    </rPh>
    <phoneticPr fontId="1"/>
  </si>
  <si>
    <t>モードAでテスト</t>
    <phoneticPr fontId="1"/>
  </si>
  <si>
    <t>PCがLANにつながらない</t>
    <phoneticPr fontId="1"/>
  </si>
  <si>
    <t>データ用通信はWLCを経由しないので影響はない</t>
    <rPh sb="3" eb="4">
      <t>ヨウ</t>
    </rPh>
    <rPh sb="4" eb="6">
      <t>ツウシン</t>
    </rPh>
    <rPh sb="11" eb="13">
      <t>ケイユ</t>
    </rPh>
    <rPh sb="18" eb="20">
      <t>エイキョウ</t>
    </rPh>
    <phoneticPr fontId="1"/>
  </si>
  <si>
    <t>PC再起動</t>
    <rPh sb="2" eb="5">
      <t>サイキドウ</t>
    </rPh>
    <phoneticPr fontId="1"/>
  </si>
  <si>
    <t>ローミング</t>
    <phoneticPr fontId="1"/>
  </si>
  <si>
    <t>WLCとAPの間にトンネルが構築されず通信が出来なくなるため</t>
    <rPh sb="7" eb="8">
      <t>アイダ</t>
    </rPh>
    <rPh sb="14" eb="16">
      <t>コウチク</t>
    </rPh>
    <rPh sb="19" eb="21">
      <t>ツウシン</t>
    </rPh>
    <rPh sb="22" eb="24">
      <t>デキ</t>
    </rPh>
    <phoneticPr fontId="1"/>
  </si>
  <si>
    <t>WLCの処理能力</t>
    <rPh sb="4" eb="8">
      <t>ショリノウリョク</t>
    </rPh>
    <phoneticPr fontId="1"/>
  </si>
  <si>
    <t>広域イーサネットの帯域</t>
    <rPh sb="0" eb="2">
      <t>コウイキ</t>
    </rPh>
    <rPh sb="9" eb="11">
      <t>タイイキ</t>
    </rPh>
    <phoneticPr fontId="1"/>
  </si>
  <si>
    <t>本社無線LABの津伸もBCを経由するため、広域イーサネット網の通信量が増加する</t>
    <rPh sb="0" eb="2">
      <t>ホンシャ</t>
    </rPh>
    <rPh sb="2" eb="4">
      <t>ムセン</t>
    </rPh>
    <rPh sb="8" eb="10">
      <t>ツシン</t>
    </rPh>
    <rPh sb="14" eb="16">
      <t>ケイユ</t>
    </rPh>
    <rPh sb="21" eb="23">
      <t>コウイキ</t>
    </rPh>
    <rPh sb="29" eb="30">
      <t>アミ</t>
    </rPh>
    <rPh sb="31" eb="34">
      <t>ツウシンリョウ</t>
    </rPh>
    <rPh sb="35" eb="37">
      <t>ゾウカ</t>
    </rPh>
    <phoneticPr fontId="1"/>
  </si>
  <si>
    <t>本社からDCへの通信がBCを経由しなくなる</t>
    <rPh sb="0" eb="2">
      <t>ホンシャ</t>
    </rPh>
    <rPh sb="8" eb="10">
      <t>ツウシン</t>
    </rPh>
    <rPh sb="14" eb="16">
      <t>ケイユ</t>
    </rPh>
    <phoneticPr fontId="1"/>
  </si>
  <si>
    <t>中継運送業者</t>
    <rPh sb="0" eb="2">
      <t>チュウケイ</t>
    </rPh>
    <rPh sb="2" eb="6">
      <t>ウンソウギョウシャ</t>
    </rPh>
    <phoneticPr fontId="1"/>
  </si>
  <si>
    <t>半管理システム</t>
    <rPh sb="0" eb="3">
      <t>ハンカンリ</t>
    </rPh>
    <phoneticPr fontId="1"/>
  </si>
  <si>
    <t>モバイルネットワーク</t>
    <phoneticPr fontId="1"/>
  </si>
  <si>
    <t>タブレットとモバイルはLTE回線</t>
    <rPh sb="14" eb="16">
      <t>カイセン</t>
    </rPh>
    <phoneticPr fontId="1"/>
  </si>
  <si>
    <t>タブレット構成</t>
    <rPh sb="5" eb="7">
      <t>コウセイ</t>
    </rPh>
    <phoneticPr fontId="1"/>
  </si>
  <si>
    <t>無線LANLTE経由</t>
    <rPh sb="0" eb="2">
      <t>ムセン</t>
    </rPh>
    <rPh sb="8" eb="10">
      <t>ケイユ</t>
    </rPh>
    <phoneticPr fontId="1"/>
  </si>
  <si>
    <t>導入予定のモバイルWiFI</t>
    <rPh sb="0" eb="4">
      <t>ドウニュウヨテイ</t>
    </rPh>
    <phoneticPr fontId="1"/>
  </si>
  <si>
    <t>定期的に送信するビーコン信号を停止する</t>
    <rPh sb="0" eb="3">
      <t>テイキテキ</t>
    </rPh>
    <rPh sb="4" eb="6">
      <t>ソウシン</t>
    </rPh>
    <rPh sb="12" eb="14">
      <t>シンゴウ</t>
    </rPh>
    <rPh sb="15" eb="17">
      <t>テイシ</t>
    </rPh>
    <phoneticPr fontId="1"/>
  </si>
  <si>
    <t>SSIDやMACアドレスは暗号化できないため、傍受される</t>
    <rPh sb="13" eb="16">
      <t>アンゴウカ</t>
    </rPh>
    <rPh sb="23" eb="25">
      <t>ボウジュ</t>
    </rPh>
    <phoneticPr fontId="1"/>
  </si>
  <si>
    <t>E</t>
    <phoneticPr fontId="1"/>
  </si>
  <si>
    <t>内部IPアドレスが使われているところはダメ</t>
    <rPh sb="0" eb="2">
      <t>ナイブ</t>
    </rPh>
    <rPh sb="9" eb="10">
      <t>ツカ</t>
    </rPh>
    <phoneticPr fontId="1"/>
  </si>
  <si>
    <t>AES</t>
    <phoneticPr fontId="1"/>
  </si>
  <si>
    <t>IEEE802.1Q</t>
    <phoneticPr fontId="1"/>
  </si>
  <si>
    <t>Simカード</t>
    <phoneticPr fontId="1"/>
  </si>
  <si>
    <t>デフォルトゲートウェイ</t>
    <phoneticPr fontId="1"/>
  </si>
  <si>
    <t>NAPT</t>
    <phoneticPr fontId="1"/>
  </si>
  <si>
    <t>APN</t>
    <phoneticPr fontId="1"/>
  </si>
  <si>
    <t>PSK</t>
    <phoneticPr fontId="1"/>
  </si>
  <si>
    <t>VPN接続の利用者IDを無効する</t>
    <rPh sb="3" eb="5">
      <t>セツゾク</t>
    </rPh>
    <rPh sb="6" eb="9">
      <t>リヨウシャ</t>
    </rPh>
    <rPh sb="12" eb="14">
      <t>ムコウ</t>
    </rPh>
    <phoneticPr fontId="1"/>
  </si>
  <si>
    <t>内部DNSサーバとプロキシサーバへの通信</t>
    <rPh sb="0" eb="2">
      <t>ナイブ</t>
    </rPh>
    <rPh sb="18" eb="20">
      <t>ツウシン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</si>
  <si>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</si>
  <si>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</si>
  <si>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</si>
  <si>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</si>
  <si>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</si>
  <si>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</si>
  <si>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</si>
  <si>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</si>
  <si>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</si>
  <si>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</si>
  <si>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5</t>
    <phoneticPr fontId="1"/>
  </si>
  <si>
    <t>6</t>
    <phoneticPr fontId="1"/>
  </si>
  <si>
    <t>Yはネットワーク関連会社</t>
    <rPh sb="8" eb="10">
      <t>カンレン</t>
    </rPh>
    <rPh sb="10" eb="12">
      <t>カイシャ</t>
    </rPh>
    <phoneticPr fontId="1"/>
  </si>
  <si>
    <t>オフィスビルの2フロア</t>
    <phoneticPr fontId="1"/>
  </si>
  <si>
    <t>本社と営業所</t>
    <rPh sb="0" eb="2">
      <t>ホンシャ</t>
    </rPh>
    <rPh sb="3" eb="6">
      <t>エイギョウショ</t>
    </rPh>
    <phoneticPr fontId="1"/>
  </si>
  <si>
    <t>NPCにWiFIルータ</t>
    <phoneticPr fontId="1"/>
  </si>
  <si>
    <t>メール送受信</t>
    <rPh sb="3" eb="6">
      <t>ソウジュシン</t>
    </rPh>
    <phoneticPr fontId="1"/>
  </si>
  <si>
    <t>有線LAN</t>
    <rPh sb="0" eb="2">
      <t>ユウセン</t>
    </rPh>
    <phoneticPr fontId="1"/>
  </si>
  <si>
    <t>同一VLAN</t>
    <rPh sb="0" eb="2">
      <t>ドウイツ</t>
    </rPh>
    <phoneticPr fontId="1"/>
  </si>
  <si>
    <t>オフィスエリア</t>
    <phoneticPr fontId="1"/>
  </si>
  <si>
    <t>来訪者NPC</t>
    <rPh sb="0" eb="3">
      <t>ライホウシャ</t>
    </rPh>
    <phoneticPr fontId="1"/>
  </si>
  <si>
    <t>LTE回線</t>
    <rPh sb="3" eb="5">
      <t>カイセン</t>
    </rPh>
    <phoneticPr fontId="1"/>
  </si>
  <si>
    <t>応接室</t>
    <rPh sb="0" eb="3">
      <t>オウセツシツ</t>
    </rPh>
    <phoneticPr fontId="1"/>
  </si>
  <si>
    <t>wirelesss LAN</t>
    <phoneticPr fontId="1"/>
  </si>
  <si>
    <t>データ暗号化方式</t>
    <rPh sb="3" eb="6">
      <t>アンゴウカ</t>
    </rPh>
    <rPh sb="6" eb="8">
      <t>ホウシキ</t>
    </rPh>
    <phoneticPr fontId="1"/>
  </si>
  <si>
    <t>無線LAN技術</t>
    <rPh sb="0" eb="2">
      <t>ムセン</t>
    </rPh>
    <rPh sb="5" eb="7">
      <t>ギジュツ</t>
    </rPh>
    <phoneticPr fontId="1"/>
  </si>
  <si>
    <t>any</t>
    <phoneticPr fontId="1"/>
  </si>
  <si>
    <t>共通</t>
    <rPh sb="0" eb="2">
      <t>キョウツウ</t>
    </rPh>
    <phoneticPr fontId="1"/>
  </si>
  <si>
    <t>802.11i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</si>
</sst>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A2" sqref="A2: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DFC5-9F53-4462-B8C3-7C3B56B6694E}">
  <sheetPr codeName="Sheet4"/>
  <dimension ref="A1:P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activeCellId="2" sqref="A1:C1 A2:C2 A3:C3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6">
      <c r="A1" s="4" t="s">
        <v>0</v>
      </c>
      <c r="B1" s="4"/>
      <c r="C1" s="4"/>
      <c r="D1" s="1" t="s">
        <v>15</v>
      </c>
    </row>
    <row r="2" spans="1:16">
      <c r="A2" s="4" t="s">
        <v>2</v>
      </c>
      <c r="B2" s="4"/>
      <c r="C2" s="4"/>
      <c r="D2" s="3" t="s">
        <v>16</v>
      </c>
      <c r="F2">
        <f>SUM(F4:F1000)</f>
        <v>50</v>
      </c>
      <c r="G2">
        <f>SUM(G4:G1000)</f>
        <v>28</v>
      </c>
    </row>
    <row r="3" spans="1:16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6">
      <c r="A4" s="2" t="s">
        <v>16</v>
      </c>
      <c r="B4" s="2" t="s">
        <v>16</v>
      </c>
      <c r="C4" s="2" t="s">
        <v>17</v>
      </c>
      <c r="D4" s="1">
        <v>802.3</v>
      </c>
      <c r="E4">
        <f>IF(D4&lt;&gt;"",LEN(D4),"")</f>
        <v>5</v>
      </c>
      <c r="F4">
        <v>2</v>
      </c>
      <c r="G4">
        <v>0</v>
      </c>
      <c r="J4" t="s">
        <v>26</v>
      </c>
      <c r="M4" t="s">
        <v>30</v>
      </c>
      <c r="P4" t="s">
        <v>36</v>
      </c>
    </row>
    <row r="5" spans="1:16">
      <c r="C5" s="2" t="s">
        <v>18</v>
      </c>
      <c r="D5" s="1" t="s">
        <v>22</v>
      </c>
      <c r="E5">
        <f t="shared" ref="E5:E68" si="0">IF(D5&lt;&gt;"",LEN(D5),"")</f>
        <v>3</v>
      </c>
      <c r="F5">
        <v>2</v>
      </c>
      <c r="G5">
        <v>0</v>
      </c>
      <c r="J5" t="s">
        <v>27</v>
      </c>
      <c r="M5" t="s">
        <v>31</v>
      </c>
      <c r="P5" t="s">
        <v>37</v>
      </c>
    </row>
    <row r="6" spans="1:16">
      <c r="C6" s="2" t="s">
        <v>19</v>
      </c>
      <c r="D6" s="1" t="s">
        <v>23</v>
      </c>
      <c r="E6">
        <f t="shared" si="0"/>
        <v>3</v>
      </c>
      <c r="F6">
        <v>2</v>
      </c>
      <c r="G6">
        <v>0</v>
      </c>
      <c r="J6" t="s">
        <v>28</v>
      </c>
      <c r="M6" t="s">
        <v>32</v>
      </c>
      <c r="P6" t="s">
        <v>38</v>
      </c>
    </row>
    <row r="7" spans="1:16">
      <c r="C7" s="2" t="s">
        <v>20</v>
      </c>
      <c r="D7" s="1" t="s">
        <v>24</v>
      </c>
      <c r="E7">
        <f t="shared" si="0"/>
        <v>4</v>
      </c>
      <c r="F7">
        <v>2</v>
      </c>
      <c r="G7">
        <v>2</v>
      </c>
      <c r="J7" t="s">
        <v>34</v>
      </c>
      <c r="M7" t="s">
        <v>33</v>
      </c>
    </row>
    <row r="8" spans="1:16">
      <c r="C8" s="2" t="s">
        <v>12</v>
      </c>
      <c r="D8" s="1" t="s">
        <v>25</v>
      </c>
      <c r="E8">
        <f t="shared" si="0"/>
        <v>11</v>
      </c>
      <c r="F8">
        <v>2</v>
      </c>
      <c r="G8">
        <v>0</v>
      </c>
    </row>
    <row r="9" spans="1:16">
      <c r="B9" s="2" t="s">
        <v>14</v>
      </c>
      <c r="D9" s="1" t="s">
        <v>29</v>
      </c>
      <c r="E9">
        <f t="shared" si="0"/>
        <v>14</v>
      </c>
      <c r="F9">
        <v>4</v>
      </c>
      <c r="G9">
        <v>4</v>
      </c>
    </row>
    <row r="10" spans="1:16">
      <c r="A10" s="2" t="s">
        <v>14</v>
      </c>
      <c r="B10" s="2" t="s">
        <v>16</v>
      </c>
      <c r="D10" s="1" t="s">
        <v>35</v>
      </c>
      <c r="E10">
        <f t="shared" si="0"/>
        <v>40</v>
      </c>
      <c r="F10">
        <v>4</v>
      </c>
      <c r="G10">
        <v>4</v>
      </c>
    </row>
    <row r="11" spans="1:16">
      <c r="B11" s="2" t="s">
        <v>14</v>
      </c>
      <c r="D11" s="1" t="s">
        <v>39</v>
      </c>
      <c r="E11">
        <f t="shared" si="0"/>
        <v>23</v>
      </c>
      <c r="F11">
        <v>4</v>
      </c>
      <c r="G11">
        <v>2</v>
      </c>
    </row>
    <row r="12" spans="1:16">
      <c r="B12" s="2" t="s">
        <v>21</v>
      </c>
      <c r="C12" s="2" t="s">
        <v>16</v>
      </c>
      <c r="D12" s="1" t="s">
        <v>40</v>
      </c>
      <c r="E12">
        <f t="shared" si="0"/>
        <v>5</v>
      </c>
      <c r="F12">
        <v>4</v>
      </c>
      <c r="G12">
        <v>0</v>
      </c>
    </row>
    <row r="13" spans="1:16">
      <c r="C13" s="2" t="s">
        <v>14</v>
      </c>
      <c r="D13" s="1" t="s">
        <v>41</v>
      </c>
      <c r="E13">
        <f t="shared" si="0"/>
        <v>5</v>
      </c>
      <c r="F13">
        <v>4</v>
      </c>
      <c r="G13">
        <v>0</v>
      </c>
    </row>
    <row r="14" spans="1:16">
      <c r="A14" s="2" t="s">
        <v>21</v>
      </c>
      <c r="B14" s="2" t="s">
        <v>16</v>
      </c>
      <c r="D14" s="1" t="s">
        <v>42</v>
      </c>
      <c r="E14">
        <f t="shared" si="0"/>
        <v>30</v>
      </c>
      <c r="F14">
        <v>4</v>
      </c>
      <c r="G14">
        <v>2</v>
      </c>
    </row>
    <row r="15" spans="1:16">
      <c r="B15" s="2" t="s">
        <v>14</v>
      </c>
      <c r="C15" s="2" t="s">
        <v>16</v>
      </c>
      <c r="D15" s="1" t="s">
        <v>43</v>
      </c>
      <c r="E15">
        <f t="shared" si="0"/>
        <v>8</v>
      </c>
      <c r="F15">
        <v>4</v>
      </c>
      <c r="G15">
        <v>2</v>
      </c>
    </row>
    <row r="16" spans="1:16">
      <c r="C16" s="2" t="s">
        <v>14</v>
      </c>
      <c r="D16" s="1" t="s">
        <v>44</v>
      </c>
      <c r="E16">
        <f t="shared" si="0"/>
        <v>11</v>
      </c>
      <c r="F16">
        <v>4</v>
      </c>
      <c r="G16">
        <v>4</v>
      </c>
    </row>
    <row r="17" spans="2:7">
      <c r="B17" s="2" t="s">
        <v>21</v>
      </c>
      <c r="D17" s="1" t="s">
        <v>45</v>
      </c>
      <c r="E17">
        <f t="shared" si="0"/>
        <v>39</v>
      </c>
      <c r="F17">
        <v>4</v>
      </c>
      <c r="G17">
        <v>4</v>
      </c>
    </row>
    <row r="18" spans="2:7">
      <c r="B18" s="2" t="s">
        <v>13</v>
      </c>
      <c r="D18" s="1" t="s">
        <v>46</v>
      </c>
      <c r="E18">
        <f t="shared" si="0"/>
        <v>21</v>
      </c>
      <c r="F18">
        <v>4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3:C3"/>
    <mergeCell ref="A2:C2"/>
    <mergeCell ref="A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72F2-C33F-42B2-81D3-9044BD3100BB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1" sqref="J11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1">
      <c r="A1" s="4" t="s">
        <v>0</v>
      </c>
      <c r="B1" s="4"/>
      <c r="C1" s="4"/>
      <c r="D1" s="1" t="s">
        <v>15</v>
      </c>
    </row>
    <row r="2" spans="1:11">
      <c r="A2" s="4" t="s">
        <v>2</v>
      </c>
      <c r="B2" s="4"/>
      <c r="C2" s="4"/>
      <c r="D2" s="3" t="s">
        <v>14</v>
      </c>
      <c r="F2">
        <f>SUM(F4:F1000)</f>
        <v>50</v>
      </c>
      <c r="G2">
        <f>SUM(G4:G1000)</f>
        <v>30</v>
      </c>
    </row>
    <row r="3" spans="1:11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1">
      <c r="A4" s="2" t="s">
        <v>16</v>
      </c>
      <c r="C4" s="2" t="s">
        <v>17</v>
      </c>
      <c r="D4" s="1" t="s">
        <v>58</v>
      </c>
      <c r="E4">
        <f>IF(D4&lt;&gt;"",LEN(D4),"")</f>
        <v>3</v>
      </c>
      <c r="F4">
        <v>2</v>
      </c>
      <c r="G4">
        <v>2</v>
      </c>
      <c r="J4" t="s">
        <v>64</v>
      </c>
      <c r="K4" t="s">
        <v>64</v>
      </c>
    </row>
    <row r="5" spans="1:11">
      <c r="C5" s="2" t="s">
        <v>18</v>
      </c>
      <c r="D5" s="1" t="s">
        <v>59</v>
      </c>
      <c r="E5">
        <f t="shared" ref="E5:E68" si="0">IF(D5&lt;&gt;"",LEN(D5),"")</f>
        <v>10</v>
      </c>
      <c r="F5">
        <v>2</v>
      </c>
      <c r="G5">
        <v>0</v>
      </c>
      <c r="J5" t="s">
        <v>63</v>
      </c>
      <c r="K5" t="s">
        <v>47</v>
      </c>
    </row>
    <row r="6" spans="1:11">
      <c r="C6" s="2" t="s">
        <v>19</v>
      </c>
      <c r="D6" s="1" t="s">
        <v>60</v>
      </c>
      <c r="E6">
        <f t="shared" si="0"/>
        <v>6</v>
      </c>
      <c r="F6">
        <v>2</v>
      </c>
      <c r="G6">
        <v>2</v>
      </c>
      <c r="J6" t="s">
        <v>63</v>
      </c>
      <c r="K6" t="s">
        <v>48</v>
      </c>
    </row>
    <row r="7" spans="1:11">
      <c r="C7" s="2" t="s">
        <v>20</v>
      </c>
      <c r="D7" s="1" t="s">
        <v>61</v>
      </c>
      <c r="E7">
        <f t="shared" si="0"/>
        <v>11</v>
      </c>
      <c r="F7">
        <v>2</v>
      </c>
      <c r="G7">
        <v>0</v>
      </c>
      <c r="J7" t="s">
        <v>63</v>
      </c>
      <c r="K7" t="s">
        <v>49</v>
      </c>
    </row>
    <row r="8" spans="1:11">
      <c r="C8" s="2" t="s">
        <v>12</v>
      </c>
      <c r="D8" s="1" t="s">
        <v>62</v>
      </c>
      <c r="E8">
        <f t="shared" si="0"/>
        <v>4</v>
      </c>
      <c r="F8">
        <v>2</v>
      </c>
      <c r="G8">
        <v>2</v>
      </c>
      <c r="K8" t="s">
        <v>50</v>
      </c>
    </row>
    <row r="9" spans="1:11">
      <c r="A9" s="2" t="s">
        <v>14</v>
      </c>
      <c r="B9" s="2" t="s">
        <v>16</v>
      </c>
      <c r="D9" s="1" t="s">
        <v>54</v>
      </c>
      <c r="E9">
        <f t="shared" si="0"/>
        <v>19</v>
      </c>
      <c r="F9">
        <v>8</v>
      </c>
      <c r="G9">
        <v>8</v>
      </c>
      <c r="K9" t="s">
        <v>51</v>
      </c>
    </row>
    <row r="10" spans="1:11">
      <c r="B10" s="2" t="s">
        <v>14</v>
      </c>
      <c r="D10" s="1" t="s">
        <v>55</v>
      </c>
      <c r="E10">
        <f t="shared" si="0"/>
        <v>28</v>
      </c>
      <c r="F10">
        <v>8</v>
      </c>
      <c r="G10">
        <v>8</v>
      </c>
      <c r="K10" t="s">
        <v>52</v>
      </c>
    </row>
    <row r="11" spans="1:11">
      <c r="B11" s="2" t="s">
        <v>21</v>
      </c>
      <c r="D11" s="1" t="s">
        <v>56</v>
      </c>
      <c r="E11">
        <f t="shared" si="0"/>
        <v>1</v>
      </c>
      <c r="F11">
        <v>8</v>
      </c>
      <c r="G11">
        <v>0</v>
      </c>
      <c r="K11" t="s">
        <v>53</v>
      </c>
    </row>
    <row r="12" spans="1:11">
      <c r="A12" s="2" t="s">
        <v>21</v>
      </c>
      <c r="B12" s="2" t="s">
        <v>16</v>
      </c>
      <c r="D12" s="1" t="s">
        <v>65</v>
      </c>
      <c r="E12">
        <f t="shared" si="0"/>
        <v>16</v>
      </c>
      <c r="F12">
        <v>8</v>
      </c>
      <c r="G12">
        <v>8</v>
      </c>
      <c r="K12" t="s">
        <v>57</v>
      </c>
    </row>
    <row r="13" spans="1:11">
      <c r="B13" s="2" t="s">
        <v>14</v>
      </c>
      <c r="D13" s="1" t="s">
        <v>66</v>
      </c>
      <c r="E13">
        <f t="shared" si="0"/>
        <v>20</v>
      </c>
      <c r="F13">
        <v>8</v>
      </c>
      <c r="G13">
        <v>0</v>
      </c>
    </row>
    <row r="14" spans="1:11">
      <c r="E14" t="str">
        <f t="shared" si="0"/>
        <v/>
      </c>
    </row>
    <row r="15" spans="1:11">
      <c r="E15" t="str">
        <f t="shared" si="0"/>
        <v/>
      </c>
    </row>
    <row r="16" spans="1:11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29D8-DA07-41F1-A9EF-CB051BB2FDA2}">
  <sheetPr codeName="Sheet6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9" sqref="D9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73.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21</v>
      </c>
      <c r="F2">
        <f>SUM(F4:F1000)</f>
        <v>100</v>
      </c>
      <c r="G2">
        <f>SUM(G4:G1000)</f>
        <v>4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67</v>
      </c>
      <c r="D4" s="1">
        <v>2.4</v>
      </c>
      <c r="E4">
        <f>IF(D4&lt;&gt;"",LEN(D4),"")</f>
        <v>3</v>
      </c>
      <c r="F4">
        <v>2</v>
      </c>
      <c r="G4">
        <v>0</v>
      </c>
      <c r="I4" t="s">
        <v>79</v>
      </c>
      <c r="K4" t="s">
        <v>84</v>
      </c>
      <c r="M4" t="s">
        <v>89</v>
      </c>
    </row>
    <row r="5" spans="1:13">
      <c r="C5" s="2" t="s">
        <v>68</v>
      </c>
      <c r="D5" s="1">
        <v>5</v>
      </c>
      <c r="E5">
        <f t="shared" ref="E5:E68" si="0">IF(D5&lt;&gt;"",LEN(D5),"")</f>
        <v>1</v>
      </c>
      <c r="F5">
        <v>2</v>
      </c>
      <c r="G5">
        <v>0</v>
      </c>
      <c r="I5" t="s">
        <v>80</v>
      </c>
      <c r="K5" t="s">
        <v>85</v>
      </c>
      <c r="M5" t="s">
        <v>90</v>
      </c>
    </row>
    <row r="6" spans="1:13">
      <c r="C6" s="2" t="s">
        <v>69</v>
      </c>
      <c r="D6" s="1" t="s">
        <v>93</v>
      </c>
      <c r="E6">
        <f t="shared" si="0"/>
        <v>3</v>
      </c>
      <c r="F6">
        <v>2</v>
      </c>
      <c r="G6">
        <v>0</v>
      </c>
      <c r="I6" t="s">
        <v>81</v>
      </c>
      <c r="K6" t="s">
        <v>86</v>
      </c>
      <c r="M6" t="s">
        <v>91</v>
      </c>
    </row>
    <row r="7" spans="1:13">
      <c r="C7" s="2" t="s">
        <v>70</v>
      </c>
      <c r="D7" s="1" t="s">
        <v>94</v>
      </c>
      <c r="E7">
        <f t="shared" si="0"/>
        <v>2</v>
      </c>
      <c r="F7">
        <v>2</v>
      </c>
      <c r="G7">
        <v>2</v>
      </c>
      <c r="I7" t="s">
        <v>82</v>
      </c>
      <c r="K7" t="s">
        <v>87</v>
      </c>
      <c r="M7" t="s">
        <v>92</v>
      </c>
    </row>
    <row r="8" spans="1:13">
      <c r="C8" s="2" t="s">
        <v>71</v>
      </c>
      <c r="D8" s="1" t="s">
        <v>95</v>
      </c>
      <c r="E8">
        <f t="shared" si="0"/>
        <v>7</v>
      </c>
      <c r="F8">
        <v>2</v>
      </c>
      <c r="G8">
        <v>2</v>
      </c>
      <c r="I8" t="s">
        <v>83</v>
      </c>
      <c r="K8" t="s">
        <v>88</v>
      </c>
    </row>
    <row r="9" spans="1:13">
      <c r="A9" s="2" t="s">
        <v>14</v>
      </c>
      <c r="B9" s="2" t="s">
        <v>16</v>
      </c>
      <c r="C9" s="2" t="s">
        <v>72</v>
      </c>
      <c r="E9" t="str">
        <f t="shared" si="0"/>
        <v/>
      </c>
      <c r="F9">
        <v>2</v>
      </c>
    </row>
    <row r="10" spans="1:13">
      <c r="C10" s="2" t="s">
        <v>73</v>
      </c>
      <c r="E10" t="str">
        <f t="shared" si="0"/>
        <v/>
      </c>
      <c r="F10">
        <v>2</v>
      </c>
    </row>
    <row r="11" spans="1:13">
      <c r="C11" s="2" t="s">
        <v>74</v>
      </c>
      <c r="E11" t="str">
        <f t="shared" si="0"/>
        <v/>
      </c>
      <c r="F11">
        <v>2</v>
      </c>
    </row>
    <row r="12" spans="1:13">
      <c r="C12" s="2" t="s">
        <v>75</v>
      </c>
      <c r="E12" t="str">
        <f t="shared" si="0"/>
        <v/>
      </c>
      <c r="F12">
        <v>2</v>
      </c>
    </row>
    <row r="13" spans="1:13">
      <c r="C13" s="2" t="s">
        <v>76</v>
      </c>
      <c r="E13" t="str">
        <f t="shared" si="0"/>
        <v/>
      </c>
      <c r="F13">
        <v>2</v>
      </c>
    </row>
    <row r="14" spans="1:13">
      <c r="B14" s="2" t="s">
        <v>14</v>
      </c>
      <c r="E14" t="str">
        <f t="shared" si="0"/>
        <v/>
      </c>
      <c r="F14">
        <v>4</v>
      </c>
    </row>
    <row r="15" spans="1:13">
      <c r="A15" s="2" t="s">
        <v>21</v>
      </c>
      <c r="B15" s="2" t="s">
        <v>16</v>
      </c>
      <c r="E15" t="str">
        <f t="shared" si="0"/>
        <v/>
      </c>
      <c r="F15">
        <v>4</v>
      </c>
    </row>
    <row r="16" spans="1:13">
      <c r="B16" s="2" t="s">
        <v>14</v>
      </c>
      <c r="C16" s="2" t="s">
        <v>16</v>
      </c>
      <c r="E16" t="str">
        <f t="shared" si="0"/>
        <v/>
      </c>
      <c r="F16">
        <v>3</v>
      </c>
    </row>
    <row r="17" spans="1:6">
      <c r="C17" s="2" t="s">
        <v>14</v>
      </c>
      <c r="E17" t="str">
        <f t="shared" si="0"/>
        <v/>
      </c>
      <c r="F17">
        <v>3</v>
      </c>
    </row>
    <row r="18" spans="1:6">
      <c r="B18" s="2" t="s">
        <v>21</v>
      </c>
      <c r="E18" t="str">
        <f t="shared" si="0"/>
        <v/>
      </c>
      <c r="F18">
        <v>4</v>
      </c>
    </row>
    <row r="19" spans="1:6">
      <c r="B19" s="2" t="s">
        <v>13</v>
      </c>
      <c r="C19" s="2" t="s">
        <v>16</v>
      </c>
      <c r="E19" t="str">
        <f t="shared" si="0"/>
        <v/>
      </c>
      <c r="F19">
        <v>3</v>
      </c>
    </row>
    <row r="20" spans="1:6">
      <c r="C20" s="2" t="s">
        <v>14</v>
      </c>
      <c r="E20" t="str">
        <f t="shared" si="0"/>
        <v/>
      </c>
      <c r="F20">
        <v>3</v>
      </c>
    </row>
    <row r="21" spans="1:6">
      <c r="B21" s="2" t="s">
        <v>77</v>
      </c>
      <c r="C21" s="2" t="s">
        <v>16</v>
      </c>
      <c r="E21" t="str">
        <f t="shared" si="0"/>
        <v/>
      </c>
      <c r="F21">
        <v>3</v>
      </c>
    </row>
    <row r="22" spans="1:6">
      <c r="C22" s="2" t="s">
        <v>14</v>
      </c>
      <c r="E22" t="str">
        <f t="shared" si="0"/>
        <v/>
      </c>
      <c r="F22">
        <v>3</v>
      </c>
    </row>
    <row r="23" spans="1:6">
      <c r="A23" s="2" t="s">
        <v>13</v>
      </c>
      <c r="B23" s="2" t="s">
        <v>16</v>
      </c>
      <c r="C23" s="2" t="s">
        <v>16</v>
      </c>
      <c r="E23" t="str">
        <f t="shared" si="0"/>
        <v/>
      </c>
      <c r="F23">
        <v>3</v>
      </c>
    </row>
    <row r="24" spans="1:6">
      <c r="C24" s="2" t="s">
        <v>14</v>
      </c>
      <c r="E24" t="str">
        <f t="shared" si="0"/>
        <v/>
      </c>
      <c r="F24">
        <v>3</v>
      </c>
    </row>
    <row r="25" spans="1:6">
      <c r="B25" s="2" t="s">
        <v>14</v>
      </c>
      <c r="E25" t="str">
        <f t="shared" si="0"/>
        <v/>
      </c>
      <c r="F25">
        <v>4</v>
      </c>
    </row>
    <row r="26" spans="1:6">
      <c r="B26" s="2" t="s">
        <v>21</v>
      </c>
      <c r="E26" t="str">
        <f t="shared" si="0"/>
        <v/>
      </c>
      <c r="F26">
        <v>4</v>
      </c>
    </row>
    <row r="27" spans="1:6">
      <c r="A27" s="2" t="s">
        <v>77</v>
      </c>
      <c r="B27" s="2" t="s">
        <v>16</v>
      </c>
      <c r="C27" s="2" t="s">
        <v>16</v>
      </c>
      <c r="E27" t="str">
        <f t="shared" si="0"/>
        <v/>
      </c>
      <c r="F27">
        <v>4</v>
      </c>
    </row>
    <row r="28" spans="1:6">
      <c r="C28" s="2" t="s">
        <v>14</v>
      </c>
      <c r="E28" t="str">
        <f t="shared" si="0"/>
        <v/>
      </c>
      <c r="F28">
        <v>4</v>
      </c>
    </row>
    <row r="29" spans="1:6">
      <c r="B29" s="2" t="s">
        <v>14</v>
      </c>
      <c r="C29" s="2" t="s">
        <v>16</v>
      </c>
      <c r="E29" t="str">
        <f t="shared" si="0"/>
        <v/>
      </c>
      <c r="F29">
        <v>4</v>
      </c>
    </row>
    <row r="30" spans="1:6">
      <c r="C30" s="2" t="s">
        <v>14</v>
      </c>
      <c r="E30" t="str">
        <f t="shared" si="0"/>
        <v/>
      </c>
      <c r="F30">
        <v>4</v>
      </c>
    </row>
    <row r="31" spans="1:6">
      <c r="B31" s="2" t="s">
        <v>21</v>
      </c>
      <c r="E31" t="str">
        <f t="shared" si="0"/>
        <v/>
      </c>
      <c r="F31">
        <v>4</v>
      </c>
    </row>
    <row r="32" spans="1:6">
      <c r="B32" s="2" t="s">
        <v>13</v>
      </c>
      <c r="E32" t="str">
        <f t="shared" si="0"/>
        <v/>
      </c>
      <c r="F32">
        <v>4</v>
      </c>
    </row>
    <row r="33" spans="2:6">
      <c r="B33" s="2" t="s">
        <v>77</v>
      </c>
      <c r="C33" s="2" t="s">
        <v>16</v>
      </c>
      <c r="E33" t="str">
        <f t="shared" si="0"/>
        <v/>
      </c>
      <c r="F33">
        <v>4</v>
      </c>
    </row>
    <row r="34" spans="2:6">
      <c r="C34" s="2" t="s">
        <v>14</v>
      </c>
      <c r="E34" t="str">
        <f t="shared" si="0"/>
        <v/>
      </c>
      <c r="F34">
        <v>4</v>
      </c>
    </row>
    <row r="35" spans="2:6">
      <c r="B35" s="2" t="s">
        <v>78</v>
      </c>
      <c r="E35" t="str">
        <f t="shared" si="0"/>
        <v/>
      </c>
      <c r="F35">
        <v>4</v>
      </c>
    </row>
    <row r="36" spans="2:6">
      <c r="E36" t="str">
        <f t="shared" si="0"/>
        <v/>
      </c>
    </row>
    <row r="37" spans="2:6">
      <c r="E37" t="str">
        <f t="shared" si="0"/>
        <v/>
      </c>
    </row>
    <row r="38" spans="2:6">
      <c r="E38" t="str">
        <f t="shared" si="0"/>
        <v/>
      </c>
    </row>
    <row r="39" spans="2:6">
      <c r="E39" t="str">
        <f t="shared" si="0"/>
        <v/>
      </c>
    </row>
    <row r="40" spans="2:6">
      <c r="E40" t="str">
        <f t="shared" si="0"/>
        <v/>
      </c>
    </row>
    <row r="41" spans="2:6">
      <c r="E41" t="str">
        <f t="shared" si="0"/>
        <v/>
      </c>
    </row>
    <row r="42" spans="2:6">
      <c r="E42" t="str">
        <f t="shared" si="0"/>
        <v/>
      </c>
    </row>
    <row r="43" spans="2:6">
      <c r="E43" t="str">
        <f t="shared" si="0"/>
        <v/>
      </c>
    </row>
    <row r="44" spans="2:6">
      <c r="E44" t="str">
        <f t="shared" si="0"/>
        <v/>
      </c>
    </row>
    <row r="45" spans="2:6">
      <c r="E45" t="str">
        <f t="shared" si="0"/>
        <v/>
      </c>
    </row>
    <row r="46" spans="2:6">
      <c r="E46" t="str">
        <f t="shared" si="0"/>
        <v/>
      </c>
    </row>
    <row r="47" spans="2:6">
      <c r="E47" t="str">
        <f t="shared" si="0"/>
        <v/>
      </c>
    </row>
    <row r="48" spans="2:6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2026-01-11T07:35:44Z</dcterms:modified>
</cp:coreProperties>
</file>