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D:\PycharmProjects\security_specialist\network_specialist\calulum\problems\"/>
    </mc:Choice>
  </mc:AlternateContent>
  <xr:revisionPtr revIDLastSave="0" documentId="13_ncr:1_{1CDF950D-3A71-4153-8916-56C2CF758523}" xr6:coauthVersionLast="47" xr6:coauthVersionMax="47" xr10:uidLastSave="{00000000-0000-0000-0000-000000000000}"/>
  <bookViews>
    <workbookView xWindow="-120" yWindow="-120" windowWidth="29040" windowHeight="15720" activeTab="4" xr2:uid="{00000000-000D-0000-FFFF-FFFF00000000}"/>
  </bookViews>
  <sheets>
    <sheet name="レビュー" sheetId="2" r:id="rId1"/>
    <sheet name="format" sheetId="4" r:id="rId2"/>
    <sheet name="1" sheetId="9" r:id="rId3"/>
    <sheet name="2" sheetId="10" r:id="rId4"/>
    <sheet name="3" sheetId="11"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1" i="11" l="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<sst xmlns="http://schemas.openxmlformats.org/spreadsheetml/2006/main" count="232" uniqueCount="142">
  <si>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</si>
  <si>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</si>
  <si>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</si>
  <si>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</si>
  <si>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</si>
  <si>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</si>
  <si>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</si>
  <si>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</si>
  <si>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</si>
  <si>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</si>
  <si>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</si>
  <si>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</si>
  <si>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</si>
  <si>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</si>
  <si>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</si>
  <si>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</si>
  <si>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</si>
  <si>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</si>
  <si>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</si>
  <si>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</si>
  <si>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</si>
  <si>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</si>
  <si>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</si>
  <si>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</si>
  <si>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</si>
  <si>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</si>
  <si>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</si>
  <si>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</si>
  <si>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</si>
  <si>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</si>
  <si>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</si>
  <si>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</si>
  <si>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</si>
  <si>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</si>
  <si>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</si>
  <si>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</si>
  <si>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</si>
  <si>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</si>
  <si>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</si>
  <si>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</si>
  <si>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</si>
  <si>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</si>
  <si>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</si>
  <si>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</si>
  <si>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</si>
  <si>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</si>
  <si>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</si>
  <si>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</si>
  <si>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</si>
  <si>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</si>
  <si>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</si>
  <si>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</si>
  <si>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</si>
  <si>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</si>
  <si>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</si>
  <si>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</si>
  <si>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</si>
  <si>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</si>
  <si>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</si>
  <si>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</si>
  <si>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</si>
  <si>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</si>
  <si>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</si>
  <si>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</si>
  <si>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</si>
  <si>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</si>
  <si>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</si>
  <si>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</si>
  <si>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</si>
  <si>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</si>
  <si>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</si>
  <si>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</si>
  <si>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</si>
  <si>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</si>
  <si>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</si>
  <si>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</si>
  <si>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</si>
  <si>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</si>
  <si>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</si>
  <si>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</si>
  <si>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</si>
  <si>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</si>
  <si>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</si>
  <si>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</si>
  <si>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</si>
  <si>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</si>
  <si>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</si>
  <si>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</si>
  <si>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</si>
  <si>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</si>
  <si>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</si>
  <si>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</si>
  <si>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</si>
  <si>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</si>
  <si>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</si>
  <si>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</si>
  <si>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</si>
  <si>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</si>
  <si>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サーバー</t>
    <phoneticPr fontId="1"/>
  </si>
  <si>
    <t>MACアドレス</t>
    <phoneticPr fontId="1"/>
  </si>
  <si>
    <t>認証</t>
    <rPh sb="0" eb="2">
      <t>ニンショウ</t>
    </rPh>
    <phoneticPr fontId="1"/>
  </si>
  <si>
    <t>e1をカウンタとともにXOR計算を行う</t>
    <rPh sb="14" eb="16">
      <t>ケイサン</t>
    </rPh>
    <rPh sb="17" eb="18">
      <t>オコナ</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</si>
  <si>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</si>
  <si>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</si>
  <si>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</si>
  <si>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</si>
  <si>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</si>
  <si>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</si>
  <si>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80MHzで2本</t>
    <rPh sb="7" eb="8">
      <t>ホン</t>
    </rPh>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</si>
  <si>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</si>
  <si>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</si>
  <si>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</si>
  <si>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</si>
  <si>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WLCに障害があったとしても、通信は停止せず継続できる</t>
    <rPh sb="4" eb="6">
      <t>ショウガイ</t>
    </rPh>
    <rPh sb="15" eb="17">
      <t>ツウシン</t>
    </rPh>
    <rPh sb="18" eb="20">
      <t>テイシ</t>
    </rPh>
    <rPh sb="22" eb="24">
      <t>ケイゾク</t>
    </rPh>
    <phoneticPr fontId="1"/>
  </si>
  <si>
    <t>WLCに通信が集中することを防ぐことが出来る</t>
    <rPh sb="4" eb="6">
      <t>ツウシン</t>
    </rPh>
    <rPh sb="7" eb="9">
      <t>シュウチュウ</t>
    </rPh>
    <rPh sb="14" eb="15">
      <t>フセ</t>
    </rPh>
    <rPh sb="19" eb="21">
      <t>デキ</t>
    </rPh>
    <phoneticPr fontId="1"/>
  </si>
  <si>
    <t>APは電波の到達性を顧慮して天井</t>
    <rPh sb="3" eb="5">
      <t>デンパ</t>
    </rPh>
    <rPh sb="6" eb="9">
      <t>トウタツセイ</t>
    </rPh>
    <rPh sb="10" eb="12">
      <t>コリョ</t>
    </rPh>
    <rPh sb="14" eb="16">
      <t>テンジョウ</t>
    </rPh>
    <phoneticPr fontId="1"/>
  </si>
  <si>
    <t>電波干渉により通信障害が派生する</t>
    <rPh sb="0" eb="4">
      <t>デンパカンショウ</t>
    </rPh>
    <rPh sb="7" eb="11">
      <t>ツウシンショウガイ</t>
    </rPh>
    <rPh sb="12" eb="14">
      <t>ハセイ</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</si>
  <si>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</si>
  <si>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</si>
  <si>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</si>
  <si>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APの負荷分散を行わせるため</t>
    <rPh sb="3" eb="7">
      <t>フカブンサン</t>
    </rPh>
    <rPh sb="8" eb="9">
      <t>オコナ</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</si>
  <si>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</si>
  <si>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</si>
  <si>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</si>
  <si>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</si>
  <si>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</si>
  <si>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</si>
  <si>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RADIUSサーバのルート証明書</t>
    <rPh sb="13" eb="16">
      <t>ショウメイショ</t>
    </rPh>
    <phoneticPr fontId="1"/>
  </si>
  <si>
    <t>クライアント秘密鍵</t>
    <rPh sb="6" eb="9">
      <t>ヒミツカギ</t>
    </rPh>
    <phoneticPr fontId="1"/>
  </si>
  <si>
    <t>CAの自己署名証明書</t>
    <rPh sb="3" eb="5">
      <t>ジコ</t>
    </rPh>
    <rPh sb="5" eb="7">
      <t>ショメイ</t>
    </rPh>
    <rPh sb="7" eb="10">
      <t>ショウメイショ</t>
    </rPh>
    <phoneticPr fontId="1"/>
  </si>
  <si>
    <t>認証されなかった本人以外のPCが、本人のクライアント証明書を不正に入手することが出来てしまうため</t>
    <rPh sb="0" eb="2">
      <t>ニンショウ</t>
    </rPh>
    <rPh sb="8" eb="12">
      <t>ホンニンイガイ</t>
    </rPh>
    <rPh sb="17" eb="19">
      <t>ホンニン</t>
    </rPh>
    <rPh sb="26" eb="29">
      <t>ショウメイショ</t>
    </rPh>
    <rPh sb="30" eb="32">
      <t>フセイ</t>
    </rPh>
    <rPh sb="33" eb="35">
      <t>ニュウシュ</t>
    </rPh>
    <rPh sb="40" eb="42">
      <t>デキ</t>
    </rPh>
    <phoneticPr fontId="1"/>
  </si>
  <si>
    <t>クライアント証明書の有効期限を切らした営業員</t>
    <rPh sb="6" eb="9">
      <t>ショウメイショ</t>
    </rPh>
    <rPh sb="10" eb="14">
      <t>ユウコウキゲン</t>
    </rPh>
    <rPh sb="15" eb="16">
      <t>キ</t>
    </rPh>
    <rPh sb="19" eb="22">
      <t>エイギョウイン</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</si>
  <si>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</si>
  <si>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</si>
  <si>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</si>
  <si>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</si>
  <si>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AP</t>
    <phoneticPr fontId="1"/>
  </si>
  <si>
    <t>ESSID</t>
    <phoneticPr fontId="1"/>
  </si>
  <si>
    <t>ルータ2の接続ポートだけにVLAN200のポートVLANを設定する</t>
    <rPh sb="5" eb="7">
      <t>セツゾク</t>
    </rPh>
    <rPh sb="29" eb="31">
      <t>セッテイ</t>
    </rPh>
    <phoneticPr fontId="1"/>
  </si>
  <si>
    <t>ハンドオーバーできなくなる</t>
    <phoneticPr fontId="1"/>
  </si>
  <si>
    <t>NPCに配布したPMKと認証関連情報がWLCで保持されている</t>
    <rPh sb="4" eb="6">
      <t>ハイフ</t>
    </rPh>
    <rPh sb="12" eb="16">
      <t>ニンショウカンレン</t>
    </rPh>
    <rPh sb="16" eb="18">
      <t>ジョウホウ</t>
    </rPh>
    <rPh sb="23" eb="25">
      <t>ホジ</t>
    </rPh>
    <phoneticPr fontId="1"/>
  </si>
  <si>
    <t>AP→L"SW5→L3SW→FW→L2SW1→プロキシサーバ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</si>
</sst>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M167"/>
  <sheetViews>
    <sheetView tabSelected="1" zoomScale="85" zoomScaleNormal="85" workbookViewId="0">
      <pane xSplit="1" ySplit="3" topLeftCell="B22" activePane="bottomRight" state="frozen"/>
      <selection pane="topRight" activeCell="B1" sqref="B1"/>
      <selection pane="bottomLeft" activeCell="A4" sqref="A4"/>
      <selection pane="bottomRight" activeCell="K25" sqref="K25"/>
    </sheetView>
  </sheetViews>
  <sheetFormatPr defaultRowHeight="18.75"/>
  <cols>
    <col min="1" max="1" width="7.375" style="2" customWidth="1"/>
    <col min="2" max="2" width="8.5" style="2" customWidth="1"/>
    <col min="3" max="3" width="9" style="2"/>
    <col min="4" max="4" width="73.75" style="1" customWidth="1"/>
    <col min="5" max="5" width="9.75" customWidth="1"/>
  </cols>
  <sheetData>
    <row r="1" spans="1:13">
      <c r="A1" s="4" t="s">
        <v>0</v>
      </c>
      <c r="B1" s="4"/>
      <c r="C1" s="4"/>
      <c r="D1" s="1" t="s">
        <v>15</v>
      </c>
    </row>
    <row r="2" spans="1:13">
      <c r="A2" s="4" t="s">
        <v>2</v>
      </c>
      <c r="B2" s="4"/>
      <c r="C2" s="4"/>
      <c r="D2" s="3" t="s">
        <v>21</v>
      </c>
      <c r="F2">
        <f>SUM(F4:F1000)</f>
        <v>100</v>
      </c>
      <c r="G2">
        <f>SUM(G4:G1000)</f>
        <v>53</v>
      </c>
    </row>
    <row r="3" spans="1:13">
      <c r="A3" s="4" t="s">
        <v>1</v>
      </c>
      <c r="B3" s="4"/>
      <c r="C3" s="4"/>
      <c r="D3" s="1" t="s">
        <v>3</v>
      </c>
      <c r="E3" t="s">
        <v>6</v>
      </c>
      <c r="F3" t="s">
        <v>4</v>
      </c>
      <c r="G3" t="s">
        <v>5</v>
      </c>
    </row>
    <row r="4" spans="1:13">
      <c r="A4" s="2" t="s">
        <v>16</v>
      </c>
      <c r="C4" s="2" t="s">
        <v>67</v>
      </c>
      <c r="D4" s="1">
        <v>2.4</v>
      </c>
      <c r="E4">
        <f>IF(D4&lt;&gt;"",LEN(D4),"")</f>
        <v>3</v>
      </c>
      <c r="F4">
        <v>2</v>
      </c>
      <c r="G4">
        <v>0</v>
      </c>
      <c r="I4" t="s">
        <v>79</v>
      </c>
      <c r="K4" t="s">
        <v>84</v>
      </c>
      <c r="M4" t="s">
        <v>89</v>
      </c>
    </row>
    <row r="5" spans="1:13">
      <c r="C5" s="2" t="s">
        <v>68</v>
      </c>
      <c r="D5" s="1">
        <v>5</v>
      </c>
      <c r="E5">
        <f t="shared" ref="E5:E68" si="0">IF(D5&lt;&gt;"",LEN(D5),"")</f>
        <v>1</v>
      </c>
      <c r="F5">
        <v>2</v>
      </c>
      <c r="G5">
        <v>0</v>
      </c>
      <c r="I5" t="s">
        <v>80</v>
      </c>
      <c r="K5" t="s">
        <v>85</v>
      </c>
      <c r="M5" t="s">
        <v>90</v>
      </c>
    </row>
    <row r="6" spans="1:13">
      <c r="C6" s="2" t="s">
        <v>69</v>
      </c>
      <c r="D6" s="1" t="s">
        <v>93</v>
      </c>
      <c r="E6">
        <f t="shared" si="0"/>
        <v>3</v>
      </c>
      <c r="F6">
        <v>2</v>
      </c>
      <c r="G6">
        <v>0</v>
      </c>
      <c r="I6" t="s">
        <v>81</v>
      </c>
      <c r="K6" t="s">
        <v>86</v>
      </c>
      <c r="M6" t="s">
        <v>91</v>
      </c>
    </row>
    <row r="7" spans="1:13">
      <c r="C7" s="2" t="s">
        <v>70</v>
      </c>
      <c r="D7" s="1" t="s">
        <v>94</v>
      </c>
      <c r="E7">
        <f t="shared" si="0"/>
        <v>2</v>
      </c>
      <c r="F7">
        <v>2</v>
      </c>
      <c r="G7">
        <v>2</v>
      </c>
      <c r="I7" t="s">
        <v>82</v>
      </c>
      <c r="K7" t="s">
        <v>87</v>
      </c>
      <c r="M7" t="s">
        <v>92</v>
      </c>
    </row>
    <row r="8" spans="1:13">
      <c r="C8" s="2" t="s">
        <v>71</v>
      </c>
      <c r="D8" s="1" t="s">
        <v>95</v>
      </c>
      <c r="E8">
        <f t="shared" si="0"/>
        <v>7</v>
      </c>
      <c r="F8">
        <v>2</v>
      </c>
      <c r="G8">
        <v>2</v>
      </c>
      <c r="I8" t="s">
        <v>83</v>
      </c>
      <c r="K8" t="s">
        <v>88</v>
      </c>
      <c r="M8" t="s">
        <v>102</v>
      </c>
    </row>
    <row r="9" spans="1:13">
      <c r="A9" s="2" t="s">
        <v>14</v>
      </c>
      <c r="B9" s="2" t="s">
        <v>16</v>
      </c>
      <c r="C9" s="2" t="s">
        <v>72</v>
      </c>
      <c r="D9" s="1" t="s">
        <v>96</v>
      </c>
      <c r="E9">
        <f t="shared" si="0"/>
        <v>5</v>
      </c>
      <c r="F9">
        <v>2</v>
      </c>
      <c r="G9">
        <v>2</v>
      </c>
      <c r="I9" t="s">
        <v>104</v>
      </c>
      <c r="K9" t="s">
        <v>109</v>
      </c>
      <c r="M9" t="s">
        <v>103</v>
      </c>
    </row>
    <row r="10" spans="1:13">
      <c r="C10" s="2" t="s">
        <v>73</v>
      </c>
      <c r="D10" s="1" t="s">
        <v>97</v>
      </c>
      <c r="E10">
        <f t="shared" si="0"/>
        <v>2</v>
      </c>
      <c r="F10">
        <v>2</v>
      </c>
      <c r="G10">
        <v>2</v>
      </c>
      <c r="I10" t="s">
        <v>105</v>
      </c>
      <c r="K10" t="s">
        <v>110</v>
      </c>
      <c r="M10" t="s">
        <v>115</v>
      </c>
    </row>
    <row r="11" spans="1:13">
      <c r="C11" s="2" t="s">
        <v>74</v>
      </c>
      <c r="D11" s="1" t="s">
        <v>98</v>
      </c>
      <c r="E11">
        <f t="shared" si="0"/>
        <v>4</v>
      </c>
      <c r="F11">
        <v>2</v>
      </c>
      <c r="G11">
        <v>2</v>
      </c>
      <c r="I11" t="s">
        <v>106</v>
      </c>
      <c r="K11" t="s">
        <v>111</v>
      </c>
      <c r="M11" t="s">
        <v>117</v>
      </c>
    </row>
    <row r="12" spans="1:13">
      <c r="C12" s="2" t="s">
        <v>75</v>
      </c>
      <c r="D12" s="1" t="s">
        <v>99</v>
      </c>
      <c r="E12">
        <f t="shared" si="0"/>
        <v>7</v>
      </c>
      <c r="F12">
        <v>2</v>
      </c>
      <c r="G12">
        <v>0</v>
      </c>
      <c r="I12" t="s">
        <v>107</v>
      </c>
      <c r="K12" t="s">
        <v>112</v>
      </c>
      <c r="M12" t="s">
        <v>118</v>
      </c>
    </row>
    <row r="13" spans="1:13">
      <c r="C13" s="2" t="s">
        <v>76</v>
      </c>
      <c r="D13" s="1" t="s">
        <v>100</v>
      </c>
      <c r="E13">
        <f t="shared" si="0"/>
        <v>2</v>
      </c>
      <c r="F13">
        <v>2</v>
      </c>
      <c r="G13">
        <v>0</v>
      </c>
      <c r="I13" t="s">
        <v>121</v>
      </c>
      <c r="K13" t="s">
        <v>126</v>
      </c>
      <c r="M13" t="s">
        <v>119</v>
      </c>
    </row>
    <row r="14" spans="1:13">
      <c r="B14" s="2" t="s">
        <v>14</v>
      </c>
      <c r="D14" s="1" t="s">
        <v>101</v>
      </c>
      <c r="E14">
        <f t="shared" si="0"/>
        <v>19</v>
      </c>
      <c r="F14">
        <v>4</v>
      </c>
      <c r="G14">
        <v>4</v>
      </c>
      <c r="I14" t="s">
        <v>123</v>
      </c>
      <c r="K14" t="s">
        <v>132</v>
      </c>
    </row>
    <row r="15" spans="1:13">
      <c r="A15" s="2" t="s">
        <v>21</v>
      </c>
      <c r="B15" s="2" t="s">
        <v>16</v>
      </c>
      <c r="D15" s="1" t="s">
        <v>108</v>
      </c>
      <c r="E15">
        <f t="shared" si="0"/>
        <v>8</v>
      </c>
      <c r="F15">
        <v>4</v>
      </c>
      <c r="G15">
        <v>4</v>
      </c>
      <c r="I15" t="s">
        <v>124</v>
      </c>
      <c r="K15" t="s">
        <v>133</v>
      </c>
    </row>
    <row r="16" spans="1:13">
      <c r="B16" s="2" t="s">
        <v>14</v>
      </c>
      <c r="C16" s="2" t="s">
        <v>16</v>
      </c>
      <c r="D16" s="1" t="s">
        <v>113</v>
      </c>
      <c r="E16">
        <f t="shared" si="0"/>
        <v>27</v>
      </c>
      <c r="F16">
        <v>3</v>
      </c>
      <c r="G16">
        <v>3</v>
      </c>
      <c r="I16" t="s">
        <v>125</v>
      </c>
      <c r="K16" t="s">
        <v>134</v>
      </c>
    </row>
    <row r="17" spans="1:9">
      <c r="C17" s="2" t="s">
        <v>14</v>
      </c>
      <c r="D17" s="1" t="s">
        <v>114</v>
      </c>
      <c r="E17">
        <f t="shared" si="0"/>
        <v>22</v>
      </c>
      <c r="F17">
        <v>3</v>
      </c>
      <c r="G17">
        <v>3</v>
      </c>
    </row>
    <row r="18" spans="1:9">
      <c r="B18" s="2" t="s">
        <v>21</v>
      </c>
      <c r="D18" s="1" t="s">
        <v>116</v>
      </c>
      <c r="E18">
        <f t="shared" si="0"/>
        <v>16</v>
      </c>
      <c r="F18">
        <v>4</v>
      </c>
      <c r="G18">
        <v>4</v>
      </c>
    </row>
    <row r="19" spans="1:9">
      <c r="B19" s="2" t="s">
        <v>13</v>
      </c>
      <c r="C19" s="2" t="s">
        <v>16</v>
      </c>
      <c r="D19" s="1">
        <v>4</v>
      </c>
      <c r="E19">
        <f t="shared" si="0"/>
        <v>1</v>
      </c>
      <c r="F19">
        <v>3</v>
      </c>
      <c r="G19">
        <v>3</v>
      </c>
    </row>
    <row r="20" spans="1:9">
      <c r="C20" s="2" t="s">
        <v>14</v>
      </c>
      <c r="D20" s="1" t="s">
        <v>120</v>
      </c>
      <c r="E20">
        <f t="shared" si="0"/>
        <v>14</v>
      </c>
      <c r="F20">
        <v>3</v>
      </c>
      <c r="G20">
        <v>3</v>
      </c>
    </row>
    <row r="21" spans="1:9">
      <c r="B21" s="2" t="s">
        <v>77</v>
      </c>
      <c r="C21" s="2" t="s">
        <v>16</v>
      </c>
      <c r="D21" s="1">
        <f>12*18</f>
        <v>216</v>
      </c>
      <c r="E21">
        <f t="shared" si="0"/>
        <v>3</v>
      </c>
      <c r="F21">
        <v>3</v>
      </c>
      <c r="G21">
        <v>3</v>
      </c>
    </row>
    <row r="22" spans="1:9">
      <c r="C22" s="2" t="s">
        <v>14</v>
      </c>
      <c r="D22" s="1" t="s">
        <v>122</v>
      </c>
      <c r="E22">
        <f t="shared" si="0"/>
        <v>4</v>
      </c>
      <c r="F22">
        <v>3</v>
      </c>
      <c r="G22">
        <v>0</v>
      </c>
    </row>
    <row r="23" spans="1:9">
      <c r="A23" s="2" t="s">
        <v>13</v>
      </c>
      <c r="B23" s="2" t="s">
        <v>16</v>
      </c>
      <c r="C23" s="2" t="s">
        <v>16</v>
      </c>
      <c r="D23" s="1" t="s">
        <v>127</v>
      </c>
      <c r="E23">
        <f t="shared" si="0"/>
        <v>16</v>
      </c>
      <c r="F23">
        <v>3</v>
      </c>
      <c r="G23">
        <v>0</v>
      </c>
      <c r="I23" t="s">
        <v>129</v>
      </c>
    </row>
    <row r="24" spans="1:9">
      <c r="C24" s="2" t="s">
        <v>14</v>
      </c>
      <c r="D24" s="1" t="s">
        <v>128</v>
      </c>
      <c r="E24">
        <f t="shared" si="0"/>
        <v>9</v>
      </c>
      <c r="F24">
        <v>3</v>
      </c>
      <c r="G24">
        <v>0</v>
      </c>
    </row>
    <row r="25" spans="1:9" ht="37.5">
      <c r="B25" s="2" t="s">
        <v>14</v>
      </c>
      <c r="D25" s="1" t="s">
        <v>130</v>
      </c>
      <c r="E25">
        <f t="shared" si="0"/>
        <v>48</v>
      </c>
      <c r="F25">
        <v>4</v>
      </c>
      <c r="G25">
        <v>2</v>
      </c>
    </row>
    <row r="26" spans="1:9">
      <c r="B26" s="2" t="s">
        <v>21</v>
      </c>
      <c r="D26" s="1" t="s">
        <v>131</v>
      </c>
      <c r="E26">
        <f t="shared" si="0"/>
        <v>22</v>
      </c>
      <c r="F26">
        <v>4</v>
      </c>
      <c r="G26">
        <v>2</v>
      </c>
    </row>
    <row r="27" spans="1:9">
      <c r="A27" s="2" t="s">
        <v>77</v>
      </c>
      <c r="B27" s="2" t="s">
        <v>16</v>
      </c>
      <c r="C27" s="2" t="s">
        <v>16</v>
      </c>
      <c r="D27" s="1" t="s">
        <v>135</v>
      </c>
      <c r="E27">
        <f t="shared" si="0"/>
        <v>3</v>
      </c>
      <c r="F27">
        <v>4</v>
      </c>
      <c r="G27">
        <v>4</v>
      </c>
    </row>
    <row r="28" spans="1:9">
      <c r="C28" s="2" t="s">
        <v>14</v>
      </c>
      <c r="D28" s="1" t="s">
        <v>136</v>
      </c>
      <c r="E28">
        <f t="shared" si="0"/>
        <v>2</v>
      </c>
      <c r="F28">
        <v>4</v>
      </c>
      <c r="G28">
        <v>0</v>
      </c>
    </row>
    <row r="29" spans="1:9">
      <c r="B29" s="2" t="s">
        <v>14</v>
      </c>
      <c r="C29" s="2" t="s">
        <v>16</v>
      </c>
      <c r="D29" s="1" t="s">
        <v>137</v>
      </c>
      <c r="E29">
        <f t="shared" si="0"/>
        <v>5</v>
      </c>
      <c r="F29">
        <v>4</v>
      </c>
      <c r="G29">
        <v>4</v>
      </c>
    </row>
    <row r="30" spans="1:9">
      <c r="C30" s="2" t="s">
        <v>14</v>
      </c>
      <c r="D30" s="1" t="s">
        <v>64</v>
      </c>
      <c r="E30">
        <f t="shared" si="0"/>
        <v>3</v>
      </c>
      <c r="F30">
        <v>4</v>
      </c>
      <c r="G30">
        <v>4</v>
      </c>
    </row>
    <row r="31" spans="1:9">
      <c r="B31" s="2" t="s">
        <v>21</v>
      </c>
      <c r="D31" s="1" t="s">
        <v>19</v>
      </c>
      <c r="E31">
        <f t="shared" si="0"/>
        <v>1</v>
      </c>
      <c r="F31">
        <v>4</v>
      </c>
      <c r="G31">
        <v>0</v>
      </c>
    </row>
    <row r="32" spans="1:9">
      <c r="B32" s="2" t="s">
        <v>13</v>
      </c>
      <c r="D32" s="1" t="s">
        <v>138</v>
      </c>
      <c r="E32">
        <f t="shared" si="0"/>
        <v>33</v>
      </c>
      <c r="F32">
        <v>4</v>
      </c>
      <c r="G32">
        <v>0</v>
      </c>
    </row>
    <row r="33" spans="2:7">
      <c r="B33" s="2" t="s">
        <v>77</v>
      </c>
      <c r="C33" s="2" t="s">
        <v>16</v>
      </c>
      <c r="D33" s="1" t="s">
        <v>139</v>
      </c>
      <c r="E33">
        <f t="shared" si="0"/>
        <v>13</v>
      </c>
      <c r="F33">
        <v>4</v>
      </c>
      <c r="G33">
        <v>0</v>
      </c>
    </row>
    <row r="34" spans="2:7">
      <c r="C34" s="2" t="s">
        <v>14</v>
      </c>
      <c r="D34" s="1" t="s">
        <v>140</v>
      </c>
      <c r="E34">
        <f t="shared" si="0"/>
        <v>30</v>
      </c>
      <c r="F34">
        <v>4</v>
      </c>
      <c r="G34">
        <v>0</v>
      </c>
    </row>
    <row r="35" spans="2:7">
      <c r="B35" s="2" t="s">
        <v>78</v>
      </c>
      <c r="D35" s="1" t="s">
        <v>141</v>
      </c>
      <c r="E35">
        <f t="shared" si="0"/>
        <v>30</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2026-01-11T09:48:40Z</dcterms:modified>
</cp:coreProperties>
</file>