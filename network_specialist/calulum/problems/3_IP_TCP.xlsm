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D:\PycharmProjects\security_specialist\network_specialist\calulum\problems\"/>
    </mc:Choice>
  </mc:AlternateContent>
  <xr:revisionPtr revIDLastSave="0" documentId="13_ncr:1_{0D06F134-03D6-4847-9067-7016AFA632DC}" xr6:coauthVersionLast="47" xr6:coauthVersionMax="47" xr10:uidLastSave="{00000000-0000-0000-0000-000000000000}"/>
  <bookViews>
    <workbookView xWindow="-120" yWindow="-120" windowWidth="29040" windowHeight="15720" activeTab="2" xr2:uid="{00000000-000D-0000-FFFF-FFFF00000000}"/>
  </bookViews>
  <sheets>
    <sheet name="レビュー" sheetId="2" r:id="rId1"/>
    <sheet name="format" sheetId="4" r:id="rId2"/>
    <sheet name="1" sheetId="9" r:id="rId3"/>
    <sheet name="2" sheetId="10" r:id="rId4"/>
    <sheet name="3" sheetId="11"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1" i="11" l="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8" i="9"/>
  <c r="E17"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6" i="9"/>
  <c r="E15" i="9"/>
  <c r="E14" i="9"/>
  <c r="E13" i="9"/>
  <c r="E12" i="9"/>
  <c r="E11" i="9"/>
  <c r="E10" i="9"/>
  <c r="E9" i="9"/>
  <c r="E8" i="9"/>
  <c r="E7" i="9"/>
  <c r="E6" i="9"/>
  <c r="E5" i="9"/>
  <c r="E4" i="9"/>
  <c r="G2" i="9"/>
  <c r="F2" i="9"/>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<sst xmlns="http://schemas.openxmlformats.org/spreadsheetml/2006/main" count="205" uniqueCount="117">
  <si>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</si>
  <si>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</si>
  <si>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</si>
  <si>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</si>
  <si>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</si>
  <si>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</si>
  <si>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</si>
  <si>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</si>
  <si>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</si>
  <si>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</si>
  <si>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</si>
  <si>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</si>
  <si>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オ</t>
    <phoneticPr fontId="1"/>
  </si>
  <si>
    <t>4</t>
    <phoneticPr fontId="1"/>
  </si>
  <si>
    <t>2</t>
    <phoneticPr fontId="1"/>
  </si>
  <si>
    <t>重点対策</t>
    <rPh sb="0" eb="4">
      <t>ジュウテンタイサク</t>
    </rPh>
    <phoneticPr fontId="1"/>
  </si>
  <si>
    <t>1</t>
    <phoneticPr fontId="1"/>
  </si>
  <si>
    <t>ア</t>
    <phoneticPr fontId="1"/>
  </si>
  <si>
    <t>イ</t>
    <phoneticPr fontId="1"/>
  </si>
  <si>
    <t>ウ</t>
    <phoneticPr fontId="1"/>
  </si>
  <si>
    <t>エ</t>
    <phoneticPr fontId="1"/>
  </si>
  <si>
    <t>3</t>
    <phoneticPr fontId="1"/>
  </si>
  <si>
    <t>中継運送業者</t>
    <rPh sb="0" eb="2">
      <t>チュウケイ</t>
    </rPh>
    <rPh sb="2" eb="6">
      <t>ウンソウギョウシャ</t>
    </rPh>
    <phoneticPr fontId="1"/>
  </si>
  <si>
    <t>半管理システム</t>
    <rPh sb="0" eb="3">
      <t>ハンカンリ</t>
    </rPh>
    <phoneticPr fontId="1"/>
  </si>
  <si>
    <t>モバイルネットワーク</t>
    <phoneticPr fontId="1"/>
  </si>
  <si>
    <t>タブレットとモバイルはLTE回線</t>
    <rPh sb="14" eb="16">
      <t>カイセン</t>
    </rPh>
    <phoneticPr fontId="1"/>
  </si>
  <si>
    <t>タブレット構成</t>
    <rPh sb="5" eb="7">
      <t>コウセイ</t>
    </rPh>
    <phoneticPr fontId="1"/>
  </si>
  <si>
    <t>無線LANLTE経由</t>
    <rPh sb="0" eb="2">
      <t>ムセン</t>
    </rPh>
    <rPh sb="8" eb="10">
      <t>ケイユ</t>
    </rPh>
    <phoneticPr fontId="1"/>
  </si>
  <si>
    <t>導入予定のモバイルWiFI</t>
    <rPh sb="0" eb="4">
      <t>ドウニュウヨテイ</t>
    </rPh>
    <phoneticPr fontId="1"/>
  </si>
  <si>
    <t>定期的に送信するビーコン信号を停止する</t>
    <rPh sb="0" eb="3">
      <t>テイキテキ</t>
    </rPh>
    <rPh sb="4" eb="6">
      <t>ソウシン</t>
    </rPh>
    <rPh sb="12" eb="14">
      <t>シンゴウ</t>
    </rPh>
    <rPh sb="15" eb="17">
      <t>テイシ</t>
    </rPh>
    <phoneticPr fontId="1"/>
  </si>
  <si>
    <t>SSIDやMACアドレスは暗号化できないため、傍受される</t>
    <rPh sb="13" eb="16">
      <t>アンゴウカ</t>
    </rPh>
    <rPh sb="23" eb="25">
      <t>ボウジュ</t>
    </rPh>
    <phoneticPr fontId="1"/>
  </si>
  <si>
    <t>E</t>
    <phoneticPr fontId="1"/>
  </si>
  <si>
    <t>内部IPアドレスが使われているところはダメ</t>
    <rPh sb="0" eb="2">
      <t>ナイブ</t>
    </rPh>
    <rPh sb="9" eb="10">
      <t>ツカ</t>
    </rPh>
    <phoneticPr fontId="1"/>
  </si>
  <si>
    <t>AES</t>
    <phoneticPr fontId="1"/>
  </si>
  <si>
    <t>IEEE802.1Q</t>
    <phoneticPr fontId="1"/>
  </si>
  <si>
    <t>Simカード</t>
    <phoneticPr fontId="1"/>
  </si>
  <si>
    <t>デフォルトゲートウェイ</t>
    <phoneticPr fontId="1"/>
  </si>
  <si>
    <t>NAPT</t>
    <phoneticPr fontId="1"/>
  </si>
  <si>
    <t>APN</t>
    <phoneticPr fontId="1"/>
  </si>
  <si>
    <t>PSK</t>
    <phoneticPr fontId="1"/>
  </si>
  <si>
    <t>VPN接続の利用者IDを無効する</t>
    <rPh sb="3" eb="5">
      <t>セツゾク</t>
    </rPh>
    <rPh sb="6" eb="9">
      <t>リヨウシャ</t>
    </rPh>
    <rPh sb="12" eb="14">
      <t>ムコウ</t>
    </rPh>
    <phoneticPr fontId="1"/>
  </si>
  <si>
    <t>内部DNSサーバとプロキシサーバへの通信</t>
    <rPh sb="0" eb="2">
      <t>ナイブ</t>
    </rPh>
    <rPh sb="18" eb="20">
      <t>ツウシン</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</si>
  <si>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</si>
  <si>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</si>
  <si>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</si>
  <si>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</si>
  <si>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</si>
  <si>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</si>
  <si>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</si>
  <si>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</si>
  <si>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</si>
  <si>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</si>
  <si>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5</t>
    <phoneticPr fontId="1"/>
  </si>
  <si>
    <t>6</t>
    <phoneticPr fontId="1"/>
  </si>
  <si>
    <t>Yはネットワーク関連会社</t>
    <rPh sb="8" eb="10">
      <t>カンレン</t>
    </rPh>
    <rPh sb="10" eb="12">
      <t>カイシャ</t>
    </rPh>
    <phoneticPr fontId="1"/>
  </si>
  <si>
    <t>オフィスビルの2フロア</t>
    <phoneticPr fontId="1"/>
  </si>
  <si>
    <t>本社と営業所</t>
    <rPh sb="0" eb="2">
      <t>ホンシャ</t>
    </rPh>
    <rPh sb="3" eb="6">
      <t>エイギョウショ</t>
    </rPh>
    <phoneticPr fontId="1"/>
  </si>
  <si>
    <t>NPCにWiFIルータ</t>
    <phoneticPr fontId="1"/>
  </si>
  <si>
    <t>メール送受信</t>
    <rPh sb="3" eb="6">
      <t>ソウジュシン</t>
    </rPh>
    <phoneticPr fontId="1"/>
  </si>
  <si>
    <t>有線LAN</t>
    <rPh sb="0" eb="2">
      <t>ユウセン</t>
    </rPh>
    <phoneticPr fontId="1"/>
  </si>
  <si>
    <t>同一VLAN</t>
    <rPh sb="0" eb="2">
      <t>ドウイツ</t>
    </rPh>
    <phoneticPr fontId="1"/>
  </si>
  <si>
    <t>オフィスエリア</t>
    <phoneticPr fontId="1"/>
  </si>
  <si>
    <t>来訪者NPC</t>
    <rPh sb="0" eb="3">
      <t>ライホウシャ</t>
    </rPh>
    <phoneticPr fontId="1"/>
  </si>
  <si>
    <t>LTE回線</t>
    <rPh sb="3" eb="5">
      <t>カイセン</t>
    </rPh>
    <phoneticPr fontId="1"/>
  </si>
  <si>
    <t>応接室</t>
    <rPh sb="0" eb="3">
      <t>オウセツシツ</t>
    </rPh>
    <phoneticPr fontId="1"/>
  </si>
  <si>
    <t>wirelesss LAN</t>
    <phoneticPr fontId="1"/>
  </si>
  <si>
    <t>データ暗号化方式</t>
    <rPh sb="3" eb="6">
      <t>アンゴウカ</t>
    </rPh>
    <rPh sb="6" eb="8">
      <t>ホウシキ</t>
    </rPh>
    <phoneticPr fontId="1"/>
  </si>
  <si>
    <t>無線LAN技術</t>
    <rPh sb="0" eb="2">
      <t>ムセン</t>
    </rPh>
    <rPh sb="5" eb="7">
      <t>ギジュツ</t>
    </rPh>
    <phoneticPr fontId="1"/>
  </si>
  <si>
    <t>any</t>
    <phoneticPr fontId="1"/>
  </si>
  <si>
    <t>共通</t>
    <rPh sb="0" eb="2">
      <t>キョウツウ</t>
    </rPh>
    <phoneticPr fontId="1"/>
  </si>
  <si>
    <t>802.11i</t>
    <phoneticPr fontId="1"/>
  </si>
  <si>
    <t>ストリーム</t>
    <phoneticPr fontId="1"/>
  </si>
  <si>
    <t>同一</t>
    <rPh sb="0" eb="2">
      <t>ドウイツ</t>
    </rPh>
    <phoneticPr fontId="1"/>
  </si>
  <si>
    <t>サーバー</t>
    <phoneticPr fontId="1"/>
  </si>
  <si>
    <t>MACアドレス</t>
    <phoneticPr fontId="1"/>
  </si>
  <si>
    <t>認証</t>
    <rPh sb="0" eb="2">
      <t>ニンショウ</t>
    </rPh>
    <phoneticPr fontId="1"/>
  </si>
  <si>
    <t>e1をカウンタとともにXOR計算を行う</t>
    <rPh sb="14" eb="16">
      <t>ケイサン</t>
    </rPh>
    <rPh sb="17" eb="18">
      <t>オコナ</t>
    </rPh>
    <phoneticPr fontId="1"/>
  </si>
  <si>
    <t>IEEE802.1Xを利用する</t>
    <rPh sb="11" eb="13">
      <t>リヨウ</t>
    </rPh>
    <phoneticPr fontId="1"/>
  </si>
  <si>
    <t>EAP-TLSを利用する</t>
    <rPh sb="8" eb="10">
      <t>リヨウ</t>
    </rPh>
    <phoneticPr fontId="1"/>
  </si>
  <si>
    <t>フロア図をもとに設置検討</t>
    <rPh sb="3" eb="4">
      <t>ズ</t>
    </rPh>
    <rPh sb="8" eb="10">
      <t>セッチ</t>
    </rPh>
    <rPh sb="10" eb="12">
      <t>ケントウ</t>
    </rPh>
    <phoneticPr fontId="1"/>
  </si>
  <si>
    <t>NPCを優先LAN</t>
    <rPh sb="4" eb="6">
      <t>ユウセン</t>
    </rPh>
    <phoneticPr fontId="1"/>
  </si>
  <si>
    <t>MIMOで通信が可能</t>
    <rPh sb="5" eb="7">
      <t>ツウシン</t>
    </rPh>
    <rPh sb="8" eb="10">
      <t>カノウ</t>
    </rPh>
    <phoneticPr fontId="1"/>
  </si>
  <si>
    <t>8chボンディング</t>
    <phoneticPr fontId="1"/>
  </si>
  <si>
    <t>80MHzで2本</t>
    <rPh sb="7" eb="8">
      <t>ホン</t>
    </rPh>
    <phoneticPr fontId="1"/>
  </si>
  <si>
    <t>WLCで管理する</t>
    <rPh sb="4" eb="6">
      <t>カンリ</t>
    </rPh>
    <phoneticPr fontId="1"/>
  </si>
  <si>
    <t>有線LAN経由で複数のAP</t>
    <rPh sb="0" eb="2">
      <t>ユウセン</t>
    </rPh>
    <rPh sb="5" eb="7">
      <t>ケイユ</t>
    </rPh>
    <rPh sb="8" eb="10">
      <t>フクスウ</t>
    </rPh>
    <phoneticPr fontId="1"/>
  </si>
  <si>
    <t>APの負荷分散</t>
    <rPh sb="3" eb="7">
      <t>フカブンサン</t>
    </rPh>
    <phoneticPr fontId="1"/>
  </si>
  <si>
    <t>WLCは分散処理可能</t>
    <rPh sb="4" eb="8">
      <t>ブンサンショリ</t>
    </rPh>
    <rPh sb="8" eb="10">
      <t>カノウ</t>
    </rPh>
    <phoneticPr fontId="1"/>
  </si>
  <si>
    <t>WLCに障害があったとしても、通信は停止せず継続できる</t>
    <rPh sb="4" eb="6">
      <t>ショウガイ</t>
    </rPh>
    <rPh sb="15" eb="17">
      <t>ツウシン</t>
    </rPh>
    <rPh sb="18" eb="20">
      <t>テイシ</t>
    </rPh>
    <rPh sb="22" eb="24">
      <t>ケイゾク</t>
    </rPh>
    <phoneticPr fontId="1"/>
  </si>
  <si>
    <t>WLCに通信が集中することを防ぐことが出来る</t>
    <rPh sb="4" eb="6">
      <t>ツウシン</t>
    </rPh>
    <rPh sb="7" eb="9">
      <t>シュウチュウ</t>
    </rPh>
    <rPh sb="14" eb="15">
      <t>フセ</t>
    </rPh>
    <rPh sb="19" eb="21">
      <t>デキ</t>
    </rPh>
    <phoneticPr fontId="1"/>
  </si>
  <si>
    <t>APは電波の到達性を顧慮して天井</t>
    <rPh sb="3" eb="5">
      <t>デンパ</t>
    </rPh>
    <rPh sb="6" eb="9">
      <t>トウタツセイ</t>
    </rPh>
    <rPh sb="10" eb="12">
      <t>コリョ</t>
    </rPh>
    <rPh sb="14" eb="16">
      <t>テンジョウ</t>
    </rPh>
    <phoneticPr fontId="1"/>
  </si>
  <si>
    <t>電波干渉により通信障害が派生する</t>
    <rPh sb="0" eb="4">
      <t>デンパカンショウ</t>
    </rPh>
    <rPh sb="7" eb="11">
      <t>ツウシンショウガイ</t>
    </rPh>
    <rPh sb="12" eb="14">
      <t>ハセイ</t>
    </rPh>
    <phoneticPr fontId="1"/>
  </si>
  <si>
    <t>CA機能</t>
    <rPh sb="2" eb="4">
      <t>キノウ</t>
    </rPh>
    <phoneticPr fontId="1"/>
  </si>
  <si>
    <t>サーバー証明書</t>
    <rPh sb="4" eb="7">
      <t>ショウメイショ</t>
    </rPh>
    <phoneticPr fontId="1"/>
  </si>
  <si>
    <t>クライアント証明書</t>
    <rPh sb="6" eb="9">
      <t>ショウメイショ</t>
    </rPh>
    <phoneticPr fontId="1"/>
  </si>
  <si>
    <t>APの負荷分散を行わせるため</t>
    <rPh sb="3" eb="7">
      <t>フカブンサン</t>
    </rPh>
    <rPh sb="8" eb="9">
      <t>オコナ</t>
    </rPh>
    <phoneticPr fontId="1"/>
  </si>
  <si>
    <t>導入するAP</t>
    <rPh sb="0" eb="2">
      <t>ドウニュウ</t>
    </rPh>
    <phoneticPr fontId="1"/>
  </si>
  <si>
    <t>PoE+</t>
    <phoneticPr fontId="1"/>
  </si>
  <si>
    <t>ディジタル証明書の配布方法</t>
    <rPh sb="5" eb="8">
      <t>ショウメイショ</t>
    </rPh>
    <rPh sb="9" eb="13">
      <t>ハイフホウホウ</t>
    </rPh>
    <phoneticPr fontId="1"/>
  </si>
  <si>
    <t>RADIUS</t>
    <phoneticPr fontId="1"/>
  </si>
  <si>
    <t>クライアント証明書を発行するCA</t>
    <rPh sb="6" eb="9">
      <t>ショウメイショ</t>
    </rPh>
    <rPh sb="10" eb="12">
      <t>ハッコウ</t>
    </rPh>
    <phoneticPr fontId="1"/>
  </si>
  <si>
    <t>クライアント証明書は直接インストール</t>
    <rPh sb="6" eb="9">
      <t>ショウメイショ</t>
    </rPh>
    <rPh sb="10" eb="12">
      <t>チョクセツ</t>
    </rPh>
    <phoneticPr fontId="1"/>
  </si>
  <si>
    <t>RADIUSサーバのルート証明書</t>
    <rPh sb="13" eb="16">
      <t>ショウメイショ</t>
    </rPh>
    <phoneticPr fontId="1"/>
  </si>
  <si>
    <t>クライアント秘密鍵</t>
    <rPh sb="6" eb="9">
      <t>ヒミツカギ</t>
    </rPh>
    <phoneticPr fontId="1"/>
  </si>
  <si>
    <t>CAの自己署名証明書</t>
    <rPh sb="3" eb="5">
      <t>ジコ</t>
    </rPh>
    <rPh sb="5" eb="7">
      <t>ショメイ</t>
    </rPh>
    <rPh sb="7" eb="10">
      <t>ショウメイショ</t>
    </rPh>
    <phoneticPr fontId="1"/>
  </si>
  <si>
    <t>認証されなかった本人以外のPCが、本人のクライアント証明書を不正に入手することが出来てしまうため</t>
    <rPh sb="0" eb="2">
      <t>ニンショウ</t>
    </rPh>
    <rPh sb="8" eb="12">
      <t>ホンニンイガイ</t>
    </rPh>
    <rPh sb="17" eb="19">
      <t>ホンニン</t>
    </rPh>
    <rPh sb="26" eb="29">
      <t>ショウメイショ</t>
    </rPh>
    <rPh sb="30" eb="32">
      <t>フセイ</t>
    </rPh>
    <rPh sb="33" eb="35">
      <t>ニュウシュ</t>
    </rPh>
    <rPh sb="40" eb="42">
      <t>デキ</t>
    </rPh>
    <phoneticPr fontId="1"/>
  </si>
  <si>
    <t>クライアント証明書の有効期限を切らした営業員</t>
    <rPh sb="6" eb="9">
      <t>ショウメイショ</t>
    </rPh>
    <rPh sb="10" eb="14">
      <t>ユウコウキゲン</t>
    </rPh>
    <rPh sb="15" eb="16">
      <t>キ</t>
    </rPh>
    <rPh sb="19" eb="22">
      <t>エイギョウイン</t>
    </rPh>
    <phoneticPr fontId="1"/>
  </si>
  <si>
    <t>季節LANに無線LAN</t>
    <rPh sb="0" eb="2">
      <t>キセツ</t>
    </rPh>
    <rPh sb="6" eb="8">
      <t>ムセン</t>
    </rPh>
    <phoneticPr fontId="1"/>
  </si>
  <si>
    <t>LAN構成</t>
    <rPh sb="3" eb="5">
      <t>コウセイ</t>
    </rPh>
    <phoneticPr fontId="1"/>
  </si>
  <si>
    <t>DHCPサーバでNPCに付与</t>
    <rPh sb="12" eb="14">
      <t>フヨ</t>
    </rPh>
    <phoneticPr fontId="1"/>
  </si>
  <si>
    <t>NPC</t>
    <phoneticPr fontId="1"/>
  </si>
  <si>
    <t>AP</t>
    <phoneticPr fontId="1"/>
  </si>
  <si>
    <t>ESSID</t>
    <phoneticPr fontId="1"/>
  </si>
  <si>
    <t>ルータ2の接続ポートだけにVLAN200のポートVLANを設定する</t>
    <rPh sb="5" eb="7">
      <t>セツゾク</t>
    </rPh>
    <rPh sb="29" eb="31">
      <t>セッテイ</t>
    </rPh>
    <phoneticPr fontId="1"/>
  </si>
  <si>
    <t>ハンドオーバーできなくなる</t>
    <phoneticPr fontId="1"/>
  </si>
  <si>
    <t>NPCに配布したPMKと認証関連情報がWLCで保持されている</t>
    <rPh sb="4" eb="6">
      <t>ハイフ</t>
    </rPh>
    <rPh sb="12" eb="16">
      <t>ニンショウカンレン</t>
    </rPh>
    <rPh sb="16" eb="18">
      <t>ジョウホウ</t>
    </rPh>
    <rPh sb="23" eb="25">
      <t>ホジ</t>
    </rPh>
    <phoneticPr fontId="1"/>
  </si>
  <si>
    <t>AP→L"SW5→L3SW→FW→L2SW1→プロキシサーバ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</si>
</sst>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A2" sqref="A2:E5"/>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3DFC5-9F53-4462-B8C3-7C3B56B6694E}">
  <sheetPr codeName="Sheet4"/>
  <dimension ref="A1:G167"/>
  <sheetViews>
    <sheetView tabSelected="1" zoomScale="85" zoomScaleNormal="85" workbookViewId="0">
      <pane xSplit="1" ySplit="3" topLeftCell="B4" activePane="bottomRight" state="frozen"/>
      <selection pane="topRight" activeCell="B1" sqref="B1"/>
      <selection pane="bottomLeft" activeCell="A4" sqref="A4"/>
      <selection pane="bottomRight" activeCell="F12" sqref="F12"/>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7">
      <c r="A1" s="4" t="s">
        <v>0</v>
      </c>
      <c r="B1" s="4"/>
      <c r="C1" s="4"/>
      <c r="D1" s="1" t="s">
        <v>15</v>
      </c>
    </row>
    <row r="2" spans="1:7">
      <c r="A2" s="4" t="s">
        <v>2</v>
      </c>
      <c r="B2" s="4"/>
      <c r="C2" s="4"/>
      <c r="D2" s="3" t="s">
        <v>16</v>
      </c>
      <c r="F2">
        <f>SUM(F4:F1000)</f>
        <v>0</v>
      </c>
      <c r="G2">
        <f>SUM(G4:G1000)</f>
        <v>0</v>
      </c>
    </row>
    <row r="3" spans="1:7">
      <c r="A3" s="4" t="s">
        <v>1</v>
      </c>
      <c r="B3" s="4"/>
      <c r="C3" s="4"/>
      <c r="D3" s="1" t="s">
        <v>3</v>
      </c>
      <c r="E3" t="s">
        <v>6</v>
      </c>
      <c r="F3" t="s">
        <v>4</v>
      </c>
      <c r="G3" t="s">
        <v>5</v>
      </c>
    </row>
    <row r="4" spans="1:7">
      <c r="A4" s="2" t="s">
        <v>16</v>
      </c>
      <c r="C4" s="2" t="s">
        <v>17</v>
      </c>
      <c r="E4" t="str">
        <f>IF(D4&lt;&gt;"",LEN(D4),"")</f>
        <v/>
      </c>
    </row>
    <row r="5" spans="1:7">
      <c r="C5" s="2" t="s">
        <v>18</v>
      </c>
      <c r="E5" t="str">
        <f t="shared" ref="E5:E68" si="0">IF(D5&lt;&gt;"",LEN(D5),"")</f>
        <v/>
      </c>
    </row>
    <row r="6" spans="1:7">
      <c r="C6" s="2" t="s">
        <v>19</v>
      </c>
      <c r="E6" t="str">
        <f t="shared" si="0"/>
        <v/>
      </c>
    </row>
    <row r="7" spans="1:7">
      <c r="C7" s="2" t="s">
        <v>20</v>
      </c>
      <c r="E7" t="str">
        <f t="shared" si="0"/>
        <v/>
      </c>
    </row>
    <row r="8" spans="1:7">
      <c r="C8" s="2" t="s">
        <v>12</v>
      </c>
      <c r="E8" t="str">
        <f t="shared" si="0"/>
        <v/>
      </c>
    </row>
    <row r="9" spans="1:7">
      <c r="A9" s="2" t="s">
        <v>14</v>
      </c>
      <c r="B9" s="2" t="s">
        <v>16</v>
      </c>
      <c r="E9" t="str">
        <f t="shared" si="0"/>
        <v/>
      </c>
    </row>
    <row r="10" spans="1:7">
      <c r="B10" s="2" t="s">
        <v>14</v>
      </c>
      <c r="E10" t="str">
        <f t="shared" si="0"/>
        <v/>
      </c>
    </row>
    <row r="11" spans="1:7">
      <c r="B11" s="2" t="s">
        <v>21</v>
      </c>
      <c r="E11" t="str">
        <f t="shared" si="0"/>
        <v/>
      </c>
    </row>
    <row r="12" spans="1:7">
      <c r="A12" s="2" t="s">
        <v>21</v>
      </c>
      <c r="B12" s="2" t="s">
        <v>16</v>
      </c>
      <c r="C12" s="2" t="s">
        <v>42</v>
      </c>
      <c r="E12" t="str">
        <f t="shared" si="0"/>
        <v/>
      </c>
    </row>
    <row r="13" spans="1:7">
      <c r="C13" s="2" t="s">
        <v>43</v>
      </c>
      <c r="E13" t="str">
        <f t="shared" si="0"/>
        <v/>
      </c>
    </row>
    <row r="14" spans="1:7">
      <c r="B14" s="2" t="s">
        <v>14</v>
      </c>
      <c r="C14" s="2" t="s">
        <v>16</v>
      </c>
      <c r="E14" t="str">
        <f t="shared" si="0"/>
        <v/>
      </c>
    </row>
    <row r="15" spans="1:7">
      <c r="C15" s="2" t="s">
        <v>14</v>
      </c>
      <c r="E15" t="str">
        <f t="shared" si="0"/>
        <v/>
      </c>
    </row>
    <row r="16" spans="1:7">
      <c r="C16" s="2" t="s">
        <v>21</v>
      </c>
      <c r="E16" t="str">
        <f t="shared" si="0"/>
        <v/>
      </c>
    </row>
    <row r="17" spans="3:5">
      <c r="C17" s="2" t="s">
        <v>13</v>
      </c>
      <c r="E17" t="str">
        <f t="shared" si="0"/>
        <v/>
      </c>
    </row>
    <row r="18" spans="3:5">
      <c r="E18" t="str">
        <f t="shared" si="0"/>
        <v/>
      </c>
    </row>
    <row r="19" spans="3:5">
      <c r="E19" t="str">
        <f t="shared" si="0"/>
        <v/>
      </c>
    </row>
    <row r="20" spans="3:5">
      <c r="E20" t="str">
        <f t="shared" si="0"/>
        <v/>
      </c>
    </row>
    <row r="21" spans="3:5">
      <c r="E21" t="str">
        <f t="shared" si="0"/>
        <v/>
      </c>
    </row>
    <row r="22" spans="3:5">
      <c r="E22" t="str">
        <f t="shared" si="0"/>
        <v/>
      </c>
    </row>
    <row r="23" spans="3:5">
      <c r="E23" t="str">
        <f t="shared" si="0"/>
        <v/>
      </c>
    </row>
    <row r="24" spans="3:5">
      <c r="E24" t="str">
        <f t="shared" si="0"/>
        <v/>
      </c>
    </row>
    <row r="25" spans="3:5">
      <c r="E25" t="str">
        <f t="shared" si="0"/>
        <v/>
      </c>
    </row>
    <row r="26" spans="3:5">
      <c r="E26" t="str">
        <f t="shared" si="0"/>
        <v/>
      </c>
    </row>
    <row r="27" spans="3:5">
      <c r="E27" t="str">
        <f t="shared" si="0"/>
        <v/>
      </c>
    </row>
    <row r="28" spans="3:5">
      <c r="E28" t="str">
        <f t="shared" si="0"/>
        <v/>
      </c>
    </row>
    <row r="29" spans="3:5">
      <c r="E29" t="str">
        <f t="shared" si="0"/>
        <v/>
      </c>
    </row>
    <row r="30" spans="3:5">
      <c r="E30" t="str">
        <f t="shared" si="0"/>
        <v/>
      </c>
    </row>
    <row r="31" spans="3:5">
      <c r="E31" t="str">
        <f t="shared" si="0"/>
        <v/>
      </c>
    </row>
    <row r="32" spans="3: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3:C3"/>
    <mergeCell ref="A2:C2"/>
    <mergeCell ref="A1:C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72F2-C33F-42B2-81D3-9044BD3100BB}">
  <sheetPr codeName="Sheet5"/>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J11" sqref="J11"/>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1">
      <c r="A1" s="4" t="s">
        <v>0</v>
      </c>
      <c r="B1" s="4"/>
      <c r="C1" s="4"/>
      <c r="D1" s="1" t="s">
        <v>15</v>
      </c>
    </row>
    <row r="2" spans="1:11">
      <c r="A2" s="4" t="s">
        <v>2</v>
      </c>
      <c r="B2" s="4"/>
      <c r="C2" s="4"/>
      <c r="D2" s="3" t="s">
        <v>14</v>
      </c>
      <c r="F2">
        <f>SUM(F4:F1000)</f>
        <v>50</v>
      </c>
      <c r="G2">
        <f>SUM(G4:G1000)</f>
        <v>30</v>
      </c>
    </row>
    <row r="3" spans="1:11">
      <c r="A3" s="4" t="s">
        <v>1</v>
      </c>
      <c r="B3" s="4"/>
      <c r="C3" s="4"/>
      <c r="D3" s="1" t="s">
        <v>3</v>
      </c>
      <c r="E3" t="s">
        <v>6</v>
      </c>
      <c r="F3" t="s">
        <v>4</v>
      </c>
      <c r="G3" t="s">
        <v>5</v>
      </c>
    </row>
    <row r="4" spans="1:11">
      <c r="A4" s="2" t="s">
        <v>16</v>
      </c>
      <c r="C4" s="2" t="s">
        <v>17</v>
      </c>
      <c r="D4" s="1" t="s">
        <v>33</v>
      </c>
      <c r="E4">
        <f>IF(D4&lt;&gt;"",LEN(D4),"")</f>
        <v>3</v>
      </c>
      <c r="F4">
        <v>2</v>
      </c>
      <c r="G4">
        <v>2</v>
      </c>
      <c r="J4" t="s">
        <v>39</v>
      </c>
      <c r="K4" t="s">
        <v>39</v>
      </c>
    </row>
    <row r="5" spans="1:11">
      <c r="C5" s="2" t="s">
        <v>18</v>
      </c>
      <c r="D5" s="1" t="s">
        <v>34</v>
      </c>
      <c r="E5">
        <f t="shared" ref="E5:E68" si="0">IF(D5&lt;&gt;"",LEN(D5),"")</f>
        <v>10</v>
      </c>
      <c r="F5">
        <v>2</v>
      </c>
      <c r="G5">
        <v>0</v>
      </c>
      <c r="J5" t="s">
        <v>38</v>
      </c>
      <c r="K5" t="s">
        <v>22</v>
      </c>
    </row>
    <row r="6" spans="1:11">
      <c r="C6" s="2" t="s">
        <v>19</v>
      </c>
      <c r="D6" s="1" t="s">
        <v>35</v>
      </c>
      <c r="E6">
        <f t="shared" si="0"/>
        <v>6</v>
      </c>
      <c r="F6">
        <v>2</v>
      </c>
      <c r="G6">
        <v>2</v>
      </c>
      <c r="J6" t="s">
        <v>38</v>
      </c>
      <c r="K6" t="s">
        <v>23</v>
      </c>
    </row>
    <row r="7" spans="1:11">
      <c r="C7" s="2" t="s">
        <v>20</v>
      </c>
      <c r="D7" s="1" t="s">
        <v>36</v>
      </c>
      <c r="E7">
        <f t="shared" si="0"/>
        <v>11</v>
      </c>
      <c r="F7">
        <v>2</v>
      </c>
      <c r="G7">
        <v>0</v>
      </c>
      <c r="J7" t="s">
        <v>38</v>
      </c>
      <c r="K7" t="s">
        <v>24</v>
      </c>
    </row>
    <row r="8" spans="1:11">
      <c r="C8" s="2" t="s">
        <v>12</v>
      </c>
      <c r="D8" s="1" t="s">
        <v>37</v>
      </c>
      <c r="E8">
        <f t="shared" si="0"/>
        <v>4</v>
      </c>
      <c r="F8">
        <v>2</v>
      </c>
      <c r="G8">
        <v>2</v>
      </c>
      <c r="K8" t="s">
        <v>25</v>
      </c>
    </row>
    <row r="9" spans="1:11">
      <c r="A9" s="2" t="s">
        <v>14</v>
      </c>
      <c r="B9" s="2" t="s">
        <v>16</v>
      </c>
      <c r="D9" s="1" t="s">
        <v>29</v>
      </c>
      <c r="E9">
        <f t="shared" si="0"/>
        <v>19</v>
      </c>
      <c r="F9">
        <v>8</v>
      </c>
      <c r="G9">
        <v>8</v>
      </c>
      <c r="K9" t="s">
        <v>26</v>
      </c>
    </row>
    <row r="10" spans="1:11">
      <c r="B10" s="2" t="s">
        <v>14</v>
      </c>
      <c r="D10" s="1" t="s">
        <v>30</v>
      </c>
      <c r="E10">
        <f t="shared" si="0"/>
        <v>28</v>
      </c>
      <c r="F10">
        <v>8</v>
      </c>
      <c r="G10">
        <v>8</v>
      </c>
      <c r="K10" t="s">
        <v>27</v>
      </c>
    </row>
    <row r="11" spans="1:11">
      <c r="B11" s="2" t="s">
        <v>21</v>
      </c>
      <c r="D11" s="1" t="s">
        <v>31</v>
      </c>
      <c r="E11">
        <f t="shared" si="0"/>
        <v>1</v>
      </c>
      <c r="F11">
        <v>8</v>
      </c>
      <c r="G11">
        <v>0</v>
      </c>
      <c r="K11" t="s">
        <v>28</v>
      </c>
    </row>
    <row r="12" spans="1:11">
      <c r="A12" s="2" t="s">
        <v>21</v>
      </c>
      <c r="B12" s="2" t="s">
        <v>16</v>
      </c>
      <c r="D12" s="1" t="s">
        <v>40</v>
      </c>
      <c r="E12">
        <f t="shared" si="0"/>
        <v>16</v>
      </c>
      <c r="F12">
        <v>8</v>
      </c>
      <c r="G12">
        <v>8</v>
      </c>
      <c r="K12" t="s">
        <v>32</v>
      </c>
    </row>
    <row r="13" spans="1:11">
      <c r="B13" s="2" t="s">
        <v>14</v>
      </c>
      <c r="D13" s="1" t="s">
        <v>41</v>
      </c>
      <c r="E13">
        <f t="shared" si="0"/>
        <v>20</v>
      </c>
      <c r="F13">
        <v>8</v>
      </c>
      <c r="G13">
        <v>0</v>
      </c>
    </row>
    <row r="14" spans="1:11">
      <c r="E14" t="str">
        <f t="shared" si="0"/>
        <v/>
      </c>
    </row>
    <row r="15" spans="1:11">
      <c r="E15" t="str">
        <f t="shared" si="0"/>
        <v/>
      </c>
    </row>
    <row r="16" spans="1:11">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D29D8-DA07-41F1-A9EF-CB051BB2FDA2}">
  <sheetPr codeName="Sheet6"/>
  <dimension ref="A1:M167"/>
  <sheetViews>
    <sheetView zoomScale="85" zoomScaleNormal="85" workbookViewId="0">
      <pane xSplit="1" ySplit="3" topLeftCell="B22" activePane="bottomRight" state="frozen"/>
      <selection pane="topRight" activeCell="B1" sqref="B1"/>
      <selection pane="bottomLeft" activeCell="A4" sqref="A4"/>
      <selection pane="bottomRight" activeCell="K25" sqref="K25"/>
    </sheetView>
  </sheetViews>
  <sheetFormatPr defaultRowHeight="18.75"/>
  <cols>
    <col min="1" max="1" width="7.375" style="2" customWidth="1"/>
    <col min="2" max="2" width="8.5" style="2" customWidth="1"/>
    <col min="3" max="3" width="9" style="2"/>
    <col min="4" max="4" width="73.75" style="1" customWidth="1"/>
    <col min="5" max="5" width="9.75" customWidth="1"/>
  </cols>
  <sheetData>
    <row r="1" spans="1:13">
      <c r="A1" s="4" t="s">
        <v>0</v>
      </c>
      <c r="B1" s="4"/>
      <c r="C1" s="4"/>
      <c r="D1" s="1" t="s">
        <v>15</v>
      </c>
    </row>
    <row r="2" spans="1:13">
      <c r="A2" s="4" t="s">
        <v>2</v>
      </c>
      <c r="B2" s="4"/>
      <c r="C2" s="4"/>
      <c r="D2" s="3" t="s">
        <v>21</v>
      </c>
      <c r="F2">
        <f>SUM(F4:F1000)</f>
        <v>100</v>
      </c>
      <c r="G2">
        <f>SUM(G4:G1000)</f>
        <v>53</v>
      </c>
    </row>
    <row r="3" spans="1:13">
      <c r="A3" s="4" t="s">
        <v>1</v>
      </c>
      <c r="B3" s="4"/>
      <c r="C3" s="4"/>
      <c r="D3" s="1" t="s">
        <v>3</v>
      </c>
      <c r="E3" t="s">
        <v>6</v>
      </c>
      <c r="F3" t="s">
        <v>4</v>
      </c>
      <c r="G3" t="s">
        <v>5</v>
      </c>
    </row>
    <row r="4" spans="1:13">
      <c r="A4" s="2" t="s">
        <v>16</v>
      </c>
      <c r="C4" s="2" t="s">
        <v>42</v>
      </c>
      <c r="D4" s="1">
        <v>2.4</v>
      </c>
      <c r="E4">
        <f>IF(D4&lt;&gt;"",LEN(D4),"")</f>
        <v>3</v>
      </c>
      <c r="F4">
        <v>2</v>
      </c>
      <c r="G4">
        <v>0</v>
      </c>
      <c r="I4" t="s">
        <v>54</v>
      </c>
      <c r="K4" t="s">
        <v>59</v>
      </c>
      <c r="M4" t="s">
        <v>64</v>
      </c>
    </row>
    <row r="5" spans="1:13">
      <c r="C5" s="2" t="s">
        <v>43</v>
      </c>
      <c r="D5" s="1">
        <v>5</v>
      </c>
      <c r="E5">
        <f t="shared" ref="E5:E68" si="0">IF(D5&lt;&gt;"",LEN(D5),"")</f>
        <v>1</v>
      </c>
      <c r="F5">
        <v>2</v>
      </c>
      <c r="G5">
        <v>0</v>
      </c>
      <c r="I5" t="s">
        <v>55</v>
      </c>
      <c r="K5" t="s">
        <v>60</v>
      </c>
      <c r="M5" t="s">
        <v>65</v>
      </c>
    </row>
    <row r="6" spans="1:13">
      <c r="C6" s="2" t="s">
        <v>44</v>
      </c>
      <c r="D6" s="1" t="s">
        <v>68</v>
      </c>
      <c r="E6">
        <f t="shared" si="0"/>
        <v>3</v>
      </c>
      <c r="F6">
        <v>2</v>
      </c>
      <c r="G6">
        <v>0</v>
      </c>
      <c r="I6" t="s">
        <v>56</v>
      </c>
      <c r="K6" t="s">
        <v>61</v>
      </c>
      <c r="M6" t="s">
        <v>66</v>
      </c>
    </row>
    <row r="7" spans="1:13">
      <c r="C7" s="2" t="s">
        <v>45</v>
      </c>
      <c r="D7" s="1" t="s">
        <v>69</v>
      </c>
      <c r="E7">
        <f t="shared" si="0"/>
        <v>2</v>
      </c>
      <c r="F7">
        <v>2</v>
      </c>
      <c r="G7">
        <v>2</v>
      </c>
      <c r="I7" t="s">
        <v>57</v>
      </c>
      <c r="K7" t="s">
        <v>62</v>
      </c>
      <c r="M7" t="s">
        <v>67</v>
      </c>
    </row>
    <row r="8" spans="1:13">
      <c r="C8" s="2" t="s">
        <v>46</v>
      </c>
      <c r="D8" s="1" t="s">
        <v>70</v>
      </c>
      <c r="E8">
        <f t="shared" si="0"/>
        <v>7</v>
      </c>
      <c r="F8">
        <v>2</v>
      </c>
      <c r="G8">
        <v>2</v>
      </c>
      <c r="I8" t="s">
        <v>58</v>
      </c>
      <c r="K8" t="s">
        <v>63</v>
      </c>
      <c r="M8" t="s">
        <v>77</v>
      </c>
    </row>
    <row r="9" spans="1:13">
      <c r="A9" s="2" t="s">
        <v>14</v>
      </c>
      <c r="B9" s="2" t="s">
        <v>16</v>
      </c>
      <c r="C9" s="2" t="s">
        <v>47</v>
      </c>
      <c r="D9" s="1" t="s">
        <v>71</v>
      </c>
      <c r="E9">
        <f t="shared" si="0"/>
        <v>5</v>
      </c>
      <c r="F9">
        <v>2</v>
      </c>
      <c r="G9">
        <v>2</v>
      </c>
      <c r="I9" t="s">
        <v>79</v>
      </c>
      <c r="K9" t="s">
        <v>84</v>
      </c>
      <c r="M9" t="s">
        <v>78</v>
      </c>
    </row>
    <row r="10" spans="1:13">
      <c r="C10" s="2" t="s">
        <v>48</v>
      </c>
      <c r="D10" s="1" t="s">
        <v>72</v>
      </c>
      <c r="E10">
        <f t="shared" si="0"/>
        <v>2</v>
      </c>
      <c r="F10">
        <v>2</v>
      </c>
      <c r="G10">
        <v>2</v>
      </c>
      <c r="I10" t="s">
        <v>80</v>
      </c>
      <c r="K10" t="s">
        <v>85</v>
      </c>
      <c r="M10" t="s">
        <v>90</v>
      </c>
    </row>
    <row r="11" spans="1:13">
      <c r="C11" s="2" t="s">
        <v>49</v>
      </c>
      <c r="D11" s="1" t="s">
        <v>73</v>
      </c>
      <c r="E11">
        <f t="shared" si="0"/>
        <v>4</v>
      </c>
      <c r="F11">
        <v>2</v>
      </c>
      <c r="G11">
        <v>2</v>
      </c>
      <c r="I11" t="s">
        <v>81</v>
      </c>
      <c r="K11" t="s">
        <v>86</v>
      </c>
      <c r="M11" t="s">
        <v>92</v>
      </c>
    </row>
    <row r="12" spans="1:13">
      <c r="C12" s="2" t="s">
        <v>50</v>
      </c>
      <c r="D12" s="1" t="s">
        <v>74</v>
      </c>
      <c r="E12">
        <f t="shared" si="0"/>
        <v>7</v>
      </c>
      <c r="F12">
        <v>2</v>
      </c>
      <c r="G12">
        <v>0</v>
      </c>
      <c r="I12" t="s">
        <v>82</v>
      </c>
      <c r="K12" t="s">
        <v>87</v>
      </c>
      <c r="M12" t="s">
        <v>93</v>
      </c>
    </row>
    <row r="13" spans="1:13">
      <c r="C13" s="2" t="s">
        <v>51</v>
      </c>
      <c r="D13" s="1" t="s">
        <v>75</v>
      </c>
      <c r="E13">
        <f t="shared" si="0"/>
        <v>2</v>
      </c>
      <c r="F13">
        <v>2</v>
      </c>
      <c r="G13">
        <v>0</v>
      </c>
      <c r="I13" t="s">
        <v>96</v>
      </c>
      <c r="K13" t="s">
        <v>101</v>
      </c>
      <c r="M13" t="s">
        <v>94</v>
      </c>
    </row>
    <row r="14" spans="1:13">
      <c r="B14" s="2" t="s">
        <v>14</v>
      </c>
      <c r="D14" s="1" t="s">
        <v>76</v>
      </c>
      <c r="E14">
        <f t="shared" si="0"/>
        <v>19</v>
      </c>
      <c r="F14">
        <v>4</v>
      </c>
      <c r="G14">
        <v>4</v>
      </c>
      <c r="I14" t="s">
        <v>98</v>
      </c>
      <c r="K14" t="s">
        <v>107</v>
      </c>
    </row>
    <row r="15" spans="1:13">
      <c r="A15" s="2" t="s">
        <v>21</v>
      </c>
      <c r="B15" s="2" t="s">
        <v>16</v>
      </c>
      <c r="D15" s="1" t="s">
        <v>83</v>
      </c>
      <c r="E15">
        <f t="shared" si="0"/>
        <v>8</v>
      </c>
      <c r="F15">
        <v>4</v>
      </c>
      <c r="G15">
        <v>4</v>
      </c>
      <c r="I15" t="s">
        <v>99</v>
      </c>
      <c r="K15" t="s">
        <v>108</v>
      </c>
    </row>
    <row r="16" spans="1:13">
      <c r="B16" s="2" t="s">
        <v>14</v>
      </c>
      <c r="C16" s="2" t="s">
        <v>16</v>
      </c>
      <c r="D16" s="1" t="s">
        <v>88</v>
      </c>
      <c r="E16">
        <f t="shared" si="0"/>
        <v>27</v>
      </c>
      <c r="F16">
        <v>3</v>
      </c>
      <c r="G16">
        <v>3</v>
      </c>
      <c r="I16" t="s">
        <v>100</v>
      </c>
      <c r="K16" t="s">
        <v>109</v>
      </c>
    </row>
    <row r="17" spans="1:9">
      <c r="C17" s="2" t="s">
        <v>14</v>
      </c>
      <c r="D17" s="1" t="s">
        <v>89</v>
      </c>
      <c r="E17">
        <f t="shared" si="0"/>
        <v>22</v>
      </c>
      <c r="F17">
        <v>3</v>
      </c>
      <c r="G17">
        <v>3</v>
      </c>
    </row>
    <row r="18" spans="1:9">
      <c r="B18" s="2" t="s">
        <v>21</v>
      </c>
      <c r="D18" s="1" t="s">
        <v>91</v>
      </c>
      <c r="E18">
        <f t="shared" si="0"/>
        <v>16</v>
      </c>
      <c r="F18">
        <v>4</v>
      </c>
      <c r="G18">
        <v>4</v>
      </c>
    </row>
    <row r="19" spans="1:9">
      <c r="B19" s="2" t="s">
        <v>13</v>
      </c>
      <c r="C19" s="2" t="s">
        <v>16</v>
      </c>
      <c r="D19" s="1">
        <v>4</v>
      </c>
      <c r="E19">
        <f t="shared" si="0"/>
        <v>1</v>
      </c>
      <c r="F19">
        <v>3</v>
      </c>
      <c r="G19">
        <v>3</v>
      </c>
    </row>
    <row r="20" spans="1:9">
      <c r="C20" s="2" t="s">
        <v>14</v>
      </c>
      <c r="D20" s="1" t="s">
        <v>95</v>
      </c>
      <c r="E20">
        <f t="shared" si="0"/>
        <v>14</v>
      </c>
      <c r="F20">
        <v>3</v>
      </c>
      <c r="G20">
        <v>3</v>
      </c>
    </row>
    <row r="21" spans="1:9">
      <c r="B21" s="2" t="s">
        <v>52</v>
      </c>
      <c r="C21" s="2" t="s">
        <v>16</v>
      </c>
      <c r="D21" s="1">
        <f>12*18</f>
        <v>216</v>
      </c>
      <c r="E21">
        <f t="shared" si="0"/>
        <v>3</v>
      </c>
      <c r="F21">
        <v>3</v>
      </c>
      <c r="G21">
        <v>3</v>
      </c>
    </row>
    <row r="22" spans="1:9">
      <c r="C22" s="2" t="s">
        <v>14</v>
      </c>
      <c r="D22" s="1" t="s">
        <v>97</v>
      </c>
      <c r="E22">
        <f t="shared" si="0"/>
        <v>4</v>
      </c>
      <c r="F22">
        <v>3</v>
      </c>
      <c r="G22">
        <v>0</v>
      </c>
    </row>
    <row r="23" spans="1:9">
      <c r="A23" s="2" t="s">
        <v>13</v>
      </c>
      <c r="B23" s="2" t="s">
        <v>16</v>
      </c>
      <c r="C23" s="2" t="s">
        <v>16</v>
      </c>
      <c r="D23" s="1" t="s">
        <v>102</v>
      </c>
      <c r="E23">
        <f t="shared" si="0"/>
        <v>16</v>
      </c>
      <c r="F23">
        <v>3</v>
      </c>
      <c r="G23">
        <v>0</v>
      </c>
      <c r="I23" t="s">
        <v>104</v>
      </c>
    </row>
    <row r="24" spans="1:9">
      <c r="C24" s="2" t="s">
        <v>14</v>
      </c>
      <c r="D24" s="1" t="s">
        <v>103</v>
      </c>
      <c r="E24">
        <f t="shared" si="0"/>
        <v>9</v>
      </c>
      <c r="F24">
        <v>3</v>
      </c>
      <c r="G24">
        <v>0</v>
      </c>
    </row>
    <row r="25" spans="1:9" ht="37.5">
      <c r="B25" s="2" t="s">
        <v>14</v>
      </c>
      <c r="D25" s="1" t="s">
        <v>105</v>
      </c>
      <c r="E25">
        <f t="shared" si="0"/>
        <v>48</v>
      </c>
      <c r="F25">
        <v>4</v>
      </c>
      <c r="G25">
        <v>2</v>
      </c>
    </row>
    <row r="26" spans="1:9">
      <c r="B26" s="2" t="s">
        <v>21</v>
      </c>
      <c r="D26" s="1" t="s">
        <v>106</v>
      </c>
      <c r="E26">
        <f t="shared" si="0"/>
        <v>22</v>
      </c>
      <c r="F26">
        <v>4</v>
      </c>
      <c r="G26">
        <v>2</v>
      </c>
    </row>
    <row r="27" spans="1:9">
      <c r="A27" s="2" t="s">
        <v>52</v>
      </c>
      <c r="B27" s="2" t="s">
        <v>16</v>
      </c>
      <c r="C27" s="2" t="s">
        <v>16</v>
      </c>
      <c r="D27" s="1" t="s">
        <v>110</v>
      </c>
      <c r="E27">
        <f t="shared" si="0"/>
        <v>3</v>
      </c>
      <c r="F27">
        <v>4</v>
      </c>
      <c r="G27">
        <v>4</v>
      </c>
    </row>
    <row r="28" spans="1:9">
      <c r="C28" s="2" t="s">
        <v>14</v>
      </c>
      <c r="D28" s="1" t="s">
        <v>111</v>
      </c>
      <c r="E28">
        <f t="shared" si="0"/>
        <v>2</v>
      </c>
      <c r="F28">
        <v>4</v>
      </c>
      <c r="G28">
        <v>0</v>
      </c>
    </row>
    <row r="29" spans="1:9">
      <c r="B29" s="2" t="s">
        <v>14</v>
      </c>
      <c r="C29" s="2" t="s">
        <v>16</v>
      </c>
      <c r="D29" s="1" t="s">
        <v>112</v>
      </c>
      <c r="E29">
        <f t="shared" si="0"/>
        <v>5</v>
      </c>
      <c r="F29">
        <v>4</v>
      </c>
      <c r="G29">
        <v>4</v>
      </c>
    </row>
    <row r="30" spans="1:9">
      <c r="C30" s="2" t="s">
        <v>14</v>
      </c>
      <c r="D30" s="1" t="s">
        <v>39</v>
      </c>
      <c r="E30">
        <f t="shared" si="0"/>
        <v>3</v>
      </c>
      <c r="F30">
        <v>4</v>
      </c>
      <c r="G30">
        <v>4</v>
      </c>
    </row>
    <row r="31" spans="1:9">
      <c r="B31" s="2" t="s">
        <v>21</v>
      </c>
      <c r="D31" s="1" t="s">
        <v>19</v>
      </c>
      <c r="E31">
        <f t="shared" si="0"/>
        <v>1</v>
      </c>
      <c r="F31">
        <v>4</v>
      </c>
      <c r="G31">
        <v>0</v>
      </c>
    </row>
    <row r="32" spans="1:9">
      <c r="B32" s="2" t="s">
        <v>13</v>
      </c>
      <c r="D32" s="1" t="s">
        <v>113</v>
      </c>
      <c r="E32">
        <f t="shared" si="0"/>
        <v>33</v>
      </c>
      <c r="F32">
        <v>4</v>
      </c>
      <c r="G32">
        <v>0</v>
      </c>
    </row>
    <row r="33" spans="2:7">
      <c r="B33" s="2" t="s">
        <v>52</v>
      </c>
      <c r="C33" s="2" t="s">
        <v>16</v>
      </c>
      <c r="D33" s="1" t="s">
        <v>114</v>
      </c>
      <c r="E33">
        <f t="shared" si="0"/>
        <v>13</v>
      </c>
      <c r="F33">
        <v>4</v>
      </c>
      <c r="G33">
        <v>0</v>
      </c>
    </row>
    <row r="34" spans="2:7">
      <c r="C34" s="2" t="s">
        <v>14</v>
      </c>
      <c r="D34" s="1" t="s">
        <v>115</v>
      </c>
      <c r="E34">
        <f t="shared" si="0"/>
        <v>30</v>
      </c>
      <c r="F34">
        <v>4</v>
      </c>
      <c r="G34">
        <v>0</v>
      </c>
    </row>
    <row r="35" spans="2:7">
      <c r="B35" s="2" t="s">
        <v>53</v>
      </c>
      <c r="D35" s="1" t="s">
        <v>116</v>
      </c>
      <c r="E35">
        <f t="shared" si="0"/>
        <v>30</v>
      </c>
      <c r="F35">
        <v>4</v>
      </c>
      <c r="G35">
        <v>0</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2026-01-12T03:43:06Z</dcterms:modified>
</cp:coreProperties>
</file>