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AD6E5A47-011A-41C2-85AA-9DFF0D64F38C}" xr6:coauthVersionLast="47" xr6:coauthVersionMax="47" xr10:uidLastSave="{00000000-0000-0000-0000-000000000000}"/>
  <bookViews>
    <workbookView xWindow="-90" yWindow="0" windowWidth="19500" windowHeight="15585" activeTab="4" xr2:uid="{00000000-000D-0000-FFFF-FFFF00000000}"/>
  </bookViews>
  <sheets>
    <sheet name="レビュー" sheetId="2" r:id="rId1"/>
    <sheet name="format" sheetId="4" r:id="rId2"/>
    <sheet name="1" sheetId="9" r:id="rId3"/>
    <sheet name="2" sheetId="10" r:id="rId4"/>
    <sheet name="3" sheetId="11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1" l="1"/>
  <c r="D13" i="10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G2" i="11"/>
  <c r="F2" i="11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G2" i="10"/>
  <c r="F2" i="10"/>
  <c r="E18" i="9"/>
  <c r="E17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<sst xmlns="http://schemas.openxmlformats.org/spreadsheetml/2006/main" count="196" uniqueCount="114">
  <si>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</si>
  <si>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</si>
  <si>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</si>
  <si>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</si>
  <si>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</si>
  <si>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</si>
  <si>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</si>
  <si>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</si>
  <si>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</si>
  <si>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</si>
  <si>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</si>
  <si>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</si>
  <si>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オ</t>
    <phoneticPr fontId="1"/>
  </si>
  <si>
    <t>4</t>
    <phoneticPr fontId="1"/>
  </si>
  <si>
    <t>2</t>
    <phoneticPr fontId="1"/>
  </si>
  <si>
    <t>重点対策</t>
    <rPh sb="0" eb="4">
      <t>ジュウテンタイサク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</si>
  <si>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</si>
  <si>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</si>
  <si>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</si>
  <si>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</si>
  <si>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</si>
  <si>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3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</si>
  <si>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</si>
  <si>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</si>
  <si>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</si>
  <si>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</si>
  <si>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</si>
  <si>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Z社は販売</t>
    <rPh sb="1" eb="2">
      <t>シャ</t>
    </rPh>
    <rPh sb="3" eb="5">
      <t>ハンバイ</t>
    </rPh>
    <phoneticPr fontId="1"/>
  </si>
  <si>
    <t>全てのIPアドレスを固定であて</t>
    <rPh sb="0" eb="1">
      <t>スベ</t>
    </rPh>
    <rPh sb="10" eb="12">
      <t>コテイ</t>
    </rPh>
    <phoneticPr fontId="1"/>
  </si>
  <si>
    <t>手動がきつい</t>
    <rPh sb="0" eb="2">
      <t>シュドウ</t>
    </rPh>
    <phoneticPr fontId="1"/>
  </si>
  <si>
    <t>無許可IP</t>
    <rPh sb="0" eb="3">
      <t>ムキョカ</t>
    </rPh>
    <phoneticPr fontId="1"/>
  </si>
  <si>
    <t>リレーエージェント</t>
    <phoneticPr fontId="1"/>
  </si>
  <si>
    <t>調査に支障があった</t>
    <rPh sb="0" eb="2">
      <t>チョウサ</t>
    </rPh>
    <rPh sb="3" eb="5">
      <t>シショウ</t>
    </rPh>
    <phoneticPr fontId="1"/>
  </si>
  <si>
    <t>ARP</t>
    <phoneticPr fontId="1"/>
  </si>
  <si>
    <t>DHCPサーバー接続</t>
    <rPh sb="8" eb="10">
      <t>セツゾク</t>
    </rPh>
    <phoneticPr fontId="1"/>
  </si>
  <si>
    <t>IPアドレスの重複が起こり、通信が出来なくなる。</t>
    <rPh sb="7" eb="9">
      <t>チョウフク</t>
    </rPh>
    <rPh sb="10" eb="11">
      <t>オ</t>
    </rPh>
    <rPh sb="14" eb="16">
      <t>ツウシン</t>
    </rPh>
    <rPh sb="17" eb="19">
      <t>デキ</t>
    </rPh>
    <phoneticPr fontId="1"/>
  </si>
  <si>
    <t>PCを接続すべきポート</t>
    <rPh sb="3" eb="5">
      <t>セツゾク</t>
    </rPh>
    <phoneticPr fontId="1"/>
  </si>
  <si>
    <t>DHCPスヌーピング</t>
    <phoneticPr fontId="1"/>
  </si>
  <si>
    <t>ポートフィルタ</t>
    <phoneticPr fontId="1"/>
  </si>
  <si>
    <t>製造者</t>
    <rPh sb="0" eb="3">
      <t>セイゾウシャ</t>
    </rPh>
    <phoneticPr fontId="1"/>
  </si>
  <si>
    <t>固定IPの割り当て</t>
    <rPh sb="0" eb="2">
      <t>コテイ</t>
    </rPh>
    <rPh sb="5" eb="6">
      <t>ワ</t>
    </rPh>
    <rPh sb="7" eb="8">
      <t>ア</t>
    </rPh>
    <phoneticPr fontId="1"/>
  </si>
  <si>
    <t>DHCPサーバーのSWを起動する</t>
    <rPh sb="12" eb="14">
      <t>キドウ</t>
    </rPh>
    <phoneticPr fontId="1"/>
  </si>
  <si>
    <t>SW5だとダメ</t>
    <phoneticPr fontId="1"/>
  </si>
  <si>
    <t>SW2はいけた</t>
    <phoneticPr fontId="1"/>
  </si>
  <si>
    <t>ミラー</t>
    <phoneticPr fontId="1"/>
  </si>
  <si>
    <t>DHCP Discover</t>
    <phoneticPr fontId="1"/>
  </si>
  <si>
    <t>MACアドレスが未登録でもIPアドレスを割り当てる</t>
    <rPh sb="8" eb="11">
      <t>ミトウロク</t>
    </rPh>
    <rPh sb="20" eb="21">
      <t>ワ</t>
    </rPh>
    <rPh sb="22" eb="23">
      <t>ア</t>
    </rPh>
    <phoneticPr fontId="1"/>
  </si>
  <si>
    <t>MACアドレスに対応するIPアドレスを割り当てる</t>
    <rPh sb="8" eb="10">
      <t>タイオウ</t>
    </rPh>
    <rPh sb="19" eb="20">
      <t>ワ</t>
    </rPh>
    <rPh sb="21" eb="22">
      <t>ア</t>
    </rPh>
    <phoneticPr fontId="1"/>
  </si>
  <si>
    <t>SW1とSW2の間でブロードバンドキャストフレームの折り返し</t>
    <rPh sb="8" eb="9">
      <t>アイダ</t>
    </rPh>
    <rPh sb="26" eb="27">
      <t>オ</t>
    </rPh>
    <rPh sb="28" eb="29">
      <t>カエ</t>
    </rPh>
    <phoneticPr fontId="1"/>
  </si>
  <si>
    <t>部門が増えていった場合、関係のない通信をL2SWがデータ転送を行う必要が出てくる</t>
    <rPh sb="0" eb="2">
      <t>ブモン</t>
    </rPh>
    <rPh sb="3" eb="4">
      <t>フ</t>
    </rPh>
    <rPh sb="9" eb="11">
      <t>バアイ</t>
    </rPh>
    <rPh sb="12" eb="14">
      <t>カンケイ</t>
    </rPh>
    <rPh sb="17" eb="19">
      <t>ツウシン</t>
    </rPh>
    <rPh sb="28" eb="30">
      <t>テンソウ</t>
    </rPh>
    <rPh sb="31" eb="32">
      <t>オコナ</t>
    </rPh>
    <rPh sb="33" eb="35">
      <t>ヒツヨウ</t>
    </rPh>
    <rPh sb="36" eb="37">
      <t>デ</t>
    </rPh>
    <phoneticPr fontId="1"/>
  </si>
  <si>
    <t>Aは販売会社</t>
    <rPh sb="2" eb="6">
      <t>ハンバイカイシャ</t>
    </rPh>
    <phoneticPr fontId="1"/>
  </si>
  <si>
    <t>販売支援システム</t>
    <rPh sb="0" eb="4">
      <t>ハンバイシエン</t>
    </rPh>
    <phoneticPr fontId="1"/>
  </si>
  <si>
    <t>業務サーバ</t>
    <rPh sb="0" eb="2">
      <t>ギョウム</t>
    </rPh>
    <phoneticPr fontId="1"/>
  </si>
  <si>
    <t>ネットワークシステムの運用は別</t>
    <rPh sb="11" eb="13">
      <t>ウンヨウ</t>
    </rPh>
    <rPh sb="14" eb="15">
      <t>ベツ</t>
    </rPh>
    <phoneticPr fontId="1"/>
  </si>
  <si>
    <t>サーバ担当とNW担当</t>
    <rPh sb="3" eb="5">
      <t>タントウ</t>
    </rPh>
    <rPh sb="8" eb="10">
      <t>タントウ</t>
    </rPh>
    <phoneticPr fontId="1"/>
  </si>
  <si>
    <t>サーバルーム利用</t>
    <rPh sb="6" eb="8">
      <t>リヨウ</t>
    </rPh>
    <phoneticPr fontId="1"/>
  </si>
  <si>
    <t>社内DNSを利用</t>
    <rPh sb="0" eb="2">
      <t>シャナイ</t>
    </rPh>
    <rPh sb="6" eb="8">
      <t>リヨウ</t>
    </rPh>
    <phoneticPr fontId="1"/>
  </si>
  <si>
    <t>LANアクセスを利用</t>
    <rPh sb="8" eb="10">
      <t>リヨウ</t>
    </rPh>
    <phoneticPr fontId="1"/>
  </si>
  <si>
    <t>ICMP</t>
    <phoneticPr fontId="1"/>
  </si>
  <si>
    <t>業務SVが利用できなくなった</t>
    <rPh sb="0" eb="2">
      <t>ギョウム</t>
    </rPh>
    <rPh sb="5" eb="7">
      <t>リヨウ</t>
    </rPh>
    <phoneticPr fontId="1"/>
  </si>
  <si>
    <t>ping応答なし</t>
    <rPh sb="4" eb="6">
      <t>オウトウ</t>
    </rPh>
    <phoneticPr fontId="1"/>
  </si>
  <si>
    <t>業務サーバ1のLANポートのリンク</t>
    <rPh sb="0" eb="2">
      <t>ギョウム</t>
    </rPh>
    <phoneticPr fontId="1"/>
  </si>
  <si>
    <t>ルータ1、社内DNSサーバ、DNSサーバ、FW</t>
    <rPh sb="5" eb="7">
      <t>シャナイ</t>
    </rPh>
    <phoneticPr fontId="1"/>
  </si>
  <si>
    <t>ルーティングテーブルに営業所LANへの経路情報が登録されている</t>
    <rPh sb="11" eb="14">
      <t>エイギョウショ</t>
    </rPh>
    <rPh sb="19" eb="21">
      <t>ケイロ</t>
    </rPh>
    <rPh sb="21" eb="23">
      <t>ジョウホウ</t>
    </rPh>
    <rPh sb="24" eb="26">
      <t>トウロク</t>
    </rPh>
    <phoneticPr fontId="1"/>
  </si>
  <si>
    <t>SW1と業務サーバ1の間のSW側ポート</t>
    <rPh sb="4" eb="6">
      <t>ギョウム</t>
    </rPh>
    <rPh sb="11" eb="12">
      <t>アイダ</t>
    </rPh>
    <rPh sb="15" eb="16">
      <t>ガワ</t>
    </rPh>
    <phoneticPr fontId="1"/>
  </si>
  <si>
    <t>SW1と業務サーバ1を接続するケーブル</t>
    <rPh sb="4" eb="6">
      <t>ギョウム</t>
    </rPh>
    <rPh sb="11" eb="13">
      <t>セツゾク</t>
    </rPh>
    <phoneticPr fontId="1"/>
  </si>
  <si>
    <t>業務サーバ1</t>
    <rPh sb="0" eb="2">
      <t>ギョウム</t>
    </rPh>
    <phoneticPr fontId="1"/>
  </si>
  <si>
    <t>ネットワークの見直し</t>
    <rPh sb="7" eb="9">
      <t>ミナオ</t>
    </rPh>
    <phoneticPr fontId="1"/>
  </si>
  <si>
    <t>Ipｖ４→IPV6</t>
    <phoneticPr fontId="1"/>
  </si>
  <si>
    <t>IPアドレス</t>
    <phoneticPr fontId="1"/>
  </si>
  <si>
    <t>Swa</t>
    <phoneticPr fontId="1"/>
  </si>
  <si>
    <t>社外からのアクセスを全てFWを通じて行うことが出来る</t>
    <rPh sb="0" eb="2">
      <t>シャガイ</t>
    </rPh>
    <rPh sb="10" eb="11">
      <t>スベ</t>
    </rPh>
    <rPh sb="15" eb="16">
      <t>ツウ</t>
    </rPh>
    <rPh sb="18" eb="19">
      <t>オコナ</t>
    </rPh>
    <rPh sb="23" eb="25">
      <t>デキ</t>
    </rPh>
    <phoneticPr fontId="1"/>
  </si>
  <si>
    <t>2進法を16進数に直す</t>
    <rPh sb="1" eb="3">
      <t>シンホウ</t>
    </rPh>
    <rPh sb="6" eb="8">
      <t>シンスウ</t>
    </rPh>
    <rPh sb="9" eb="10">
      <t>ナオ</t>
    </rPh>
    <phoneticPr fontId="1"/>
  </si>
  <si>
    <t>変換尿プレイfクスと接続する</t>
    <rPh sb="0" eb="3">
      <t>ヘンカンニョウ</t>
    </rPh>
    <rPh sb="10" eb="12">
      <t>セツゾク</t>
    </rPh>
    <phoneticPr fontId="1"/>
  </si>
  <si>
    <t>IPV4とIPv6両方のネットワークに接続できる環境</t>
    <rPh sb="9" eb="11">
      <t>リョウホウ</t>
    </rPh>
    <rPh sb="19" eb="21">
      <t>セツゾク</t>
    </rPh>
    <rPh sb="24" eb="26">
      <t>カンキョウ</t>
    </rPh>
    <phoneticPr fontId="1"/>
  </si>
  <si>
    <t>拡張</t>
    <rPh sb="0" eb="2">
      <t>カクチョウ</t>
    </rPh>
    <phoneticPr fontId="1"/>
  </si>
  <si>
    <t>理由</t>
    <rPh sb="0" eb="2">
      <t>リユウ</t>
    </rPh>
    <phoneticPr fontId="1"/>
  </si>
  <si>
    <t>宛先</t>
    <rPh sb="0" eb="2">
      <t>アテサキ</t>
    </rPh>
    <phoneticPr fontId="1"/>
  </si>
  <si>
    <t>送信元</t>
    <rPh sb="0" eb="3">
      <t>ソウシンモト</t>
    </rPh>
    <phoneticPr fontId="1"/>
  </si>
  <si>
    <t>問題</t>
    <rPh sb="0" eb="2">
      <t>モンダイ</t>
    </rPh>
    <phoneticPr fontId="1"/>
  </si>
  <si>
    <t>中規模ISP</t>
    <rPh sb="0" eb="3">
      <t>チュウキボ</t>
    </rPh>
    <phoneticPr fontId="1"/>
  </si>
  <si>
    <t>基盤ネットワーク</t>
    <rPh sb="0" eb="2">
      <t>キバン</t>
    </rPh>
    <phoneticPr fontId="1"/>
  </si>
  <si>
    <t>IaaS</t>
    <phoneticPr fontId="1"/>
  </si>
  <si>
    <t>ネットワークを柔軟にする必要あり</t>
    <rPh sb="7" eb="9">
      <t>ジュウナン</t>
    </rPh>
    <rPh sb="12" eb="14">
      <t>ヒツヨウ</t>
    </rPh>
    <phoneticPr fontId="1"/>
  </si>
  <si>
    <t>NATやキャリアグレード</t>
    <phoneticPr fontId="1"/>
  </si>
  <si>
    <t>IaaSに振り向ける</t>
    <rPh sb="5" eb="6">
      <t>フ</t>
    </rPh>
    <rPh sb="7" eb="8">
      <t>ム</t>
    </rPh>
    <phoneticPr fontId="1"/>
  </si>
  <si>
    <t>CGNはアクセスネットワーク</t>
    <phoneticPr fontId="1"/>
  </si>
  <si>
    <t>アクティブ</t>
    <phoneticPr fontId="1"/>
  </si>
  <si>
    <t>VMにVLANを設定</t>
    <rPh sb="8" eb="10">
      <t>セッテイ</t>
    </rPh>
    <phoneticPr fontId="1"/>
  </si>
  <si>
    <t>VLAN ID</t>
    <phoneticPr fontId="1"/>
  </si>
  <si>
    <t>D</t>
    <phoneticPr fontId="1"/>
  </si>
  <si>
    <t>マルチキャストMACアドレス</t>
    <phoneticPr fontId="1"/>
  </si>
  <si>
    <t>PIPを用いる</t>
    <rPh sb="4" eb="5">
      <t>モチ</t>
    </rPh>
    <phoneticPr fontId="1"/>
  </si>
  <si>
    <t>アクセスできなくなる</t>
    <phoneticPr fontId="1"/>
  </si>
  <si>
    <t>CGNやCPEのネットワークアドレスと、PCのネットワークアドレスが重複したとき。</t>
    <rPh sb="34" eb="36">
      <t>チョウフク</t>
    </rPh>
    <phoneticPr fontId="1"/>
  </si>
  <si>
    <t>送信元IPアドレス</t>
    <rPh sb="0" eb="3">
      <t>ソウシンモト</t>
    </rPh>
    <phoneticPr fontId="1"/>
  </si>
  <si>
    <t>送信元ポート番号</t>
    <rPh sb="0" eb="3">
      <t>ソウシンモト</t>
    </rPh>
    <rPh sb="6" eb="8">
      <t>バンゴウ</t>
    </rPh>
    <phoneticPr fontId="1"/>
  </si>
  <si>
    <t>アクセス日時</t>
    <rPh sb="4" eb="6">
      <t>ニチジ</t>
    </rPh>
    <phoneticPr fontId="1"/>
  </si>
  <si>
    <t>基盤ネットワークは通信路</t>
    <rPh sb="0" eb="2">
      <t>キバン</t>
    </rPh>
    <rPh sb="9" eb="12">
      <t>ツウシンロ</t>
    </rPh>
    <phoneticPr fontId="1"/>
  </si>
  <si>
    <t>VM</t>
    <phoneticPr fontId="1"/>
  </si>
  <si>
    <t>VLAN</t>
    <phoneticPr fontId="1"/>
  </si>
  <si>
    <t>L3NW</t>
    <phoneticPr fontId="1"/>
  </si>
  <si>
    <t>マルチキャスト</t>
    <phoneticPr fontId="1"/>
  </si>
  <si>
    <t>マルチキャストMACアドレスが送信元アドレスとなることがないため</t>
    <rPh sb="15" eb="18">
      <t>ソウシンモト</t>
    </rPh>
    <phoneticPr fontId="1"/>
  </si>
  <si>
    <t>maruchiっグループが存在するネット</t>
    <rPh sb="13" eb="15">
      <t>ソンザイ</t>
    </rPh>
    <phoneticPr fontId="1"/>
  </si>
  <si>
    <t>IPマルチキャストプロトコル</t>
    <phoneticPr fontId="1"/>
  </si>
  <si>
    <t>マルチキャストグループをこの区間では認識している必要がないため</t>
    <rPh sb="14" eb="16">
      <t>クカン</t>
    </rPh>
    <rPh sb="18" eb="20">
      <t>ニンシキ</t>
    </rPh>
    <rPh sb="24" eb="26">
      <t>ヒツヨウ</t>
    </rPh>
    <phoneticPr fontId="1"/>
  </si>
  <si>
    <t>IGMP join</t>
    <phoneticPr fontId="1"/>
  </si>
  <si>
    <t>L2SW</t>
    <phoneticPr fontId="1"/>
  </si>
  <si>
    <t>L2SWでIGMP join</t>
    <phoneticPr fontId="1"/>
  </si>
  <si>
    <t>01-00-5e-01-01-01</t>
    <phoneticPr fontId="1"/>
  </si>
  <si>
    <t>p1</t>
    <phoneticPr fontId="1"/>
  </si>
  <si>
    <t>p1,p3</t>
    <phoneticPr fontId="1"/>
  </si>
  <si>
    <t>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</si>
</sst>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A2" sqref="A2: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DFC5-9F53-4462-B8C3-7C3B56B6694E}">
  <sheetPr codeName="Sheet4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16</v>
      </c>
      <c r="F2">
        <f>SUM(F4:F1000)</f>
        <v>32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31</v>
      </c>
      <c r="E4">
        <f>IF(D4&lt;&gt;"",LEN(D4),"")</f>
        <v>9</v>
      </c>
      <c r="F4">
        <v>2</v>
      </c>
      <c r="G4">
        <v>2</v>
      </c>
      <c r="I4" t="s">
        <v>27</v>
      </c>
      <c r="K4" t="s">
        <v>32</v>
      </c>
      <c r="M4" t="s">
        <v>42</v>
      </c>
    </row>
    <row r="5" spans="1:13">
      <c r="C5" s="2" t="s">
        <v>18</v>
      </c>
      <c r="D5" s="1" t="s">
        <v>33</v>
      </c>
      <c r="E5">
        <f t="shared" ref="E5:E68" si="0">IF(D5&lt;&gt;"",LEN(D5),"")</f>
        <v>3</v>
      </c>
      <c r="F5">
        <v>2</v>
      </c>
      <c r="G5">
        <v>2</v>
      </c>
      <c r="I5" t="s">
        <v>28</v>
      </c>
      <c r="K5" t="s">
        <v>34</v>
      </c>
      <c r="M5" t="s">
        <v>43</v>
      </c>
    </row>
    <row r="6" spans="1:13">
      <c r="C6" s="2" t="s">
        <v>19</v>
      </c>
      <c r="D6" s="1" t="s">
        <v>39</v>
      </c>
      <c r="E6">
        <f t="shared" si="0"/>
        <v>3</v>
      </c>
      <c r="F6">
        <v>2</v>
      </c>
      <c r="G6">
        <v>2</v>
      </c>
      <c r="I6" t="s">
        <v>29</v>
      </c>
      <c r="K6" t="s">
        <v>37</v>
      </c>
    </row>
    <row r="7" spans="1:13">
      <c r="C7" s="2" t="s">
        <v>20</v>
      </c>
      <c r="D7" s="1" t="s">
        <v>44</v>
      </c>
      <c r="E7">
        <f t="shared" si="0"/>
        <v>3</v>
      </c>
      <c r="F7">
        <v>2</v>
      </c>
      <c r="G7">
        <v>2</v>
      </c>
      <c r="I7" t="s">
        <v>30</v>
      </c>
      <c r="K7" t="s">
        <v>38</v>
      </c>
    </row>
    <row r="8" spans="1:13">
      <c r="C8" s="2" t="s">
        <v>12</v>
      </c>
      <c r="D8" s="1" t="s">
        <v>45</v>
      </c>
      <c r="E8">
        <f t="shared" si="0"/>
        <v>13</v>
      </c>
      <c r="F8">
        <v>2</v>
      </c>
      <c r="G8">
        <v>2</v>
      </c>
      <c r="I8" t="s">
        <v>40</v>
      </c>
      <c r="K8" t="s">
        <v>41</v>
      </c>
    </row>
    <row r="9" spans="1:13">
      <c r="A9" s="2" t="s">
        <v>14</v>
      </c>
      <c r="B9" s="2" t="s">
        <v>16</v>
      </c>
      <c r="D9" s="1">
        <v>2.4</v>
      </c>
      <c r="E9">
        <f t="shared" si="0"/>
        <v>3</v>
      </c>
      <c r="F9">
        <v>0</v>
      </c>
      <c r="G9">
        <v>4</v>
      </c>
    </row>
    <row r="10" spans="1:13">
      <c r="B10" s="2" t="s">
        <v>14</v>
      </c>
      <c r="D10" s="1" t="s">
        <v>35</v>
      </c>
      <c r="E10">
        <f t="shared" si="0"/>
        <v>24</v>
      </c>
      <c r="F10">
        <v>6</v>
      </c>
      <c r="G10">
        <v>6</v>
      </c>
    </row>
    <row r="11" spans="1:13">
      <c r="B11" s="2" t="s">
        <v>21</v>
      </c>
      <c r="D11" s="1" t="s">
        <v>36</v>
      </c>
      <c r="E11">
        <f t="shared" si="0"/>
        <v>11</v>
      </c>
      <c r="F11">
        <v>0</v>
      </c>
      <c r="G11">
        <v>6</v>
      </c>
    </row>
    <row r="12" spans="1:13">
      <c r="A12" s="2" t="s">
        <v>21</v>
      </c>
      <c r="B12" s="2" t="s">
        <v>16</v>
      </c>
      <c r="C12" s="2" t="s">
        <v>23</v>
      </c>
      <c r="D12" s="1">
        <v>24</v>
      </c>
      <c r="E12">
        <f t="shared" si="0"/>
        <v>2</v>
      </c>
      <c r="F12">
        <v>4</v>
      </c>
      <c r="G12">
        <v>4</v>
      </c>
    </row>
    <row r="13" spans="1:13">
      <c r="C13" s="2" t="s">
        <v>24</v>
      </c>
      <c r="D13" s="1">
        <v>6</v>
      </c>
      <c r="E13">
        <f t="shared" si="0"/>
        <v>1</v>
      </c>
      <c r="F13">
        <v>4</v>
      </c>
      <c r="G13">
        <v>4</v>
      </c>
    </row>
    <row r="14" spans="1:13">
      <c r="B14" s="2" t="s">
        <v>14</v>
      </c>
      <c r="C14" s="2" t="s">
        <v>16</v>
      </c>
      <c r="D14" s="1" t="s">
        <v>47</v>
      </c>
      <c r="E14">
        <f t="shared" si="0"/>
        <v>24</v>
      </c>
      <c r="F14">
        <v>4</v>
      </c>
      <c r="G14">
        <v>4</v>
      </c>
    </row>
    <row r="15" spans="1:13">
      <c r="C15" s="2" t="s">
        <v>14</v>
      </c>
      <c r="D15" s="1" t="s">
        <v>46</v>
      </c>
      <c r="E15">
        <f t="shared" si="0"/>
        <v>25</v>
      </c>
      <c r="F15">
        <v>0</v>
      </c>
      <c r="G15">
        <v>4</v>
      </c>
    </row>
    <row r="16" spans="1:13">
      <c r="B16" s="2" t="s">
        <v>21</v>
      </c>
      <c r="D16" s="1" t="s">
        <v>48</v>
      </c>
      <c r="E16">
        <f t="shared" si="0"/>
        <v>30</v>
      </c>
      <c r="F16">
        <v>2</v>
      </c>
      <c r="G16">
        <v>4</v>
      </c>
    </row>
    <row r="17" spans="2:7">
      <c r="B17" s="2" t="s">
        <v>13</v>
      </c>
      <c r="D17" s="1" t="s">
        <v>49</v>
      </c>
      <c r="E17">
        <f t="shared" si="0"/>
        <v>40</v>
      </c>
      <c r="F17">
        <v>2</v>
      </c>
      <c r="G17">
        <v>4</v>
      </c>
    </row>
    <row r="18" spans="2:7">
      <c r="E18" t="str">
        <f t="shared" si="0"/>
        <v/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3:C3"/>
    <mergeCell ref="A2:C2"/>
    <mergeCell ref="A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72F2-C33F-42B2-81D3-9044BD3100BB}">
  <sheetPr codeName="Sheet5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14</v>
      </c>
      <c r="F2">
        <f>SUM(F4:F1000)</f>
        <v>21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58</v>
      </c>
      <c r="E4">
        <f>IF(D4&lt;&gt;"",LEN(D4),"")</f>
        <v>4</v>
      </c>
      <c r="F4">
        <v>0</v>
      </c>
      <c r="G4">
        <v>2</v>
      </c>
      <c r="I4" t="s">
        <v>50</v>
      </c>
      <c r="K4" t="s">
        <v>56</v>
      </c>
      <c r="M4" t="s">
        <v>67</v>
      </c>
    </row>
    <row r="5" spans="1:13">
      <c r="C5" s="2" t="s">
        <v>18</v>
      </c>
      <c r="D5" s="1" t="s">
        <v>69</v>
      </c>
      <c r="E5">
        <f t="shared" ref="E5:E68" si="0">IF(D5&lt;&gt;"",LEN(D5),"")</f>
        <v>6</v>
      </c>
      <c r="F5">
        <v>2</v>
      </c>
      <c r="G5">
        <v>2</v>
      </c>
      <c r="I5" t="s">
        <v>51</v>
      </c>
      <c r="K5" t="s">
        <v>57</v>
      </c>
      <c r="M5" t="s">
        <v>68</v>
      </c>
    </row>
    <row r="6" spans="1:13">
      <c r="C6" s="2" t="s">
        <v>19</v>
      </c>
      <c r="D6" s="1" t="s">
        <v>75</v>
      </c>
      <c r="E6">
        <f t="shared" si="0"/>
        <v>2</v>
      </c>
      <c r="F6">
        <v>0</v>
      </c>
      <c r="G6">
        <v>2</v>
      </c>
      <c r="I6" t="s">
        <v>52</v>
      </c>
      <c r="K6" t="s">
        <v>59</v>
      </c>
    </row>
    <row r="7" spans="1:13">
      <c r="A7" s="2" t="s">
        <v>14</v>
      </c>
      <c r="B7" s="2" t="s">
        <v>16</v>
      </c>
      <c r="D7" s="1" t="s">
        <v>62</v>
      </c>
      <c r="E7">
        <f t="shared" si="0"/>
        <v>23</v>
      </c>
      <c r="F7">
        <v>0</v>
      </c>
      <c r="G7">
        <v>4</v>
      </c>
      <c r="I7" t="s">
        <v>53</v>
      </c>
      <c r="K7" t="s">
        <v>60</v>
      </c>
    </row>
    <row r="8" spans="1:13">
      <c r="B8" s="2" t="s">
        <v>14</v>
      </c>
      <c r="D8" s="1" t="s">
        <v>63</v>
      </c>
      <c r="E8">
        <f t="shared" si="0"/>
        <v>31</v>
      </c>
      <c r="F8">
        <v>0</v>
      </c>
      <c r="G8">
        <v>4</v>
      </c>
      <c r="I8" t="s">
        <v>54</v>
      </c>
      <c r="K8" t="s">
        <v>61</v>
      </c>
    </row>
    <row r="9" spans="1:13">
      <c r="B9" s="2" t="s">
        <v>21</v>
      </c>
      <c r="C9" s="2" t="s">
        <v>16</v>
      </c>
      <c r="D9" s="1" t="s">
        <v>64</v>
      </c>
      <c r="E9">
        <f t="shared" si="0"/>
        <v>19</v>
      </c>
      <c r="F9">
        <v>4</v>
      </c>
      <c r="G9">
        <v>4</v>
      </c>
      <c r="I9" t="s">
        <v>55</v>
      </c>
    </row>
    <row r="10" spans="1:13">
      <c r="C10" s="2" t="s">
        <v>14</v>
      </c>
      <c r="D10" s="1" t="s">
        <v>65</v>
      </c>
      <c r="E10">
        <f t="shared" si="0"/>
        <v>19</v>
      </c>
      <c r="F10">
        <v>4</v>
      </c>
      <c r="G10">
        <v>4</v>
      </c>
    </row>
    <row r="11" spans="1:13">
      <c r="C11" s="2" t="s">
        <v>21</v>
      </c>
      <c r="D11" s="1" t="s">
        <v>66</v>
      </c>
      <c r="E11">
        <f t="shared" si="0"/>
        <v>6</v>
      </c>
      <c r="F11">
        <v>4</v>
      </c>
      <c r="G11">
        <v>4</v>
      </c>
      <c r="I11" t="s">
        <v>72</v>
      </c>
    </row>
    <row r="12" spans="1:13">
      <c r="A12" s="2" t="s">
        <v>21</v>
      </c>
      <c r="B12" s="2" t="s">
        <v>16</v>
      </c>
      <c r="C12" s="2" t="s">
        <v>22</v>
      </c>
      <c r="D12" s="1">
        <v>48</v>
      </c>
      <c r="E12">
        <f t="shared" si="0"/>
        <v>2</v>
      </c>
      <c r="F12">
        <v>0</v>
      </c>
      <c r="G12">
        <v>3</v>
      </c>
      <c r="I12" t="s">
        <v>73</v>
      </c>
    </row>
    <row r="13" spans="1:13">
      <c r="C13" s="2" t="s">
        <v>23</v>
      </c>
      <c r="D13" s="1">
        <f>D12*8</f>
        <v>384</v>
      </c>
      <c r="E13">
        <f t="shared" si="0"/>
        <v>3</v>
      </c>
      <c r="F13">
        <v>0</v>
      </c>
      <c r="G13">
        <v>3</v>
      </c>
    </row>
    <row r="14" spans="1:13">
      <c r="C14" s="2" t="s">
        <v>24</v>
      </c>
      <c r="D14" s="1">
        <v>28</v>
      </c>
      <c r="E14">
        <f t="shared" si="0"/>
        <v>2</v>
      </c>
      <c r="F14">
        <v>0</v>
      </c>
      <c r="G14">
        <v>3</v>
      </c>
    </row>
    <row r="15" spans="1:13">
      <c r="B15" s="2" t="s">
        <v>14</v>
      </c>
      <c r="C15" s="2" t="s">
        <v>16</v>
      </c>
      <c r="D15" s="1" t="s">
        <v>70</v>
      </c>
      <c r="E15">
        <f t="shared" si="0"/>
        <v>3</v>
      </c>
      <c r="F15">
        <v>3</v>
      </c>
      <c r="G15">
        <v>3</v>
      </c>
    </row>
    <row r="16" spans="1:13">
      <c r="C16" s="2" t="s">
        <v>14</v>
      </c>
      <c r="D16" s="1" t="s">
        <v>71</v>
      </c>
      <c r="E16">
        <f t="shared" si="0"/>
        <v>26</v>
      </c>
      <c r="F16">
        <v>4</v>
      </c>
      <c r="G16">
        <v>4</v>
      </c>
    </row>
    <row r="17" spans="2:7">
      <c r="B17" s="2" t="s">
        <v>21</v>
      </c>
      <c r="E17" t="str">
        <f t="shared" si="0"/>
        <v/>
      </c>
      <c r="F17">
        <v>0</v>
      </c>
      <c r="G17">
        <v>4</v>
      </c>
    </row>
    <row r="18" spans="2:7">
      <c r="B18" s="2" t="s">
        <v>13</v>
      </c>
      <c r="D18" s="1" t="s">
        <v>74</v>
      </c>
      <c r="E18">
        <f t="shared" si="0"/>
        <v>26</v>
      </c>
      <c r="F18">
        <v>0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29D8-DA07-41F1-A9EF-CB051BB2FDA2}">
  <sheetPr codeName="Sheet6"/>
  <dimension ref="A1:M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9" sqref="F19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21</v>
      </c>
      <c r="F2">
        <f>SUM(F4:F1000)</f>
        <v>38</v>
      </c>
      <c r="G2">
        <f>SUM(G4:G1000)</f>
        <v>100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22</v>
      </c>
      <c r="D4" s="1">
        <v>3</v>
      </c>
      <c r="E4">
        <f>IF(D4&lt;&gt;"",LEN(D4),"")</f>
        <v>1</v>
      </c>
      <c r="F4">
        <v>2</v>
      </c>
      <c r="G4">
        <v>2</v>
      </c>
      <c r="I4" t="s">
        <v>80</v>
      </c>
      <c r="K4" t="s">
        <v>84</v>
      </c>
      <c r="M4" t="s">
        <v>81</v>
      </c>
    </row>
    <row r="5" spans="1:13">
      <c r="C5" s="2" t="s">
        <v>23</v>
      </c>
      <c r="D5" s="1">
        <v>16</v>
      </c>
      <c r="E5">
        <f t="shared" ref="E5:E68" si="0">IF(D5&lt;&gt;"",LEN(D5),"")</f>
        <v>2</v>
      </c>
      <c r="F5">
        <v>2</v>
      </c>
      <c r="G5">
        <v>2</v>
      </c>
      <c r="I5" t="s">
        <v>69</v>
      </c>
      <c r="K5" t="s">
        <v>85</v>
      </c>
      <c r="M5" t="s">
        <v>88</v>
      </c>
    </row>
    <row r="6" spans="1:13">
      <c r="C6" s="2" t="s">
        <v>24</v>
      </c>
      <c r="D6" s="1" t="s">
        <v>87</v>
      </c>
      <c r="E6">
        <f t="shared" si="0"/>
        <v>5</v>
      </c>
      <c r="F6">
        <v>2</v>
      </c>
      <c r="G6">
        <v>2</v>
      </c>
      <c r="I6" t="s">
        <v>81</v>
      </c>
      <c r="K6" t="s">
        <v>86</v>
      </c>
      <c r="M6" t="s">
        <v>89</v>
      </c>
    </row>
    <row r="7" spans="1:13">
      <c r="C7" s="2" t="s">
        <v>25</v>
      </c>
      <c r="D7" s="1" t="s">
        <v>90</v>
      </c>
      <c r="E7">
        <f t="shared" si="0"/>
        <v>1</v>
      </c>
      <c r="F7">
        <v>2</v>
      </c>
      <c r="G7">
        <v>2</v>
      </c>
      <c r="I7" t="s">
        <v>82</v>
      </c>
      <c r="K7">
        <f>2^16</f>
        <v>65536</v>
      </c>
      <c r="M7" t="s">
        <v>92</v>
      </c>
    </row>
    <row r="8" spans="1:13">
      <c r="C8" s="2" t="s">
        <v>26</v>
      </c>
      <c r="D8" s="1" t="s">
        <v>91</v>
      </c>
      <c r="E8">
        <f t="shared" si="0"/>
        <v>14</v>
      </c>
      <c r="F8">
        <v>2</v>
      </c>
      <c r="G8">
        <v>2</v>
      </c>
      <c r="I8" t="s">
        <v>83</v>
      </c>
      <c r="K8" t="s">
        <v>104</v>
      </c>
      <c r="M8" t="s">
        <v>93</v>
      </c>
    </row>
    <row r="9" spans="1:13">
      <c r="A9" s="2" t="s">
        <v>14</v>
      </c>
      <c r="B9" s="2" t="s">
        <v>16</v>
      </c>
      <c r="D9" s="1" t="s">
        <v>94</v>
      </c>
      <c r="E9">
        <f t="shared" si="0"/>
        <v>41</v>
      </c>
      <c r="F9">
        <v>4</v>
      </c>
      <c r="G9">
        <v>8</v>
      </c>
      <c r="I9" t="s">
        <v>107</v>
      </c>
      <c r="K9" t="s">
        <v>105</v>
      </c>
      <c r="M9" t="s">
        <v>98</v>
      </c>
    </row>
    <row r="10" spans="1:13">
      <c r="B10" s="2" t="s">
        <v>14</v>
      </c>
      <c r="C10" s="2" t="s">
        <v>16</v>
      </c>
      <c r="D10" s="1" t="s">
        <v>95</v>
      </c>
      <c r="E10">
        <f t="shared" si="0"/>
        <v>9</v>
      </c>
      <c r="F10">
        <v>3</v>
      </c>
      <c r="G10">
        <v>3</v>
      </c>
      <c r="I10" t="s">
        <v>108</v>
      </c>
      <c r="M10" t="s">
        <v>99</v>
      </c>
    </row>
    <row r="11" spans="1:13">
      <c r="C11" s="2" t="s">
        <v>14</v>
      </c>
      <c r="D11" s="1" t="s">
        <v>96</v>
      </c>
      <c r="E11">
        <f t="shared" si="0"/>
        <v>8</v>
      </c>
      <c r="F11">
        <v>3</v>
      </c>
      <c r="G11">
        <v>3</v>
      </c>
      <c r="I11" t="s">
        <v>109</v>
      </c>
      <c r="M11" t="s">
        <v>100</v>
      </c>
    </row>
    <row r="12" spans="1:13">
      <c r="C12" s="2" t="s">
        <v>21</v>
      </c>
      <c r="D12" s="1" t="s">
        <v>97</v>
      </c>
      <c r="E12">
        <f t="shared" si="0"/>
        <v>6</v>
      </c>
      <c r="F12">
        <v>3</v>
      </c>
      <c r="G12">
        <v>3</v>
      </c>
      <c r="M12" t="s">
        <v>101</v>
      </c>
    </row>
    <row r="13" spans="1:13">
      <c r="A13" s="2" t="s">
        <v>21</v>
      </c>
      <c r="B13" s="2" t="s">
        <v>16</v>
      </c>
      <c r="D13" s="1" t="s">
        <v>103</v>
      </c>
      <c r="E13">
        <f t="shared" si="0"/>
        <v>32</v>
      </c>
      <c r="F13">
        <v>0</v>
      </c>
      <c r="G13">
        <v>6</v>
      </c>
      <c r="M13" t="s">
        <v>102</v>
      </c>
    </row>
    <row r="14" spans="1:13">
      <c r="B14" s="2" t="s">
        <v>14</v>
      </c>
      <c r="D14" s="1" t="s">
        <v>106</v>
      </c>
      <c r="E14">
        <f t="shared" si="0"/>
        <v>31</v>
      </c>
      <c r="F14">
        <v>0</v>
      </c>
      <c r="G14">
        <v>6</v>
      </c>
    </row>
    <row r="15" spans="1:13">
      <c r="B15" s="2" t="s">
        <v>21</v>
      </c>
      <c r="C15" s="2" t="s">
        <v>17</v>
      </c>
      <c r="D15" s="1" t="s">
        <v>110</v>
      </c>
      <c r="E15">
        <f t="shared" si="0"/>
        <v>17</v>
      </c>
      <c r="F15">
        <v>3</v>
      </c>
      <c r="G15">
        <v>3</v>
      </c>
    </row>
    <row r="16" spans="1:13">
      <c r="C16" s="2" t="s">
        <v>16</v>
      </c>
      <c r="D16" s="1" t="s">
        <v>111</v>
      </c>
      <c r="E16">
        <f t="shared" si="0"/>
        <v>2</v>
      </c>
      <c r="F16">
        <v>4</v>
      </c>
      <c r="G16">
        <v>4</v>
      </c>
    </row>
    <row r="17" spans="1:7">
      <c r="C17" s="2" t="s">
        <v>14</v>
      </c>
      <c r="D17" s="1" t="s">
        <v>112</v>
      </c>
      <c r="E17">
        <f t="shared" si="0"/>
        <v>5</v>
      </c>
      <c r="F17">
        <v>4</v>
      </c>
      <c r="G17">
        <v>4</v>
      </c>
    </row>
    <row r="18" spans="1:7">
      <c r="C18" s="2" t="s">
        <v>21</v>
      </c>
      <c r="D18" s="1" t="s">
        <v>113</v>
      </c>
      <c r="E18">
        <f t="shared" si="0"/>
        <v>2</v>
      </c>
      <c r="F18">
        <v>4</v>
      </c>
      <c r="G18">
        <v>4</v>
      </c>
    </row>
    <row r="19" spans="1:7">
      <c r="A19" s="2" t="s">
        <v>13</v>
      </c>
      <c r="B19" s="2" t="s">
        <v>16</v>
      </c>
      <c r="E19" t="str">
        <f t="shared" si="0"/>
        <v/>
      </c>
      <c r="G19">
        <v>5</v>
      </c>
    </row>
    <row r="20" spans="1:7">
      <c r="B20" s="2" t="s">
        <v>14</v>
      </c>
      <c r="C20" s="2" t="s">
        <v>76</v>
      </c>
      <c r="E20" t="str">
        <f t="shared" si="0"/>
        <v/>
      </c>
      <c r="G20">
        <v>7</v>
      </c>
    </row>
    <row r="21" spans="1:7">
      <c r="C21" s="2" t="s">
        <v>77</v>
      </c>
      <c r="E21" t="str">
        <f t="shared" si="0"/>
        <v/>
      </c>
      <c r="G21">
        <v>5</v>
      </c>
    </row>
    <row r="22" spans="1:7">
      <c r="C22" s="2" t="s">
        <v>78</v>
      </c>
      <c r="E22" t="str">
        <f t="shared" si="0"/>
        <v/>
      </c>
      <c r="G22">
        <v>5</v>
      </c>
    </row>
    <row r="23" spans="1:7">
      <c r="B23" s="2" t="s">
        <v>21</v>
      </c>
      <c r="E23" t="str">
        <f t="shared" si="0"/>
        <v/>
      </c>
      <c r="G23">
        <v>7</v>
      </c>
    </row>
    <row r="24" spans="1:7">
      <c r="B24" s="2" t="s">
        <v>13</v>
      </c>
      <c r="C24" s="2" t="s">
        <v>79</v>
      </c>
      <c r="E24" t="str">
        <f t="shared" si="0"/>
        <v/>
      </c>
      <c r="G24">
        <v>7</v>
      </c>
    </row>
    <row r="25" spans="1:7">
      <c r="C25" s="2" t="s">
        <v>77</v>
      </c>
      <c r="E25" t="str">
        <f t="shared" si="0"/>
        <v/>
      </c>
      <c r="G25">
        <v>5</v>
      </c>
    </row>
    <row r="26" spans="1:7">
      <c r="C26" s="2" t="s">
        <v>78</v>
      </c>
      <c r="E26" t="str">
        <f t="shared" si="0"/>
        <v/>
      </c>
      <c r="G26">
        <v>5</v>
      </c>
    </row>
    <row r="27" spans="1:7">
      <c r="E27" t="str">
        <f t="shared" si="0"/>
        <v/>
      </c>
    </row>
    <row r="28" spans="1:7">
      <c r="E28" t="str">
        <f t="shared" si="0"/>
        <v/>
      </c>
    </row>
    <row r="29" spans="1:7">
      <c r="E29" t="str">
        <f t="shared" si="0"/>
        <v/>
      </c>
    </row>
    <row r="30" spans="1:7">
      <c r="E30" t="str">
        <f t="shared" si="0"/>
        <v/>
      </c>
    </row>
    <row r="31" spans="1:7">
      <c r="E31" t="str">
        <f t="shared" si="0"/>
        <v/>
      </c>
    </row>
    <row r="32" spans="1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2026-01-12T08:09:26Z</dcterms:modified>
</cp:coreProperties>
</file>