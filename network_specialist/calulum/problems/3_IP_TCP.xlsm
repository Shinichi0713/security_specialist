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specialist\calulum\problems\"/>
    </mc:Choice>
  </mc:AlternateContent>
  <xr:revisionPtr revIDLastSave="0" documentId="13_ncr:1_{4FB31D8E-AEE5-4407-8EF8-68DB03C9F572}" xr6:coauthVersionLast="47" xr6:coauthVersionMax="47" xr10:uidLastSave="{00000000-0000-0000-0000-000000000000}"/>
  <bookViews>
    <workbookView xWindow="6375" yWindow="345" windowWidth="20325" windowHeight="14580" activeTab="6" xr2:uid="{00000000-000D-0000-FFFF-FFFF00000000}"/>
  </bookViews>
  <sheets>
    <sheet name="レビュー" sheetId="2" r:id="rId1"/>
    <sheet name="format" sheetId="4" r:id="rId2"/>
    <sheet name="1" sheetId="9" r:id="rId3"/>
    <sheet name="2" sheetId="10" r:id="rId4"/>
    <sheet name="3" sheetId="11" r:id="rId5"/>
    <sheet name="4" sheetId="12" r:id="rId6"/>
    <sheet name="5" sheetId="13" r:id="rId7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9" i="13" l="1"/>
  <c r="E10" i="13"/>
  <c r="E11" i="13"/>
  <c r="E12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8" i="13"/>
  <c r="E7" i="13"/>
  <c r="E6" i="13"/>
  <c r="E5" i="13"/>
  <c r="E4" i="13"/>
  <c r="G2" i="13"/>
  <c r="F2" i="13"/>
  <c r="D7" i="12"/>
  <c r="E7" i="12" s="1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6" i="12"/>
  <c r="E5" i="12"/>
  <c r="E4" i="12"/>
  <c r="G2" i="12"/>
  <c r="F2" i="12"/>
  <c r="K7" i="11"/>
  <c r="D13" i="10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G2" i="11"/>
  <c r="F2" i="11"/>
  <c r="E167" i="10"/>
  <c r="E166" i="10"/>
  <c r="E165" i="10"/>
  <c r="E164" i="10"/>
  <c r="E163" i="10"/>
  <c r="E162" i="10"/>
  <c r="E161" i="10"/>
  <c r="E160" i="10"/>
  <c r="E159" i="10"/>
  <c r="E158" i="10"/>
  <c r="E157" i="10"/>
  <c r="E156" i="10"/>
  <c r="E155" i="10"/>
  <c r="E154" i="10"/>
  <c r="E153" i="10"/>
  <c r="E152" i="10"/>
  <c r="E151" i="10"/>
  <c r="E150" i="10"/>
  <c r="E149" i="10"/>
  <c r="E148" i="10"/>
  <c r="E147" i="10"/>
  <c r="E146" i="10"/>
  <c r="E145" i="10"/>
  <c r="E144" i="10"/>
  <c r="E143" i="10"/>
  <c r="E142" i="10"/>
  <c r="E141" i="10"/>
  <c r="E140" i="10"/>
  <c r="E139" i="10"/>
  <c r="E138" i="10"/>
  <c r="E137" i="10"/>
  <c r="E136" i="10"/>
  <c r="E135" i="10"/>
  <c r="E134" i="10"/>
  <c r="E133" i="10"/>
  <c r="E132" i="10"/>
  <c r="E131" i="10"/>
  <c r="E130" i="10"/>
  <c r="E129" i="10"/>
  <c r="E128" i="10"/>
  <c r="E127" i="10"/>
  <c r="E126" i="10"/>
  <c r="E125" i="10"/>
  <c r="E124" i="10"/>
  <c r="E123" i="10"/>
  <c r="E122" i="10"/>
  <c r="E121" i="10"/>
  <c r="E120" i="10"/>
  <c r="E119" i="10"/>
  <c r="E118" i="10"/>
  <c r="E117" i="10"/>
  <c r="E116" i="10"/>
  <c r="E115" i="10"/>
  <c r="E114" i="10"/>
  <c r="E113" i="10"/>
  <c r="E112" i="10"/>
  <c r="E111" i="10"/>
  <c r="E110" i="10"/>
  <c r="E109" i="10"/>
  <c r="E108" i="10"/>
  <c r="E107" i="10"/>
  <c r="E106" i="10"/>
  <c r="E105" i="10"/>
  <c r="E104" i="10"/>
  <c r="E103" i="10"/>
  <c r="E102" i="10"/>
  <c r="E101" i="10"/>
  <c r="E100" i="10"/>
  <c r="E99" i="10"/>
  <c r="E98" i="10"/>
  <c r="E97" i="10"/>
  <c r="E96" i="10"/>
  <c r="E95" i="10"/>
  <c r="E94" i="10"/>
  <c r="E93" i="10"/>
  <c r="E92" i="10"/>
  <c r="E91" i="10"/>
  <c r="E90" i="10"/>
  <c r="E89" i="10"/>
  <c r="E88" i="10"/>
  <c r="E87" i="10"/>
  <c r="E86" i="10"/>
  <c r="E85" i="10"/>
  <c r="E84" i="10"/>
  <c r="E83" i="10"/>
  <c r="E82" i="10"/>
  <c r="E81" i="10"/>
  <c r="E80" i="10"/>
  <c r="E79" i="10"/>
  <c r="E78" i="10"/>
  <c r="E77" i="10"/>
  <c r="E76" i="10"/>
  <c r="E75" i="10"/>
  <c r="E74" i="10"/>
  <c r="E73" i="10"/>
  <c r="E72" i="10"/>
  <c r="E71" i="10"/>
  <c r="E70" i="10"/>
  <c r="E69" i="10"/>
  <c r="E68" i="10"/>
  <c r="E67" i="10"/>
  <c r="E66" i="10"/>
  <c r="E65" i="10"/>
  <c r="E64" i="10"/>
  <c r="E63" i="10"/>
  <c r="E62" i="10"/>
  <c r="E61" i="10"/>
  <c r="E60" i="10"/>
  <c r="E59" i="10"/>
  <c r="E58" i="10"/>
  <c r="E57" i="10"/>
  <c r="E56" i="10"/>
  <c r="E55" i="10"/>
  <c r="E54" i="10"/>
  <c r="E53" i="10"/>
  <c r="E52" i="10"/>
  <c r="E51" i="10"/>
  <c r="E50" i="10"/>
  <c r="E49" i="10"/>
  <c r="E48" i="10"/>
  <c r="E47" i="10"/>
  <c r="E46" i="10"/>
  <c r="E45" i="10"/>
  <c r="E44" i="10"/>
  <c r="E43" i="10"/>
  <c r="E42" i="10"/>
  <c r="E41" i="10"/>
  <c r="E40" i="10"/>
  <c r="E39" i="10"/>
  <c r="E38" i="10"/>
  <c r="E37" i="10"/>
  <c r="E36" i="10"/>
  <c r="E35" i="10"/>
  <c r="E34" i="10"/>
  <c r="E33" i="10"/>
  <c r="E32" i="10"/>
  <c r="E31" i="10"/>
  <c r="E30" i="10"/>
  <c r="E29" i="10"/>
  <c r="E28" i="10"/>
  <c r="E27" i="10"/>
  <c r="E26" i="10"/>
  <c r="E25" i="10"/>
  <c r="E24" i="10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G2" i="10"/>
  <c r="F2" i="10"/>
  <c r="E18" i="9"/>
  <c r="E17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G2" i="9"/>
  <c r="F2" i="9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<sst xmlns="http://schemas.openxmlformats.org/spreadsheetml/2006/main" count="297" uniqueCount="173">
  <si>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</si>
  <si>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</si>
  <si>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</si>
  <si>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</si>
  <si>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</si>
  <si>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</si>
  <si>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</si>
  <si>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</si>
  <si>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</si>
  <si>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</si>
  <si>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</si>
  <si>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</si>
  <si>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オ</t>
    <phoneticPr fontId="1"/>
  </si>
  <si>
    <t>4</t>
    <phoneticPr fontId="1"/>
  </si>
  <si>
    <t>2</t>
    <phoneticPr fontId="1"/>
  </si>
  <si>
    <t>重点対策</t>
    <rPh sb="0" eb="4">
      <t>ジュウテンタイサク</t>
    </rPh>
    <phoneticPr fontId="1"/>
  </si>
  <si>
    <t>1</t>
    <phoneticPr fontId="1"/>
  </si>
  <si>
    <t>ア</t>
    <phoneticPr fontId="1"/>
  </si>
  <si>
    <t>イ</t>
    <phoneticPr fontId="1"/>
  </si>
  <si>
    <t>ウ</t>
    <phoneticPr fontId="1"/>
  </si>
  <si>
    <t>エ</t>
    <phoneticPr fontId="1"/>
  </si>
  <si>
    <t>3</t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</si>
  <si>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</si>
  <si>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</si>
  <si>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</si>
  <si>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</si>
  <si>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</si>
  <si>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Z社は販売</t>
    <rPh sb="1" eb="2">
      <t>シャ</t>
    </rPh>
    <rPh sb="3" eb="5">
      <t>ハンバイ</t>
    </rPh>
    <phoneticPr fontId="1"/>
  </si>
  <si>
    <t>全てのIPアドレスを固定であて</t>
    <rPh sb="0" eb="1">
      <t>スベ</t>
    </rPh>
    <rPh sb="10" eb="12">
      <t>コテイ</t>
    </rPh>
    <phoneticPr fontId="1"/>
  </si>
  <si>
    <t>手動がきつい</t>
    <rPh sb="0" eb="2">
      <t>シュドウ</t>
    </rPh>
    <phoneticPr fontId="1"/>
  </si>
  <si>
    <t>無許可IP</t>
    <rPh sb="0" eb="3">
      <t>ムキョカ</t>
    </rPh>
    <phoneticPr fontId="1"/>
  </si>
  <si>
    <t>リレーエージェント</t>
    <phoneticPr fontId="1"/>
  </si>
  <si>
    <t>調査に支障があった</t>
    <rPh sb="0" eb="2">
      <t>チョウサ</t>
    </rPh>
    <rPh sb="3" eb="5">
      <t>シショウ</t>
    </rPh>
    <phoneticPr fontId="1"/>
  </si>
  <si>
    <t>ARP</t>
    <phoneticPr fontId="1"/>
  </si>
  <si>
    <t>DHCPサーバー接続</t>
    <rPh sb="8" eb="10">
      <t>セツゾク</t>
    </rPh>
    <phoneticPr fontId="1"/>
  </si>
  <si>
    <t>IPアドレスの重複が起こり、通信が出来なくなる。</t>
    <rPh sb="7" eb="9">
      <t>チョウフク</t>
    </rPh>
    <rPh sb="10" eb="11">
      <t>オ</t>
    </rPh>
    <rPh sb="14" eb="16">
      <t>ツウシン</t>
    </rPh>
    <rPh sb="17" eb="19">
      <t>デキ</t>
    </rPh>
    <phoneticPr fontId="1"/>
  </si>
  <si>
    <t>PCを接続すべきポート</t>
    <rPh sb="3" eb="5">
      <t>セツゾク</t>
    </rPh>
    <phoneticPr fontId="1"/>
  </si>
  <si>
    <t>DHCPスヌーピング</t>
    <phoneticPr fontId="1"/>
  </si>
  <si>
    <t>ポートフィルタ</t>
    <phoneticPr fontId="1"/>
  </si>
  <si>
    <t>製造者</t>
    <rPh sb="0" eb="3">
      <t>セイゾウシャ</t>
    </rPh>
    <phoneticPr fontId="1"/>
  </si>
  <si>
    <t>固定IPの割り当て</t>
    <rPh sb="0" eb="2">
      <t>コテイ</t>
    </rPh>
    <rPh sb="5" eb="6">
      <t>ワ</t>
    </rPh>
    <rPh sb="7" eb="8">
      <t>ア</t>
    </rPh>
    <phoneticPr fontId="1"/>
  </si>
  <si>
    <t>DHCPサーバーのSWを起動する</t>
    <rPh sb="12" eb="14">
      <t>キドウ</t>
    </rPh>
    <phoneticPr fontId="1"/>
  </si>
  <si>
    <t>SW5だとダメ</t>
    <phoneticPr fontId="1"/>
  </si>
  <si>
    <t>SW2はいけた</t>
    <phoneticPr fontId="1"/>
  </si>
  <si>
    <t>ミラー</t>
    <phoneticPr fontId="1"/>
  </si>
  <si>
    <t>DHCP Discover</t>
    <phoneticPr fontId="1"/>
  </si>
  <si>
    <t>MACアドレスが未登録でもIPアドレスを割り当てる</t>
    <rPh sb="8" eb="11">
      <t>ミトウロク</t>
    </rPh>
    <rPh sb="20" eb="21">
      <t>ワ</t>
    </rPh>
    <rPh sb="22" eb="23">
      <t>ア</t>
    </rPh>
    <phoneticPr fontId="1"/>
  </si>
  <si>
    <t>MACアドレスに対応するIPアドレスを割り当てる</t>
    <rPh sb="8" eb="10">
      <t>タイオウ</t>
    </rPh>
    <rPh sb="19" eb="20">
      <t>ワ</t>
    </rPh>
    <rPh sb="21" eb="22">
      <t>ア</t>
    </rPh>
    <phoneticPr fontId="1"/>
  </si>
  <si>
    <t>SW1とSW2の間でブロードバンドキャストフレームの折り返し</t>
    <rPh sb="8" eb="9">
      <t>アイダ</t>
    </rPh>
    <rPh sb="26" eb="27">
      <t>オ</t>
    </rPh>
    <rPh sb="28" eb="29">
      <t>カエ</t>
    </rPh>
    <phoneticPr fontId="1"/>
  </si>
  <si>
    <t>部門が増えていった場合、関係のない通信をL2SWがデータ転送を行う必要が出てくる</t>
    <rPh sb="0" eb="2">
      <t>ブモン</t>
    </rPh>
    <rPh sb="3" eb="4">
      <t>フ</t>
    </rPh>
    <rPh sb="9" eb="11">
      <t>バアイ</t>
    </rPh>
    <rPh sb="12" eb="14">
      <t>カンケイ</t>
    </rPh>
    <rPh sb="17" eb="19">
      <t>ツウシン</t>
    </rPh>
    <rPh sb="28" eb="30">
      <t>テンソウ</t>
    </rPh>
    <rPh sb="31" eb="32">
      <t>オコナ</t>
    </rPh>
    <rPh sb="33" eb="35">
      <t>ヒツヨウ</t>
    </rPh>
    <rPh sb="36" eb="37">
      <t>デ</t>
    </rPh>
    <phoneticPr fontId="1"/>
  </si>
  <si>
    <t>Aは販売会社</t>
    <rPh sb="2" eb="6">
      <t>ハンバイカイシャ</t>
    </rPh>
    <phoneticPr fontId="1"/>
  </si>
  <si>
    <t>販売支援システム</t>
    <rPh sb="0" eb="4">
      <t>ハンバイシエン</t>
    </rPh>
    <phoneticPr fontId="1"/>
  </si>
  <si>
    <t>業務サーバ</t>
    <rPh sb="0" eb="2">
      <t>ギョウム</t>
    </rPh>
    <phoneticPr fontId="1"/>
  </si>
  <si>
    <t>ネットワークシステムの運用は別</t>
    <rPh sb="11" eb="13">
      <t>ウンヨウ</t>
    </rPh>
    <rPh sb="14" eb="15">
      <t>ベツ</t>
    </rPh>
    <phoneticPr fontId="1"/>
  </si>
  <si>
    <t>サーバ担当とNW担当</t>
    <rPh sb="3" eb="5">
      <t>タントウ</t>
    </rPh>
    <rPh sb="8" eb="10">
      <t>タントウ</t>
    </rPh>
    <phoneticPr fontId="1"/>
  </si>
  <si>
    <t>サーバルーム利用</t>
    <rPh sb="6" eb="8">
      <t>リヨウ</t>
    </rPh>
    <phoneticPr fontId="1"/>
  </si>
  <si>
    <t>社内DNSを利用</t>
    <rPh sb="0" eb="2">
      <t>シャナイ</t>
    </rPh>
    <rPh sb="6" eb="8">
      <t>リヨウ</t>
    </rPh>
    <phoneticPr fontId="1"/>
  </si>
  <si>
    <t>LANアクセスを利用</t>
    <rPh sb="8" eb="10">
      <t>リヨウ</t>
    </rPh>
    <phoneticPr fontId="1"/>
  </si>
  <si>
    <t>ICMP</t>
    <phoneticPr fontId="1"/>
  </si>
  <si>
    <t>業務SVが利用できなくなった</t>
    <rPh sb="0" eb="2">
      <t>ギョウム</t>
    </rPh>
    <rPh sb="5" eb="7">
      <t>リヨウ</t>
    </rPh>
    <phoneticPr fontId="1"/>
  </si>
  <si>
    <t>ping応答なし</t>
    <rPh sb="4" eb="6">
      <t>オウトウ</t>
    </rPh>
    <phoneticPr fontId="1"/>
  </si>
  <si>
    <t>業務サーバ1のLANポートのリンク</t>
    <rPh sb="0" eb="2">
      <t>ギョウム</t>
    </rPh>
    <phoneticPr fontId="1"/>
  </si>
  <si>
    <t>ルータ1、社内DNSサーバ、DNSサーバ、FW</t>
    <rPh sb="5" eb="7">
      <t>シャナイ</t>
    </rPh>
    <phoneticPr fontId="1"/>
  </si>
  <si>
    <t>ルーティングテーブルに営業所LANへの経路情報が登録されている</t>
    <rPh sb="11" eb="14">
      <t>エイギョウショ</t>
    </rPh>
    <rPh sb="19" eb="21">
      <t>ケイロ</t>
    </rPh>
    <rPh sb="21" eb="23">
      <t>ジョウホウ</t>
    </rPh>
    <rPh sb="24" eb="26">
      <t>トウロク</t>
    </rPh>
    <phoneticPr fontId="1"/>
  </si>
  <si>
    <t>SW1と業務サーバ1の間のSW側ポート</t>
    <rPh sb="4" eb="6">
      <t>ギョウム</t>
    </rPh>
    <rPh sb="11" eb="12">
      <t>アイダ</t>
    </rPh>
    <rPh sb="15" eb="16">
      <t>ガワ</t>
    </rPh>
    <phoneticPr fontId="1"/>
  </si>
  <si>
    <t>SW1と業務サーバ1を接続するケーブル</t>
    <rPh sb="4" eb="6">
      <t>ギョウム</t>
    </rPh>
    <rPh sb="11" eb="13">
      <t>セツゾク</t>
    </rPh>
    <phoneticPr fontId="1"/>
  </si>
  <si>
    <t>業務サーバ1</t>
    <rPh sb="0" eb="2">
      <t>ギョウム</t>
    </rPh>
    <phoneticPr fontId="1"/>
  </si>
  <si>
    <t>ネットワークの見直し</t>
    <rPh sb="7" eb="9">
      <t>ミナオ</t>
    </rPh>
    <phoneticPr fontId="1"/>
  </si>
  <si>
    <t>Ipｖ４→IPV6</t>
    <phoneticPr fontId="1"/>
  </si>
  <si>
    <t>IPアドレス</t>
    <phoneticPr fontId="1"/>
  </si>
  <si>
    <t>Swa</t>
    <phoneticPr fontId="1"/>
  </si>
  <si>
    <t>社外からのアクセスを全てFWを通じて行うことが出来る</t>
    <rPh sb="0" eb="2">
      <t>シャガイ</t>
    </rPh>
    <rPh sb="10" eb="11">
      <t>スベ</t>
    </rPh>
    <rPh sb="15" eb="16">
      <t>ツウ</t>
    </rPh>
    <rPh sb="18" eb="19">
      <t>オコナ</t>
    </rPh>
    <rPh sb="23" eb="25">
      <t>デキ</t>
    </rPh>
    <phoneticPr fontId="1"/>
  </si>
  <si>
    <t>2進法を16進数に直す</t>
    <rPh sb="1" eb="3">
      <t>シンホウ</t>
    </rPh>
    <rPh sb="6" eb="8">
      <t>シンスウ</t>
    </rPh>
    <rPh sb="9" eb="10">
      <t>ナオ</t>
    </rPh>
    <phoneticPr fontId="1"/>
  </si>
  <si>
    <t>変換尿プレイfクスと接続する</t>
    <rPh sb="0" eb="3">
      <t>ヘンカンニョウ</t>
    </rPh>
    <rPh sb="10" eb="12">
      <t>セツゾク</t>
    </rPh>
    <phoneticPr fontId="1"/>
  </si>
  <si>
    <t>IPV4とIPv6両方のネットワークに接続できる環境</t>
    <rPh sb="9" eb="11">
      <t>リョウホウ</t>
    </rPh>
    <rPh sb="19" eb="21">
      <t>セツゾク</t>
    </rPh>
    <rPh sb="24" eb="26">
      <t>カンキョウ</t>
    </rPh>
    <phoneticPr fontId="1"/>
  </si>
  <si>
    <t>拡張</t>
    <rPh sb="0" eb="2">
      <t>カクチョウ</t>
    </rPh>
    <phoneticPr fontId="1"/>
  </si>
  <si>
    <t>理由</t>
    <rPh sb="0" eb="2">
      <t>リユウ</t>
    </rPh>
    <phoneticPr fontId="1"/>
  </si>
  <si>
    <t>宛先</t>
    <rPh sb="0" eb="2">
      <t>アテサキ</t>
    </rPh>
    <phoneticPr fontId="1"/>
  </si>
  <si>
    <t>送信元</t>
    <rPh sb="0" eb="3">
      <t>ソウシンモト</t>
    </rPh>
    <phoneticPr fontId="1"/>
  </si>
  <si>
    <t>問題</t>
    <rPh sb="0" eb="2">
      <t>モンダイ</t>
    </rPh>
    <phoneticPr fontId="1"/>
  </si>
  <si>
    <t>中規模ISP</t>
    <rPh sb="0" eb="3">
      <t>チュウキボ</t>
    </rPh>
    <phoneticPr fontId="1"/>
  </si>
  <si>
    <t>基盤ネットワーク</t>
    <rPh sb="0" eb="2">
      <t>キバン</t>
    </rPh>
    <phoneticPr fontId="1"/>
  </si>
  <si>
    <t>IaaS</t>
    <phoneticPr fontId="1"/>
  </si>
  <si>
    <t>ネットワークを柔軟にする必要あり</t>
    <rPh sb="7" eb="9">
      <t>ジュウナン</t>
    </rPh>
    <rPh sb="12" eb="14">
      <t>ヒツヨウ</t>
    </rPh>
    <phoneticPr fontId="1"/>
  </si>
  <si>
    <t>NATやキャリアグレード</t>
    <phoneticPr fontId="1"/>
  </si>
  <si>
    <t>IaaSに振り向ける</t>
    <rPh sb="5" eb="6">
      <t>フ</t>
    </rPh>
    <rPh sb="7" eb="8">
      <t>ム</t>
    </rPh>
    <phoneticPr fontId="1"/>
  </si>
  <si>
    <t>CGNはアクセスネットワーク</t>
    <phoneticPr fontId="1"/>
  </si>
  <si>
    <t>アクティブ</t>
    <phoneticPr fontId="1"/>
  </si>
  <si>
    <t>VMにVLANを設定</t>
    <rPh sb="8" eb="10">
      <t>セッテイ</t>
    </rPh>
    <phoneticPr fontId="1"/>
  </si>
  <si>
    <t>VLAN ID</t>
    <phoneticPr fontId="1"/>
  </si>
  <si>
    <t>D</t>
    <phoneticPr fontId="1"/>
  </si>
  <si>
    <t>マルチキャストMACアドレス</t>
    <phoneticPr fontId="1"/>
  </si>
  <si>
    <t>PIPを用いる</t>
    <rPh sb="4" eb="5">
      <t>モチ</t>
    </rPh>
    <phoneticPr fontId="1"/>
  </si>
  <si>
    <t>アクセスできなくなる</t>
    <phoneticPr fontId="1"/>
  </si>
  <si>
    <t>CGNやCPEのネットワークアドレスと、PCのネットワークアドレスが重複したとき。</t>
    <rPh sb="34" eb="36">
      <t>チョウフク</t>
    </rPh>
    <phoneticPr fontId="1"/>
  </si>
  <si>
    <t>送信元IPアドレス</t>
    <rPh sb="0" eb="3">
      <t>ソウシンモト</t>
    </rPh>
    <phoneticPr fontId="1"/>
  </si>
  <si>
    <t>送信元ポート番号</t>
    <rPh sb="0" eb="3">
      <t>ソウシンモト</t>
    </rPh>
    <rPh sb="6" eb="8">
      <t>バンゴウ</t>
    </rPh>
    <phoneticPr fontId="1"/>
  </si>
  <si>
    <t>アクセス日時</t>
    <rPh sb="4" eb="6">
      <t>ニチジ</t>
    </rPh>
    <phoneticPr fontId="1"/>
  </si>
  <si>
    <t>基盤ネットワークは通信路</t>
    <rPh sb="0" eb="2">
      <t>キバン</t>
    </rPh>
    <rPh sb="9" eb="12">
      <t>ツウシンロ</t>
    </rPh>
    <phoneticPr fontId="1"/>
  </si>
  <si>
    <t>VM</t>
    <phoneticPr fontId="1"/>
  </si>
  <si>
    <t>VLAN</t>
    <phoneticPr fontId="1"/>
  </si>
  <si>
    <t>L3NW</t>
    <phoneticPr fontId="1"/>
  </si>
  <si>
    <t>マルチキャスト</t>
    <phoneticPr fontId="1"/>
  </si>
  <si>
    <t>マルチキャストMACアドレスが送信元アドレスとなることがないため</t>
    <rPh sb="15" eb="18">
      <t>ソウシンモト</t>
    </rPh>
    <phoneticPr fontId="1"/>
  </si>
  <si>
    <t>maruchiっグループが存在するネット</t>
    <rPh sb="13" eb="15">
      <t>ソンザイ</t>
    </rPh>
    <phoneticPr fontId="1"/>
  </si>
  <si>
    <t>IPマルチキャストプロトコル</t>
    <phoneticPr fontId="1"/>
  </si>
  <si>
    <t>マルチキャストグループをこの区間では認識している必要がないため</t>
    <rPh sb="14" eb="16">
      <t>クカン</t>
    </rPh>
    <rPh sb="18" eb="20">
      <t>ニンシキ</t>
    </rPh>
    <rPh sb="24" eb="26">
      <t>ヒツヨウ</t>
    </rPh>
    <phoneticPr fontId="1"/>
  </si>
  <si>
    <t>IGMP join</t>
    <phoneticPr fontId="1"/>
  </si>
  <si>
    <t>L2SW</t>
    <phoneticPr fontId="1"/>
  </si>
  <si>
    <t>L2SWでIGMP join</t>
    <phoneticPr fontId="1"/>
  </si>
  <si>
    <t>01-00-5e-01-01-01</t>
    <phoneticPr fontId="1"/>
  </si>
  <si>
    <t>p1</t>
    <phoneticPr fontId="1"/>
  </si>
  <si>
    <t>p1,p3</t>
    <phoneticPr fontId="1"/>
  </si>
  <si>
    <t>p3</t>
    <phoneticPr fontId="1"/>
  </si>
  <si>
    <t>オーバレイネットワーク</t>
    <phoneticPr fontId="1"/>
  </si>
  <si>
    <t>ヘッダを付与してカプセル化する</t>
    <rPh sb="4" eb="6">
      <t>フヨ</t>
    </rPh>
    <rPh sb="12" eb="13">
      <t>カ</t>
    </rPh>
    <phoneticPr fontId="1"/>
  </si>
  <si>
    <t>ネットワークで転送する</t>
    <rPh sb="7" eb="9">
      <t>テンソウ</t>
    </rPh>
    <phoneticPr fontId="1"/>
  </si>
  <si>
    <t>2の24乗のVXLANセグメントを構成することが出来るため</t>
    <rPh sb="4" eb="5">
      <t>ジョウ</t>
    </rPh>
    <rPh sb="17" eb="19">
      <t>コウセイ</t>
    </rPh>
    <rPh sb="24" eb="26">
      <t>デキ</t>
    </rPh>
    <phoneticPr fontId="1"/>
  </si>
  <si>
    <t>VTEPでカプセルを解除</t>
    <rPh sb="10" eb="12">
      <t>カイジョ</t>
    </rPh>
    <phoneticPr fontId="1"/>
  </si>
  <si>
    <t>どこにVM3がいるか分からないため</t>
    <rPh sb="10" eb="11">
      <t>ワ</t>
    </rPh>
    <phoneticPr fontId="1"/>
  </si>
  <si>
    <t>224.1.1.2</t>
    <phoneticPr fontId="1"/>
  </si>
  <si>
    <t>10.0.0.254</t>
    <phoneticPr fontId="1"/>
  </si>
  <si>
    <t>マルチキャストグループ224.1.12のIGMP joinメッセージをL3SW2に送信する</t>
    <rPh sb="41" eb="43">
      <t>ソウシン</t>
    </rPh>
    <phoneticPr fontId="1"/>
  </si>
  <si>
    <t>不要なマルチキャストパケットがネットワーク内に転送されるため、ネットワーク負荷が高まる</t>
    <rPh sb="0" eb="2">
      <t>フヨウ</t>
    </rPh>
    <rPh sb="21" eb="22">
      <t>ナイ</t>
    </rPh>
    <rPh sb="23" eb="25">
      <t>テンソウ</t>
    </rPh>
    <rPh sb="37" eb="39">
      <t>フカ</t>
    </rPh>
    <rPh sb="40" eb="41">
      <t>タカ</t>
    </rPh>
    <phoneticPr fontId="1"/>
  </si>
  <si>
    <t>10.10.0.254</t>
    <phoneticPr fontId="1"/>
  </si>
  <si>
    <t>情報システムを稼働</t>
    <rPh sb="0" eb="2">
      <t>ジョウホウ</t>
    </rPh>
    <rPh sb="7" eb="9">
      <t>カドウ</t>
    </rPh>
    <phoneticPr fontId="1"/>
  </si>
  <si>
    <t>外出先や社内の施主がタブレットで動作</t>
    <rPh sb="0" eb="3">
      <t>ガイシュツサキ</t>
    </rPh>
    <rPh sb="4" eb="6">
      <t>シャナイ</t>
    </rPh>
    <rPh sb="7" eb="9">
      <t>セシュ</t>
    </rPh>
    <rPh sb="16" eb="18">
      <t>ドウサ</t>
    </rPh>
    <phoneticPr fontId="1"/>
  </si>
  <si>
    <t>施工管理</t>
    <rPh sb="0" eb="4">
      <t>セコウカンリ</t>
    </rPh>
    <phoneticPr fontId="1"/>
  </si>
  <si>
    <t>コールセンター</t>
    <phoneticPr fontId="1"/>
  </si>
  <si>
    <t>IP-PBXよりオペレート</t>
    <phoneticPr fontId="1"/>
  </si>
  <si>
    <t>Internetにアクセス</t>
    <phoneticPr fontId="1"/>
  </si>
  <si>
    <t>工務店のネットワーク</t>
    <rPh sb="0" eb="3">
      <t>コウムテン</t>
    </rPh>
    <phoneticPr fontId="1"/>
  </si>
  <si>
    <t>ブラウザを活用した情報システムの拡張</t>
    <rPh sb="5" eb="7">
      <t>カツヨウ</t>
    </rPh>
    <rPh sb="9" eb="11">
      <t>ジョウホウ</t>
    </rPh>
    <rPh sb="16" eb="18">
      <t>カクチョウ</t>
    </rPh>
    <phoneticPr fontId="1"/>
  </si>
  <si>
    <t>ネット和０く担当が調査</t>
    <rPh sb="3" eb="4">
      <t>ワ</t>
    </rPh>
    <rPh sb="6" eb="8">
      <t>タントウ</t>
    </rPh>
    <rPh sb="9" eb="11">
      <t>チョウサ</t>
    </rPh>
    <phoneticPr fontId="1"/>
  </si>
  <si>
    <t>マルチホーミング</t>
    <phoneticPr fontId="1"/>
  </si>
  <si>
    <t>ビデオ通話</t>
    <rPh sb="3" eb="5">
      <t>ツウワ</t>
    </rPh>
    <phoneticPr fontId="1"/>
  </si>
  <si>
    <t>センター２１重か</t>
    <rPh sb="6" eb="7">
      <t>ジュウ</t>
    </rPh>
    <phoneticPr fontId="1"/>
  </si>
  <si>
    <t>APはアプリケーション</t>
    <phoneticPr fontId="1"/>
  </si>
  <si>
    <t>ip1/29</t>
    <phoneticPr fontId="1"/>
  </si>
  <si>
    <t>10.0.9.0/24</t>
    <phoneticPr fontId="1"/>
  </si>
  <si>
    <t>宛先NATに関する定義を追加する</t>
    <rPh sb="0" eb="2">
      <t>アテサキ</t>
    </rPh>
    <rPh sb="6" eb="7">
      <t>カン</t>
    </rPh>
    <rPh sb="9" eb="11">
      <t>テイギ</t>
    </rPh>
    <rPh sb="12" eb="14">
      <t>ツイカ</t>
    </rPh>
    <phoneticPr fontId="1"/>
  </si>
  <si>
    <t>ISPへの接続ポートに負荷分散</t>
    <rPh sb="5" eb="7">
      <t>セツゾク</t>
    </rPh>
    <rPh sb="11" eb="15">
      <t>フカブンサン</t>
    </rPh>
    <phoneticPr fontId="1"/>
  </si>
  <si>
    <t>許可する通信を定義する</t>
    <rPh sb="0" eb="2">
      <t>キョカ</t>
    </rPh>
    <rPh sb="4" eb="6">
      <t>ツウシン</t>
    </rPh>
    <rPh sb="7" eb="9">
      <t>テイギ</t>
    </rPh>
    <phoneticPr fontId="1"/>
  </si>
  <si>
    <t>異なるISPから払い出されている</t>
    <rPh sb="0" eb="1">
      <t>コト</t>
    </rPh>
    <rPh sb="8" eb="9">
      <t>ハラ</t>
    </rPh>
    <rPh sb="10" eb="11">
      <t>ダ</t>
    </rPh>
    <phoneticPr fontId="1"/>
  </si>
  <si>
    <t>応答が息の宛先IPアドレスと異なる送信元IPアドレスより戻る</t>
    <rPh sb="0" eb="2">
      <t>オウトウ</t>
    </rPh>
    <rPh sb="3" eb="4">
      <t>イキ</t>
    </rPh>
    <rPh sb="5" eb="7">
      <t>アテサキ</t>
    </rPh>
    <rPh sb="14" eb="15">
      <t>コト</t>
    </rPh>
    <rPh sb="17" eb="20">
      <t>ソウシンモト</t>
    </rPh>
    <rPh sb="28" eb="29">
      <t>モド</t>
    </rPh>
    <phoneticPr fontId="1"/>
  </si>
  <si>
    <t>web RTCに準拠するAPを導入する予定</t>
    <rPh sb="8" eb="10">
      <t>ジュンキョ</t>
    </rPh>
    <rPh sb="15" eb="17">
      <t>ドウニュウ</t>
    </rPh>
    <rPh sb="19" eb="21">
      <t>ヨテイ</t>
    </rPh>
    <phoneticPr fontId="1"/>
  </si>
  <si>
    <t>IPアドレを知る仕組みが必要</t>
    <rPh sb="6" eb="7">
      <t>シ</t>
    </rPh>
    <rPh sb="8" eb="10">
      <t>シク</t>
    </rPh>
    <rPh sb="12" eb="14">
      <t>ヒツヨウ</t>
    </rPh>
    <phoneticPr fontId="1"/>
  </si>
  <si>
    <t>Bindingレスポンスに含まれる送信元IPアドレスと自信のIPアドレスを比べる</t>
    <rPh sb="13" eb="14">
      <t>フク</t>
    </rPh>
    <rPh sb="17" eb="20">
      <t>ソウシンモト</t>
    </rPh>
    <rPh sb="27" eb="29">
      <t>ジシン</t>
    </rPh>
    <rPh sb="37" eb="38">
      <t>クラ</t>
    </rPh>
    <phoneticPr fontId="1"/>
  </si>
  <si>
    <t>g2</t>
    <phoneticPr fontId="1"/>
  </si>
  <si>
    <t>p</t>
    <phoneticPr fontId="1"/>
  </si>
  <si>
    <t>5</t>
    <phoneticPr fontId="1"/>
  </si>
  <si>
    <t>6</t>
    <phoneticPr fontId="1"/>
  </si>
  <si>
    <t>あ</t>
    <phoneticPr fontId="1"/>
  </si>
  <si>
    <t>い</t>
    <phoneticPr fontId="1"/>
  </si>
  <si>
    <t>本</t>
    <rPh sb="0" eb="1">
      <t>ホン</t>
    </rPh>
    <phoneticPr fontId="1"/>
  </si>
  <si>
    <t>営</t>
    <rPh sb="0" eb="1">
      <t>エイ</t>
    </rPh>
    <phoneticPr fontId="1"/>
  </si>
  <si>
    <t>DC</t>
    <phoneticPr fontId="1"/>
  </si>
  <si>
    <t>Y社</t>
    <rPh sb="1" eb="2">
      <t>シャ</t>
    </rPh>
    <phoneticPr fontId="1"/>
  </si>
  <si>
    <t>営業所</t>
    <rPh sb="0" eb="3">
      <t>エイギョウショ</t>
    </rPh>
    <phoneticPr fontId="1"/>
  </si>
  <si>
    <t>広域イーサネットサービス</t>
    <rPh sb="0" eb="2">
      <t>コウイキ</t>
    </rPh>
    <phoneticPr fontId="1"/>
  </si>
  <si>
    <t>WANの可用性向上</t>
    <rPh sb="4" eb="7">
      <t>カヨウセイ</t>
    </rPh>
    <rPh sb="7" eb="9">
      <t>コウジョウ</t>
    </rPh>
    <phoneticPr fontId="1"/>
  </si>
  <si>
    <t>ネットワーク再構築</t>
    <rPh sb="6" eb="9">
      <t>サイコウチク</t>
    </rPh>
    <phoneticPr fontId="1"/>
  </si>
  <si>
    <t>新ネット和０く検討</t>
    <rPh sb="0" eb="1">
      <t>シン</t>
    </rPh>
    <rPh sb="4" eb="5">
      <t>ワ</t>
    </rPh>
    <rPh sb="7" eb="9">
      <t>ケントウ</t>
    </rPh>
    <phoneticPr fontId="1"/>
  </si>
  <si>
    <t>VPNをどうぬ優</t>
    <rPh sb="7" eb="8">
      <t>ユウ</t>
    </rPh>
    <phoneticPr fontId="1"/>
  </si>
  <si>
    <t>上長か</t>
    <rPh sb="0" eb="2">
      <t>ジョウチョウ</t>
    </rPh>
    <phoneticPr fontId="1"/>
  </si>
  <si>
    <t>VPNを導入</t>
    <rPh sb="4" eb="6">
      <t>ドウニュウ</t>
    </rPh>
    <phoneticPr fontId="1"/>
  </si>
  <si>
    <t>172.16.128.0/20、172.16.17.0/24</t>
    <phoneticPr fontId="1"/>
  </si>
  <si>
    <t>OSPFを稼働させる</t>
    <rPh sb="5" eb="7">
      <t>カドウ</t>
    </rPh>
    <phoneticPr fontId="1"/>
  </si>
  <si>
    <t>L2SWaとL2SWbを異なるサブネットにする</t>
    <rPh sb="12" eb="13">
      <t>コト</t>
    </rPh>
    <phoneticPr fontId="1"/>
  </si>
  <si>
    <t>どのサーバアクセスもVRRPのマスタルータが稼働する機器に接続されたWAN経由して行われる</t>
    <rPh sb="22" eb="24">
      <t>カドウ</t>
    </rPh>
    <rPh sb="26" eb="28">
      <t>キキ</t>
    </rPh>
    <rPh sb="29" eb="31">
      <t>セツゾク</t>
    </rPh>
    <rPh sb="37" eb="39">
      <t>ケイユ</t>
    </rPh>
    <rPh sb="41" eb="42">
      <t>オコナ</t>
    </rPh>
    <phoneticPr fontId="1"/>
  </si>
  <si>
    <t>InternetVPN経由のコスト値が最小230にかかわらず、専用線経由のコスト値は200でより小さい</t>
    <rPh sb="11" eb="13">
      <t>ケイユ</t>
    </rPh>
    <rPh sb="17" eb="18">
      <t>アタイ</t>
    </rPh>
    <rPh sb="19" eb="21">
      <t>サイショウ</t>
    </rPh>
    <rPh sb="31" eb="34">
      <t>センヨウセン</t>
    </rPh>
    <rPh sb="34" eb="36">
      <t>ケイユ</t>
    </rPh>
    <rPh sb="40" eb="41">
      <t>アタイ</t>
    </rPh>
    <rPh sb="48" eb="49">
      <t>チイ</t>
    </rPh>
    <phoneticPr fontId="1"/>
  </si>
  <si>
    <t>広域イーサネット→本shあ→専用線</t>
    <rPh sb="0" eb="2">
      <t>コウイキ</t>
    </rPh>
    <rPh sb="9" eb="10">
      <t>ホン</t>
    </rPh>
    <rPh sb="14" eb="17">
      <t>センヨウセン</t>
    </rPh>
    <phoneticPr fontId="1"/>
  </si>
  <si>
    <t>InternetVPN→DC→専用線</t>
    <rPh sb="15" eb="18">
      <t>センヨウセン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</si>
</sst>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1"/>
  <sheetViews>
    <sheetView workbookViewId="0">
      <selection activeCell="A2" sqref="A2:E5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8" sqref="B18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3DFC5-9F53-4462-B8C3-7C3B56B6694E}">
  <sheetPr codeName="Sheet4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17" sqref="E17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16</v>
      </c>
      <c r="F2">
        <f>SUM(F4:F1000)</f>
        <v>32</v>
      </c>
      <c r="G2">
        <f>SUM(G4:G1000)</f>
        <v>50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17</v>
      </c>
      <c r="D4" s="1" t="s">
        <v>31</v>
      </c>
      <c r="E4">
        <f>IF(D4&lt;&gt;"",LEN(D4),"")</f>
        <v>9</v>
      </c>
      <c r="F4">
        <v>2</v>
      </c>
      <c r="G4">
        <v>2</v>
      </c>
      <c r="I4" t="s">
        <v>27</v>
      </c>
      <c r="K4" t="s">
        <v>32</v>
      </c>
      <c r="M4" t="s">
        <v>42</v>
      </c>
    </row>
    <row r="5" spans="1:13">
      <c r="C5" s="2" t="s">
        <v>18</v>
      </c>
      <c r="D5" s="1" t="s">
        <v>33</v>
      </c>
      <c r="E5">
        <f t="shared" ref="E5:E68" si="0">IF(D5&lt;&gt;"",LEN(D5),"")</f>
        <v>3</v>
      </c>
      <c r="F5">
        <v>2</v>
      </c>
      <c r="G5">
        <v>2</v>
      </c>
      <c r="I5" t="s">
        <v>28</v>
      </c>
      <c r="K5" t="s">
        <v>34</v>
      </c>
      <c r="M5" t="s">
        <v>43</v>
      </c>
    </row>
    <row r="6" spans="1:13">
      <c r="C6" s="2" t="s">
        <v>19</v>
      </c>
      <c r="D6" s="1" t="s">
        <v>39</v>
      </c>
      <c r="E6">
        <f t="shared" si="0"/>
        <v>3</v>
      </c>
      <c r="F6">
        <v>2</v>
      </c>
      <c r="G6">
        <v>2</v>
      </c>
      <c r="I6" t="s">
        <v>29</v>
      </c>
      <c r="K6" t="s">
        <v>37</v>
      </c>
    </row>
    <row r="7" spans="1:13">
      <c r="C7" s="2" t="s">
        <v>20</v>
      </c>
      <c r="D7" s="1" t="s">
        <v>44</v>
      </c>
      <c r="E7">
        <f t="shared" si="0"/>
        <v>3</v>
      </c>
      <c r="F7">
        <v>2</v>
      </c>
      <c r="G7">
        <v>2</v>
      </c>
      <c r="I7" t="s">
        <v>30</v>
      </c>
      <c r="K7" t="s">
        <v>38</v>
      </c>
    </row>
    <row r="8" spans="1:13">
      <c r="C8" s="2" t="s">
        <v>12</v>
      </c>
      <c r="D8" s="1" t="s">
        <v>45</v>
      </c>
      <c r="E8">
        <f t="shared" si="0"/>
        <v>13</v>
      </c>
      <c r="F8">
        <v>2</v>
      </c>
      <c r="G8">
        <v>2</v>
      </c>
      <c r="I8" t="s">
        <v>40</v>
      </c>
      <c r="K8" t="s">
        <v>41</v>
      </c>
    </row>
    <row r="9" spans="1:13">
      <c r="A9" s="2" t="s">
        <v>14</v>
      </c>
      <c r="B9" s="2" t="s">
        <v>16</v>
      </c>
      <c r="D9" s="1">
        <v>2.4</v>
      </c>
      <c r="E9">
        <f t="shared" si="0"/>
        <v>3</v>
      </c>
      <c r="F9">
        <v>0</v>
      </c>
      <c r="G9">
        <v>4</v>
      </c>
    </row>
    <row r="10" spans="1:13">
      <c r="B10" s="2" t="s">
        <v>14</v>
      </c>
      <c r="D10" s="1" t="s">
        <v>35</v>
      </c>
      <c r="E10">
        <f t="shared" si="0"/>
        <v>24</v>
      </c>
      <c r="F10">
        <v>6</v>
      </c>
      <c r="G10">
        <v>6</v>
      </c>
    </row>
    <row r="11" spans="1:13">
      <c r="B11" s="2" t="s">
        <v>21</v>
      </c>
      <c r="D11" s="1" t="s">
        <v>36</v>
      </c>
      <c r="E11">
        <f t="shared" si="0"/>
        <v>11</v>
      </c>
      <c r="F11">
        <v>0</v>
      </c>
      <c r="G11">
        <v>6</v>
      </c>
    </row>
    <row r="12" spans="1:13">
      <c r="A12" s="2" t="s">
        <v>21</v>
      </c>
      <c r="B12" s="2" t="s">
        <v>16</v>
      </c>
      <c r="C12" s="2" t="s">
        <v>23</v>
      </c>
      <c r="D12" s="1">
        <v>24</v>
      </c>
      <c r="E12">
        <f t="shared" si="0"/>
        <v>2</v>
      </c>
      <c r="F12">
        <v>4</v>
      </c>
      <c r="G12">
        <v>4</v>
      </c>
    </row>
    <row r="13" spans="1:13">
      <c r="C13" s="2" t="s">
        <v>24</v>
      </c>
      <c r="D13" s="1">
        <v>6</v>
      </c>
      <c r="E13">
        <f t="shared" si="0"/>
        <v>1</v>
      </c>
      <c r="F13">
        <v>4</v>
      </c>
      <c r="G13">
        <v>4</v>
      </c>
    </row>
    <row r="14" spans="1:13">
      <c r="B14" s="2" t="s">
        <v>14</v>
      </c>
      <c r="C14" s="2" t="s">
        <v>16</v>
      </c>
      <c r="D14" s="1" t="s">
        <v>47</v>
      </c>
      <c r="E14">
        <f t="shared" si="0"/>
        <v>24</v>
      </c>
      <c r="F14">
        <v>4</v>
      </c>
      <c r="G14">
        <v>4</v>
      </c>
    </row>
    <row r="15" spans="1:13">
      <c r="C15" s="2" t="s">
        <v>14</v>
      </c>
      <c r="D15" s="1" t="s">
        <v>46</v>
      </c>
      <c r="E15">
        <f t="shared" si="0"/>
        <v>25</v>
      </c>
      <c r="F15">
        <v>0</v>
      </c>
      <c r="G15">
        <v>4</v>
      </c>
    </row>
    <row r="16" spans="1:13">
      <c r="B16" s="2" t="s">
        <v>21</v>
      </c>
      <c r="D16" s="1" t="s">
        <v>48</v>
      </c>
      <c r="E16">
        <f t="shared" si="0"/>
        <v>30</v>
      </c>
      <c r="F16">
        <v>2</v>
      </c>
      <c r="G16">
        <v>4</v>
      </c>
    </row>
    <row r="17" spans="2:7">
      <c r="B17" s="2" t="s">
        <v>13</v>
      </c>
      <c r="D17" s="1" t="s">
        <v>49</v>
      </c>
      <c r="E17">
        <f t="shared" si="0"/>
        <v>40</v>
      </c>
      <c r="F17">
        <v>2</v>
      </c>
      <c r="G17">
        <v>4</v>
      </c>
    </row>
    <row r="18" spans="2:7">
      <c r="E18" t="str">
        <f t="shared" si="0"/>
        <v/>
      </c>
    </row>
    <row r="19" spans="2:7">
      <c r="E19" t="str">
        <f t="shared" si="0"/>
        <v/>
      </c>
    </row>
    <row r="20" spans="2:7">
      <c r="E20" t="str">
        <f t="shared" si="0"/>
        <v/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3:C3"/>
    <mergeCell ref="A2:C2"/>
    <mergeCell ref="A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972F2-C33F-42B2-81D3-9044BD3100BB}">
  <sheetPr codeName="Sheet5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7" sqref="D7"/>
    </sheetView>
  </sheetViews>
  <sheetFormatPr defaultRowHeight="18.75"/>
  <cols>
    <col min="1" max="1" width="7.375" style="2" customWidth="1"/>
    <col min="2" max="2" width="8.5" style="2" customWidth="1"/>
    <col min="3" max="3" width="9" style="2"/>
    <col min="4" max="4" width="96.8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14</v>
      </c>
      <c r="F2">
        <f>SUM(F4:F1000)</f>
        <v>21</v>
      </c>
      <c r="G2">
        <f>SUM(G4:G1000)</f>
        <v>50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17</v>
      </c>
      <c r="D4" s="1" t="s">
        <v>58</v>
      </c>
      <c r="E4">
        <f>IF(D4&lt;&gt;"",LEN(D4),"")</f>
        <v>4</v>
      </c>
      <c r="F4">
        <v>0</v>
      </c>
      <c r="G4">
        <v>2</v>
      </c>
      <c r="I4" t="s">
        <v>50</v>
      </c>
      <c r="K4" t="s">
        <v>56</v>
      </c>
      <c r="M4" t="s">
        <v>67</v>
      </c>
    </row>
    <row r="5" spans="1:13">
      <c r="C5" s="2" t="s">
        <v>18</v>
      </c>
      <c r="D5" s="1" t="s">
        <v>69</v>
      </c>
      <c r="E5">
        <f t="shared" ref="E5:E68" si="0">IF(D5&lt;&gt;"",LEN(D5),"")</f>
        <v>6</v>
      </c>
      <c r="F5">
        <v>2</v>
      </c>
      <c r="G5">
        <v>2</v>
      </c>
      <c r="I5" t="s">
        <v>51</v>
      </c>
      <c r="K5" t="s">
        <v>57</v>
      </c>
      <c r="M5" t="s">
        <v>68</v>
      </c>
    </row>
    <row r="6" spans="1:13">
      <c r="C6" s="2" t="s">
        <v>19</v>
      </c>
      <c r="D6" s="1" t="s">
        <v>75</v>
      </c>
      <c r="E6">
        <f t="shared" si="0"/>
        <v>2</v>
      </c>
      <c r="F6">
        <v>0</v>
      </c>
      <c r="G6">
        <v>2</v>
      </c>
      <c r="I6" t="s">
        <v>52</v>
      </c>
      <c r="K6" t="s">
        <v>59</v>
      </c>
    </row>
    <row r="7" spans="1:13">
      <c r="A7" s="2" t="s">
        <v>14</v>
      </c>
      <c r="B7" s="2" t="s">
        <v>16</v>
      </c>
      <c r="D7" s="1" t="s">
        <v>62</v>
      </c>
      <c r="E7">
        <f t="shared" si="0"/>
        <v>23</v>
      </c>
      <c r="F7">
        <v>0</v>
      </c>
      <c r="G7">
        <v>4</v>
      </c>
      <c r="I7" t="s">
        <v>53</v>
      </c>
      <c r="K7" t="s">
        <v>60</v>
      </c>
    </row>
    <row r="8" spans="1:13">
      <c r="B8" s="2" t="s">
        <v>14</v>
      </c>
      <c r="D8" s="1" t="s">
        <v>63</v>
      </c>
      <c r="E8">
        <f t="shared" si="0"/>
        <v>31</v>
      </c>
      <c r="F8">
        <v>0</v>
      </c>
      <c r="G8">
        <v>4</v>
      </c>
      <c r="I8" t="s">
        <v>54</v>
      </c>
      <c r="K8" t="s">
        <v>61</v>
      </c>
    </row>
    <row r="9" spans="1:13">
      <c r="B9" s="2" t="s">
        <v>21</v>
      </c>
      <c r="C9" s="2" t="s">
        <v>16</v>
      </c>
      <c r="D9" s="1" t="s">
        <v>64</v>
      </c>
      <c r="E9">
        <f t="shared" si="0"/>
        <v>19</v>
      </c>
      <c r="F9">
        <v>4</v>
      </c>
      <c r="G9">
        <v>4</v>
      </c>
      <c r="I9" t="s">
        <v>55</v>
      </c>
    </row>
    <row r="10" spans="1:13">
      <c r="C10" s="2" t="s">
        <v>14</v>
      </c>
      <c r="D10" s="1" t="s">
        <v>65</v>
      </c>
      <c r="E10">
        <f t="shared" si="0"/>
        <v>19</v>
      </c>
      <c r="F10">
        <v>4</v>
      </c>
      <c r="G10">
        <v>4</v>
      </c>
    </row>
    <row r="11" spans="1:13">
      <c r="C11" s="2" t="s">
        <v>21</v>
      </c>
      <c r="D11" s="1" t="s">
        <v>66</v>
      </c>
      <c r="E11">
        <f t="shared" si="0"/>
        <v>6</v>
      </c>
      <c r="F11">
        <v>4</v>
      </c>
      <c r="G11">
        <v>4</v>
      </c>
      <c r="I11" t="s">
        <v>72</v>
      </c>
    </row>
    <row r="12" spans="1:13">
      <c r="A12" s="2" t="s">
        <v>21</v>
      </c>
      <c r="B12" s="2" t="s">
        <v>16</v>
      </c>
      <c r="C12" s="2" t="s">
        <v>22</v>
      </c>
      <c r="D12" s="1">
        <v>48</v>
      </c>
      <c r="E12">
        <f t="shared" si="0"/>
        <v>2</v>
      </c>
      <c r="F12">
        <v>0</v>
      </c>
      <c r="G12">
        <v>3</v>
      </c>
      <c r="I12" t="s">
        <v>73</v>
      </c>
    </row>
    <row r="13" spans="1:13">
      <c r="C13" s="2" t="s">
        <v>23</v>
      </c>
      <c r="D13" s="1">
        <f>D12*8</f>
        <v>384</v>
      </c>
      <c r="E13">
        <f t="shared" si="0"/>
        <v>3</v>
      </c>
      <c r="F13">
        <v>0</v>
      </c>
      <c r="G13">
        <v>3</v>
      </c>
    </row>
    <row r="14" spans="1:13">
      <c r="C14" s="2" t="s">
        <v>24</v>
      </c>
      <c r="D14" s="1">
        <v>28</v>
      </c>
      <c r="E14">
        <f t="shared" si="0"/>
        <v>2</v>
      </c>
      <c r="F14">
        <v>0</v>
      </c>
      <c r="G14">
        <v>3</v>
      </c>
    </row>
    <row r="15" spans="1:13">
      <c r="B15" s="2" t="s">
        <v>14</v>
      </c>
      <c r="C15" s="2" t="s">
        <v>16</v>
      </c>
      <c r="D15" s="1" t="s">
        <v>70</v>
      </c>
      <c r="E15">
        <f t="shared" si="0"/>
        <v>3</v>
      </c>
      <c r="F15">
        <v>3</v>
      </c>
      <c r="G15">
        <v>3</v>
      </c>
    </row>
    <row r="16" spans="1:13">
      <c r="C16" s="2" t="s">
        <v>14</v>
      </c>
      <c r="D16" s="1" t="s">
        <v>71</v>
      </c>
      <c r="E16">
        <f t="shared" si="0"/>
        <v>26</v>
      </c>
      <c r="F16">
        <v>4</v>
      </c>
      <c r="G16">
        <v>4</v>
      </c>
    </row>
    <row r="17" spans="2:7">
      <c r="B17" s="2" t="s">
        <v>21</v>
      </c>
      <c r="E17" t="str">
        <f t="shared" si="0"/>
        <v/>
      </c>
      <c r="F17">
        <v>0</v>
      </c>
      <c r="G17">
        <v>4</v>
      </c>
    </row>
    <row r="18" spans="2:7">
      <c r="B18" s="2" t="s">
        <v>13</v>
      </c>
      <c r="D18" s="1" t="s">
        <v>74</v>
      </c>
      <c r="E18">
        <f t="shared" si="0"/>
        <v>26</v>
      </c>
      <c r="F18">
        <v>0</v>
      </c>
      <c r="G18">
        <v>4</v>
      </c>
    </row>
    <row r="19" spans="2:7">
      <c r="E19" t="str">
        <f t="shared" si="0"/>
        <v/>
      </c>
    </row>
    <row r="20" spans="2:7">
      <c r="E20" t="str">
        <f t="shared" si="0"/>
        <v/>
      </c>
    </row>
    <row r="21" spans="2:7">
      <c r="E21" t="str">
        <f t="shared" si="0"/>
        <v/>
      </c>
    </row>
    <row r="22" spans="2:7">
      <c r="E22" t="str">
        <f t="shared" si="0"/>
        <v/>
      </c>
    </row>
    <row r="23" spans="2:7">
      <c r="E23" t="str">
        <f t="shared" si="0"/>
        <v/>
      </c>
    </row>
    <row r="24" spans="2:7">
      <c r="E24" t="str">
        <f t="shared" si="0"/>
        <v/>
      </c>
    </row>
    <row r="25" spans="2:7">
      <c r="E25" t="str">
        <f t="shared" si="0"/>
        <v/>
      </c>
    </row>
    <row r="26" spans="2:7">
      <c r="E26" t="str">
        <f t="shared" si="0"/>
        <v/>
      </c>
    </row>
    <row r="27" spans="2:7">
      <c r="E27" t="str">
        <f t="shared" si="0"/>
        <v/>
      </c>
    </row>
    <row r="28" spans="2:7">
      <c r="E28" t="str">
        <f t="shared" si="0"/>
        <v/>
      </c>
    </row>
    <row r="29" spans="2:7">
      <c r="E29" t="str">
        <f t="shared" si="0"/>
        <v/>
      </c>
    </row>
    <row r="30" spans="2:7">
      <c r="E30" t="str">
        <f t="shared" si="0"/>
        <v/>
      </c>
    </row>
    <row r="31" spans="2:7">
      <c r="E31" t="str">
        <f t="shared" si="0"/>
        <v/>
      </c>
    </row>
    <row r="32" spans="2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D29D8-DA07-41F1-A9EF-CB051BB2FDA2}">
  <sheetPr codeName="Sheet6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6" sqref="F26"/>
    </sheetView>
  </sheetViews>
  <sheetFormatPr defaultRowHeight="18.75"/>
  <cols>
    <col min="1" max="3" width="4.375" style="2" customWidth="1"/>
    <col min="4" max="4" width="73.75" style="1" customWidth="1"/>
    <col min="5" max="5" width="9.75" customWidth="1"/>
  </cols>
  <sheetData>
    <row r="1" spans="1:13">
      <c r="A1" s="4" t="s">
        <v>0</v>
      </c>
      <c r="B1" s="4"/>
      <c r="C1" s="4"/>
      <c r="D1" s="1" t="s">
        <v>15</v>
      </c>
    </row>
    <row r="2" spans="1:13">
      <c r="A2" s="4" t="s">
        <v>2</v>
      </c>
      <c r="B2" s="4"/>
      <c r="C2" s="4"/>
      <c r="D2" s="3" t="s">
        <v>21</v>
      </c>
      <c r="F2">
        <f>SUM(F4:F1000)</f>
        <v>67</v>
      </c>
      <c r="G2">
        <f>SUM(G4:G1000)</f>
        <v>100</v>
      </c>
    </row>
    <row r="3" spans="1:13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3">
      <c r="A4" s="2" t="s">
        <v>16</v>
      </c>
      <c r="C4" s="2" t="s">
        <v>22</v>
      </c>
      <c r="D4" s="1">
        <v>3</v>
      </c>
      <c r="E4">
        <f>IF(D4&lt;&gt;"",LEN(D4),"")</f>
        <v>1</v>
      </c>
      <c r="F4">
        <v>2</v>
      </c>
      <c r="G4">
        <v>2</v>
      </c>
      <c r="I4" t="s">
        <v>80</v>
      </c>
      <c r="K4" t="s">
        <v>84</v>
      </c>
      <c r="M4" t="s">
        <v>81</v>
      </c>
    </row>
    <row r="5" spans="1:13">
      <c r="C5" s="2" t="s">
        <v>23</v>
      </c>
      <c r="D5" s="1">
        <v>16</v>
      </c>
      <c r="E5">
        <f t="shared" ref="E5:E68" si="0">IF(D5&lt;&gt;"",LEN(D5),"")</f>
        <v>2</v>
      </c>
      <c r="F5">
        <v>2</v>
      </c>
      <c r="G5">
        <v>2</v>
      </c>
      <c r="I5" t="s">
        <v>69</v>
      </c>
      <c r="K5" t="s">
        <v>85</v>
      </c>
      <c r="M5" t="s">
        <v>88</v>
      </c>
    </row>
    <row r="6" spans="1:13">
      <c r="C6" s="2" t="s">
        <v>24</v>
      </c>
      <c r="D6" s="1" t="s">
        <v>87</v>
      </c>
      <c r="E6">
        <f t="shared" si="0"/>
        <v>5</v>
      </c>
      <c r="F6">
        <v>2</v>
      </c>
      <c r="G6">
        <v>2</v>
      </c>
      <c r="I6" t="s">
        <v>81</v>
      </c>
      <c r="K6" t="s">
        <v>86</v>
      </c>
      <c r="M6" t="s">
        <v>89</v>
      </c>
    </row>
    <row r="7" spans="1:13">
      <c r="C7" s="2" t="s">
        <v>25</v>
      </c>
      <c r="D7" s="1" t="s">
        <v>90</v>
      </c>
      <c r="E7">
        <f t="shared" si="0"/>
        <v>1</v>
      </c>
      <c r="F7">
        <v>2</v>
      </c>
      <c r="G7">
        <v>2</v>
      </c>
      <c r="I7" t="s">
        <v>82</v>
      </c>
      <c r="K7">
        <f>2^16</f>
        <v>65536</v>
      </c>
      <c r="M7" t="s">
        <v>92</v>
      </c>
    </row>
    <row r="8" spans="1:13">
      <c r="C8" s="2" t="s">
        <v>26</v>
      </c>
      <c r="D8" s="1" t="s">
        <v>91</v>
      </c>
      <c r="E8">
        <f t="shared" si="0"/>
        <v>14</v>
      </c>
      <c r="F8">
        <v>2</v>
      </c>
      <c r="G8">
        <v>2</v>
      </c>
      <c r="I8" t="s">
        <v>83</v>
      </c>
      <c r="K8" t="s">
        <v>104</v>
      </c>
      <c r="M8" t="s">
        <v>93</v>
      </c>
    </row>
    <row r="9" spans="1:13">
      <c r="A9" s="2" t="s">
        <v>14</v>
      </c>
      <c r="B9" s="2" t="s">
        <v>16</v>
      </c>
      <c r="D9" s="1" t="s">
        <v>94</v>
      </c>
      <c r="E9">
        <f t="shared" si="0"/>
        <v>41</v>
      </c>
      <c r="F9">
        <v>4</v>
      </c>
      <c r="G9">
        <v>8</v>
      </c>
      <c r="I9" t="s">
        <v>107</v>
      </c>
      <c r="K9" t="s">
        <v>105</v>
      </c>
      <c r="M9" t="s">
        <v>98</v>
      </c>
    </row>
    <row r="10" spans="1:13">
      <c r="B10" s="2" t="s">
        <v>14</v>
      </c>
      <c r="C10" s="2" t="s">
        <v>16</v>
      </c>
      <c r="D10" s="1" t="s">
        <v>95</v>
      </c>
      <c r="E10">
        <f t="shared" si="0"/>
        <v>9</v>
      </c>
      <c r="F10">
        <v>3</v>
      </c>
      <c r="G10">
        <v>3</v>
      </c>
      <c r="I10" t="s">
        <v>108</v>
      </c>
      <c r="M10" t="s">
        <v>99</v>
      </c>
    </row>
    <row r="11" spans="1:13">
      <c r="C11" s="2" t="s">
        <v>14</v>
      </c>
      <c r="D11" s="1" t="s">
        <v>96</v>
      </c>
      <c r="E11">
        <f t="shared" si="0"/>
        <v>8</v>
      </c>
      <c r="F11">
        <v>3</v>
      </c>
      <c r="G11">
        <v>3</v>
      </c>
      <c r="I11" t="s">
        <v>109</v>
      </c>
      <c r="M11" t="s">
        <v>100</v>
      </c>
    </row>
    <row r="12" spans="1:13">
      <c r="C12" s="2" t="s">
        <v>21</v>
      </c>
      <c r="D12" s="1" t="s">
        <v>97</v>
      </c>
      <c r="E12">
        <f t="shared" si="0"/>
        <v>6</v>
      </c>
      <c r="F12">
        <v>3</v>
      </c>
      <c r="G12">
        <v>3</v>
      </c>
      <c r="I12" t="s">
        <v>114</v>
      </c>
      <c r="M12" t="s">
        <v>101</v>
      </c>
    </row>
    <row r="13" spans="1:13">
      <c r="A13" s="2" t="s">
        <v>21</v>
      </c>
      <c r="B13" s="2" t="s">
        <v>16</v>
      </c>
      <c r="D13" s="1" t="s">
        <v>103</v>
      </c>
      <c r="E13">
        <f t="shared" si="0"/>
        <v>32</v>
      </c>
      <c r="F13">
        <v>0</v>
      </c>
      <c r="G13">
        <v>6</v>
      </c>
      <c r="I13" t="s">
        <v>115</v>
      </c>
      <c r="M13" t="s">
        <v>102</v>
      </c>
    </row>
    <row r="14" spans="1:13">
      <c r="B14" s="2" t="s">
        <v>14</v>
      </c>
      <c r="D14" s="1" t="s">
        <v>106</v>
      </c>
      <c r="E14">
        <f t="shared" si="0"/>
        <v>31</v>
      </c>
      <c r="F14">
        <v>0</v>
      </c>
      <c r="G14">
        <v>6</v>
      </c>
      <c r="I14" t="s">
        <v>116</v>
      </c>
    </row>
    <row r="15" spans="1:13">
      <c r="B15" s="2" t="s">
        <v>21</v>
      </c>
      <c r="C15" s="2" t="s">
        <v>17</v>
      </c>
      <c r="D15" s="1" t="s">
        <v>110</v>
      </c>
      <c r="E15">
        <f t="shared" si="0"/>
        <v>17</v>
      </c>
      <c r="F15">
        <v>3</v>
      </c>
      <c r="G15">
        <v>3</v>
      </c>
      <c r="I15" t="s">
        <v>118</v>
      </c>
    </row>
    <row r="16" spans="1:13">
      <c r="C16" s="2" t="s">
        <v>16</v>
      </c>
      <c r="D16" s="1" t="s">
        <v>111</v>
      </c>
      <c r="E16">
        <f t="shared" si="0"/>
        <v>2</v>
      </c>
      <c r="F16">
        <v>4</v>
      </c>
      <c r="G16">
        <v>4</v>
      </c>
    </row>
    <row r="17" spans="1:7">
      <c r="C17" s="2" t="s">
        <v>14</v>
      </c>
      <c r="D17" s="1" t="s">
        <v>112</v>
      </c>
      <c r="E17">
        <f t="shared" si="0"/>
        <v>5</v>
      </c>
      <c r="F17">
        <v>4</v>
      </c>
      <c r="G17">
        <v>4</v>
      </c>
    </row>
    <row r="18" spans="1:7">
      <c r="C18" s="2" t="s">
        <v>21</v>
      </c>
      <c r="D18" s="1" t="s">
        <v>113</v>
      </c>
      <c r="E18">
        <f t="shared" si="0"/>
        <v>2</v>
      </c>
      <c r="F18">
        <v>4</v>
      </c>
      <c r="G18">
        <v>4</v>
      </c>
    </row>
    <row r="19" spans="1:7">
      <c r="A19" s="2" t="s">
        <v>13</v>
      </c>
      <c r="B19" s="2" t="s">
        <v>16</v>
      </c>
      <c r="D19" s="1" t="s">
        <v>117</v>
      </c>
      <c r="E19">
        <f t="shared" si="0"/>
        <v>29</v>
      </c>
      <c r="F19">
        <v>5</v>
      </c>
      <c r="G19">
        <v>5</v>
      </c>
    </row>
    <row r="20" spans="1:7">
      <c r="B20" s="2" t="s">
        <v>14</v>
      </c>
      <c r="C20" s="2" t="s">
        <v>76</v>
      </c>
      <c r="D20" s="1" t="s">
        <v>119</v>
      </c>
      <c r="E20">
        <f t="shared" si="0"/>
        <v>17</v>
      </c>
      <c r="F20">
        <v>7</v>
      </c>
      <c r="G20">
        <v>7</v>
      </c>
    </row>
    <row r="21" spans="1:7">
      <c r="C21" s="2" t="s">
        <v>77</v>
      </c>
      <c r="D21" s="1" t="s">
        <v>120</v>
      </c>
      <c r="E21">
        <f t="shared" si="0"/>
        <v>9</v>
      </c>
      <c r="F21">
        <v>5</v>
      </c>
      <c r="G21">
        <v>5</v>
      </c>
    </row>
    <row r="22" spans="1:7">
      <c r="C22" s="2" t="s">
        <v>78</v>
      </c>
      <c r="D22" s="1" t="s">
        <v>121</v>
      </c>
      <c r="E22">
        <f t="shared" si="0"/>
        <v>10</v>
      </c>
      <c r="F22">
        <v>5</v>
      </c>
      <c r="G22">
        <v>5</v>
      </c>
    </row>
    <row r="23" spans="1:7">
      <c r="B23" s="2" t="s">
        <v>21</v>
      </c>
      <c r="D23" s="1" t="s">
        <v>122</v>
      </c>
      <c r="E23">
        <f t="shared" si="0"/>
        <v>45</v>
      </c>
      <c r="F23">
        <v>0</v>
      </c>
      <c r="G23">
        <v>7</v>
      </c>
    </row>
    <row r="24" spans="1:7" ht="37.5">
      <c r="B24" s="2" t="s">
        <v>13</v>
      </c>
      <c r="C24" s="2" t="s">
        <v>79</v>
      </c>
      <c r="D24" s="1" t="s">
        <v>123</v>
      </c>
      <c r="E24">
        <f t="shared" si="0"/>
        <v>43</v>
      </c>
      <c r="F24">
        <v>7</v>
      </c>
      <c r="G24">
        <v>7</v>
      </c>
    </row>
    <row r="25" spans="1:7">
      <c r="C25" s="2" t="s">
        <v>77</v>
      </c>
      <c r="D25" s="1" t="s">
        <v>121</v>
      </c>
      <c r="E25">
        <f t="shared" si="0"/>
        <v>10</v>
      </c>
      <c r="F25">
        <v>0</v>
      </c>
      <c r="G25">
        <v>5</v>
      </c>
    </row>
    <row r="26" spans="1:7">
      <c r="C26" s="2" t="s">
        <v>78</v>
      </c>
      <c r="D26" s="1" t="s">
        <v>124</v>
      </c>
      <c r="E26">
        <f t="shared" si="0"/>
        <v>11</v>
      </c>
      <c r="F26">
        <v>0</v>
      </c>
      <c r="G26">
        <v>5</v>
      </c>
    </row>
    <row r="27" spans="1:7">
      <c r="E27" t="str">
        <f t="shared" si="0"/>
        <v/>
      </c>
    </row>
    <row r="28" spans="1:7">
      <c r="E28" t="str">
        <f t="shared" si="0"/>
        <v/>
      </c>
    </row>
    <row r="29" spans="1:7">
      <c r="E29" t="str">
        <f t="shared" si="0"/>
        <v/>
      </c>
    </row>
    <row r="30" spans="1:7">
      <c r="E30" t="str">
        <f t="shared" si="0"/>
        <v/>
      </c>
    </row>
    <row r="31" spans="1:7">
      <c r="E31" t="str">
        <f t="shared" si="0"/>
        <v/>
      </c>
    </row>
    <row r="32" spans="1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9B7AF-CEB3-41AA-A0F5-139AA2C3F37B}">
  <sheetPr codeName="Sheet7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9" sqref="F9"/>
    </sheetView>
  </sheetViews>
  <sheetFormatPr defaultRowHeight="18.75"/>
  <cols>
    <col min="1" max="3" width="4.375" style="2" customWidth="1"/>
    <col min="4" max="4" width="73.75" style="1" customWidth="1"/>
    <col min="5" max="5" width="9.75" customWidth="1"/>
  </cols>
  <sheetData>
    <row r="1" spans="1:10">
      <c r="A1" s="4" t="s">
        <v>0</v>
      </c>
      <c r="B1" s="4"/>
      <c r="C1" s="4"/>
      <c r="D1" s="1" t="s">
        <v>15</v>
      </c>
    </row>
    <row r="2" spans="1:10">
      <c r="A2" s="4" t="s">
        <v>2</v>
      </c>
      <c r="B2" s="4"/>
      <c r="C2" s="4"/>
      <c r="D2" s="3" t="s">
        <v>13</v>
      </c>
      <c r="F2">
        <f>SUM(F4:F1000)</f>
        <v>58</v>
      </c>
      <c r="G2">
        <f>SUM(G4:G1000)</f>
        <v>100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16</v>
      </c>
      <c r="B4" s="2" t="s">
        <v>16</v>
      </c>
      <c r="C4" s="2" t="s">
        <v>17</v>
      </c>
      <c r="D4" s="1" t="s">
        <v>138</v>
      </c>
      <c r="E4">
        <f>IF(D4&lt;&gt;"",LEN(D4),"")</f>
        <v>6</v>
      </c>
      <c r="F4">
        <v>6</v>
      </c>
      <c r="G4">
        <v>6</v>
      </c>
      <c r="H4" t="s">
        <v>131</v>
      </c>
      <c r="J4" t="s">
        <v>132</v>
      </c>
    </row>
    <row r="5" spans="1:10">
      <c r="C5" s="2" t="s">
        <v>18</v>
      </c>
      <c r="D5" s="1" t="s">
        <v>139</v>
      </c>
      <c r="E5">
        <f t="shared" ref="E5:E68" si="0">IF(D5&lt;&gt;"",LEN(D5),"")</f>
        <v>11</v>
      </c>
      <c r="F5">
        <v>6</v>
      </c>
      <c r="G5">
        <v>6</v>
      </c>
      <c r="H5" t="s">
        <v>125</v>
      </c>
      <c r="J5" t="s">
        <v>133</v>
      </c>
    </row>
    <row r="6" spans="1:10">
      <c r="C6" s="2" t="s">
        <v>19</v>
      </c>
      <c r="D6" s="1" t="s">
        <v>96</v>
      </c>
      <c r="E6">
        <f t="shared" si="0"/>
        <v>8</v>
      </c>
      <c r="F6">
        <v>6</v>
      </c>
      <c r="G6">
        <v>6</v>
      </c>
      <c r="H6" t="s">
        <v>126</v>
      </c>
      <c r="J6" t="s">
        <v>134</v>
      </c>
    </row>
    <row r="7" spans="1:10">
      <c r="B7" s="2" t="s">
        <v>14</v>
      </c>
      <c r="D7" s="1">
        <f>2*65536</f>
        <v>131072</v>
      </c>
      <c r="E7">
        <f t="shared" si="0"/>
        <v>6</v>
      </c>
      <c r="F7">
        <v>10</v>
      </c>
      <c r="G7">
        <v>10</v>
      </c>
      <c r="H7" t="s">
        <v>127</v>
      </c>
      <c r="J7" t="s">
        <v>135</v>
      </c>
    </row>
    <row r="8" spans="1:10">
      <c r="B8" s="2" t="s">
        <v>21</v>
      </c>
      <c r="C8" s="2" t="s">
        <v>16</v>
      </c>
      <c r="D8" s="1" t="s">
        <v>140</v>
      </c>
      <c r="E8">
        <f t="shared" si="0"/>
        <v>16</v>
      </c>
      <c r="F8">
        <v>0</v>
      </c>
      <c r="G8">
        <v>10</v>
      </c>
      <c r="H8" t="s">
        <v>128</v>
      </c>
      <c r="J8" t="s">
        <v>136</v>
      </c>
    </row>
    <row r="9" spans="1:10">
      <c r="C9" s="2" t="s">
        <v>14</v>
      </c>
      <c r="D9" s="1" t="s">
        <v>142</v>
      </c>
      <c r="E9">
        <f t="shared" si="0"/>
        <v>11</v>
      </c>
      <c r="F9">
        <v>10</v>
      </c>
      <c r="G9">
        <v>10</v>
      </c>
      <c r="H9" t="s">
        <v>129</v>
      </c>
      <c r="J9" t="s">
        <v>137</v>
      </c>
    </row>
    <row r="10" spans="1:10">
      <c r="A10" s="2" t="s">
        <v>14</v>
      </c>
      <c r="B10" s="2" t="s">
        <v>16</v>
      </c>
      <c r="D10" s="1" t="s">
        <v>143</v>
      </c>
      <c r="E10">
        <f t="shared" si="0"/>
        <v>16</v>
      </c>
      <c r="F10">
        <v>0</v>
      </c>
      <c r="G10">
        <v>10</v>
      </c>
      <c r="H10" t="s">
        <v>130</v>
      </c>
      <c r="J10" t="s">
        <v>141</v>
      </c>
    </row>
    <row r="11" spans="1:10">
      <c r="B11" s="2" t="s">
        <v>14</v>
      </c>
      <c r="D11" s="1" t="s">
        <v>144</v>
      </c>
      <c r="E11">
        <f t="shared" si="0"/>
        <v>30</v>
      </c>
      <c r="F11">
        <v>0</v>
      </c>
      <c r="G11">
        <v>10</v>
      </c>
      <c r="H11" t="s">
        <v>145</v>
      </c>
    </row>
    <row r="12" spans="1:10">
      <c r="A12" s="2" t="s">
        <v>21</v>
      </c>
      <c r="B12" s="2" t="s">
        <v>16</v>
      </c>
      <c r="D12" s="1" t="s">
        <v>147</v>
      </c>
      <c r="E12">
        <f t="shared" si="0"/>
        <v>40</v>
      </c>
      <c r="F12">
        <v>0</v>
      </c>
      <c r="G12">
        <v>12</v>
      </c>
      <c r="H12" t="s">
        <v>146</v>
      </c>
    </row>
    <row r="13" spans="1:10">
      <c r="B13" s="2" t="s">
        <v>14</v>
      </c>
      <c r="C13" s="2" t="s">
        <v>16</v>
      </c>
      <c r="D13" s="1" t="s">
        <v>148</v>
      </c>
      <c r="E13">
        <f t="shared" si="0"/>
        <v>2</v>
      </c>
      <c r="F13">
        <v>10</v>
      </c>
      <c r="G13">
        <v>10</v>
      </c>
    </row>
    <row r="14" spans="1:10">
      <c r="C14" s="2" t="s">
        <v>14</v>
      </c>
      <c r="D14" s="1" t="s">
        <v>149</v>
      </c>
      <c r="E14">
        <f t="shared" si="0"/>
        <v>1</v>
      </c>
      <c r="F14">
        <v>10</v>
      </c>
      <c r="G14">
        <v>10</v>
      </c>
    </row>
    <row r="15" spans="1:10">
      <c r="E15" t="str">
        <f t="shared" si="0"/>
        <v/>
      </c>
    </row>
    <row r="16" spans="1:10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B5F22-D20F-436E-8F7C-517E97BE4F27}">
  <sheetPr codeName="Sheet8"/>
  <dimension ref="A1:J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2" sqref="F12"/>
    </sheetView>
  </sheetViews>
  <sheetFormatPr defaultRowHeight="18.75"/>
  <cols>
    <col min="1" max="3" width="4.375" style="2" customWidth="1"/>
    <col min="4" max="4" width="73.75" style="1" customWidth="1"/>
    <col min="5" max="5" width="9.75" customWidth="1"/>
  </cols>
  <sheetData>
    <row r="1" spans="1:10">
      <c r="A1" s="4" t="s">
        <v>0</v>
      </c>
      <c r="B1" s="4"/>
      <c r="C1" s="4"/>
      <c r="D1" s="1" t="s">
        <v>15</v>
      </c>
    </row>
    <row r="2" spans="1:10">
      <c r="A2" s="4" t="s">
        <v>2</v>
      </c>
      <c r="B2" s="4"/>
      <c r="C2" s="4"/>
      <c r="D2" s="3" t="s">
        <v>150</v>
      </c>
      <c r="F2">
        <f>SUM(F4:F1000)</f>
        <v>25</v>
      </c>
      <c r="G2">
        <f>SUM(G4:G1000)</f>
        <v>100</v>
      </c>
    </row>
    <row r="3" spans="1:10">
      <c r="A3" s="4" t="s">
        <v>1</v>
      </c>
      <c r="B3" s="4"/>
      <c r="C3" s="4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16</v>
      </c>
      <c r="B4" s="2" t="s">
        <v>16</v>
      </c>
      <c r="D4" s="1" t="s">
        <v>166</v>
      </c>
      <c r="E4">
        <f>IF(D4&lt;&gt;"",LEN(D4),"")</f>
        <v>30</v>
      </c>
      <c r="F4">
        <v>10</v>
      </c>
      <c r="G4">
        <v>10</v>
      </c>
      <c r="H4" t="s">
        <v>157</v>
      </c>
      <c r="J4" t="s">
        <v>165</v>
      </c>
    </row>
    <row r="5" spans="1:10">
      <c r="B5" s="2" t="s">
        <v>14</v>
      </c>
      <c r="D5" s="1" t="s">
        <v>168</v>
      </c>
      <c r="E5">
        <f t="shared" ref="E5:E68" si="0">IF(D5&lt;&gt;"",LEN(D5),"")</f>
        <v>23</v>
      </c>
      <c r="F5">
        <v>0</v>
      </c>
      <c r="G5">
        <v>10</v>
      </c>
      <c r="H5" t="s">
        <v>158</v>
      </c>
      <c r="J5" t="s">
        <v>167</v>
      </c>
    </row>
    <row r="6" spans="1:10">
      <c r="B6" s="2" t="s">
        <v>21</v>
      </c>
      <c r="C6" s="2" t="s">
        <v>154</v>
      </c>
      <c r="D6" s="1">
        <v>2</v>
      </c>
      <c r="E6">
        <f t="shared" si="0"/>
        <v>1</v>
      </c>
      <c r="F6">
        <v>0</v>
      </c>
      <c r="G6">
        <v>6</v>
      </c>
      <c r="H6" t="s">
        <v>159</v>
      </c>
    </row>
    <row r="7" spans="1:10">
      <c r="C7" s="2" t="s">
        <v>155</v>
      </c>
      <c r="D7" s="1">
        <v>1</v>
      </c>
      <c r="E7">
        <f t="shared" si="0"/>
        <v>1</v>
      </c>
      <c r="F7">
        <v>0</v>
      </c>
      <c r="G7">
        <v>6</v>
      </c>
      <c r="H7" t="s">
        <v>160</v>
      </c>
    </row>
    <row r="8" spans="1:10">
      <c r="C8" s="2" t="s">
        <v>156</v>
      </c>
      <c r="D8" s="1">
        <v>2</v>
      </c>
      <c r="E8">
        <f t="shared" si="0"/>
        <v>1</v>
      </c>
      <c r="F8">
        <v>0</v>
      </c>
      <c r="G8">
        <v>8</v>
      </c>
      <c r="H8" t="s">
        <v>161</v>
      </c>
    </row>
    <row r="9" spans="1:10" ht="37.5">
      <c r="B9" s="2" t="s">
        <v>13</v>
      </c>
      <c r="D9" s="1" t="s">
        <v>169</v>
      </c>
      <c r="E9">
        <f t="shared" ref="E9:E12" si="1">IF(D9&lt;&gt;"",LEN(D9),"")</f>
        <v>45</v>
      </c>
      <c r="F9">
        <v>0</v>
      </c>
      <c r="G9">
        <v>20</v>
      </c>
      <c r="H9" t="s">
        <v>162</v>
      </c>
    </row>
    <row r="10" spans="1:10" ht="37.5">
      <c r="B10" s="2" t="s">
        <v>150</v>
      </c>
      <c r="D10" s="1" t="s">
        <v>170</v>
      </c>
      <c r="E10">
        <f t="shared" si="1"/>
        <v>51</v>
      </c>
      <c r="F10">
        <v>10</v>
      </c>
      <c r="G10">
        <v>20</v>
      </c>
      <c r="H10" t="s">
        <v>163</v>
      </c>
    </row>
    <row r="11" spans="1:10">
      <c r="B11" s="2" t="s">
        <v>151</v>
      </c>
      <c r="C11" s="2" t="s">
        <v>152</v>
      </c>
      <c r="D11" s="1" t="s">
        <v>171</v>
      </c>
      <c r="E11">
        <f t="shared" si="1"/>
        <v>17</v>
      </c>
      <c r="F11">
        <v>5</v>
      </c>
      <c r="G11">
        <v>10</v>
      </c>
      <c r="H11" t="s">
        <v>164</v>
      </c>
    </row>
    <row r="12" spans="1:10">
      <c r="C12" s="2" t="s">
        <v>153</v>
      </c>
      <c r="D12" s="1" t="s">
        <v>172</v>
      </c>
      <c r="E12">
        <f t="shared" si="1"/>
        <v>18</v>
      </c>
      <c r="F12">
        <v>0</v>
      </c>
      <c r="G12">
        <v>10</v>
      </c>
    </row>
    <row r="13" spans="1:10">
      <c r="E13" t="str">
        <f t="shared" si="0"/>
        <v/>
      </c>
    </row>
    <row r="14" spans="1:10">
      <c r="E14" t="str">
        <f t="shared" si="0"/>
        <v/>
      </c>
    </row>
    <row r="15" spans="1:10">
      <c r="E15" t="str">
        <f t="shared" si="0"/>
        <v/>
      </c>
    </row>
    <row r="16" spans="1:10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2">IF(D69&lt;&gt;"",LEN(D69),"")</f>
        <v/>
      </c>
    </row>
    <row r="70" spans="5:5">
      <c r="E70" t="str">
        <f t="shared" si="2"/>
        <v/>
      </c>
    </row>
    <row r="71" spans="5:5">
      <c r="E71" t="str">
        <f t="shared" si="2"/>
        <v/>
      </c>
    </row>
    <row r="72" spans="5:5">
      <c r="E72" t="str">
        <f t="shared" si="2"/>
        <v/>
      </c>
    </row>
    <row r="73" spans="5:5">
      <c r="E73" t="str">
        <f t="shared" si="2"/>
        <v/>
      </c>
    </row>
    <row r="74" spans="5:5">
      <c r="E74" t="str">
        <f t="shared" si="2"/>
        <v/>
      </c>
    </row>
    <row r="75" spans="5:5">
      <c r="E75" t="str">
        <f t="shared" si="2"/>
        <v/>
      </c>
    </row>
    <row r="76" spans="5:5">
      <c r="E76" t="str">
        <f t="shared" si="2"/>
        <v/>
      </c>
    </row>
    <row r="77" spans="5:5">
      <c r="E77" t="str">
        <f t="shared" si="2"/>
        <v/>
      </c>
    </row>
    <row r="78" spans="5:5">
      <c r="E78" t="str">
        <f t="shared" si="2"/>
        <v/>
      </c>
    </row>
    <row r="79" spans="5:5">
      <c r="E79" t="str">
        <f t="shared" si="2"/>
        <v/>
      </c>
    </row>
    <row r="80" spans="5:5">
      <c r="E80" t="str">
        <f t="shared" si="2"/>
        <v/>
      </c>
    </row>
    <row r="81" spans="5:5">
      <c r="E81" t="str">
        <f t="shared" si="2"/>
        <v/>
      </c>
    </row>
    <row r="82" spans="5:5">
      <c r="E82" t="str">
        <f t="shared" si="2"/>
        <v/>
      </c>
    </row>
    <row r="83" spans="5:5">
      <c r="E83" t="str">
        <f t="shared" si="2"/>
        <v/>
      </c>
    </row>
    <row r="84" spans="5:5">
      <c r="E84" t="str">
        <f t="shared" si="2"/>
        <v/>
      </c>
    </row>
    <row r="85" spans="5:5">
      <c r="E85" t="str">
        <f t="shared" si="2"/>
        <v/>
      </c>
    </row>
    <row r="86" spans="5:5">
      <c r="E86" t="str">
        <f t="shared" si="2"/>
        <v/>
      </c>
    </row>
    <row r="87" spans="5:5">
      <c r="E87" t="str">
        <f t="shared" si="2"/>
        <v/>
      </c>
    </row>
    <row r="88" spans="5:5">
      <c r="E88" t="str">
        <f t="shared" si="2"/>
        <v/>
      </c>
    </row>
    <row r="89" spans="5:5">
      <c r="E89" t="str">
        <f t="shared" si="2"/>
        <v/>
      </c>
    </row>
    <row r="90" spans="5:5">
      <c r="E90" t="str">
        <f t="shared" si="2"/>
        <v/>
      </c>
    </row>
    <row r="91" spans="5:5">
      <c r="E91" t="str">
        <f t="shared" si="2"/>
        <v/>
      </c>
    </row>
    <row r="92" spans="5:5">
      <c r="E92" t="str">
        <f t="shared" si="2"/>
        <v/>
      </c>
    </row>
    <row r="93" spans="5:5">
      <c r="E93" t="str">
        <f t="shared" si="2"/>
        <v/>
      </c>
    </row>
    <row r="94" spans="5:5">
      <c r="E94" t="str">
        <f t="shared" si="2"/>
        <v/>
      </c>
    </row>
    <row r="95" spans="5:5">
      <c r="E95" t="str">
        <f t="shared" si="2"/>
        <v/>
      </c>
    </row>
    <row r="96" spans="5:5">
      <c r="E96" t="str">
        <f t="shared" si="2"/>
        <v/>
      </c>
    </row>
    <row r="97" spans="5:5">
      <c r="E97" t="str">
        <f t="shared" si="2"/>
        <v/>
      </c>
    </row>
    <row r="98" spans="5:5">
      <c r="E98" t="str">
        <f t="shared" si="2"/>
        <v/>
      </c>
    </row>
    <row r="99" spans="5:5">
      <c r="E99" t="str">
        <f t="shared" si="2"/>
        <v/>
      </c>
    </row>
    <row r="100" spans="5:5">
      <c r="E100" t="str">
        <f t="shared" si="2"/>
        <v/>
      </c>
    </row>
    <row r="101" spans="5:5">
      <c r="E101" t="str">
        <f t="shared" si="2"/>
        <v/>
      </c>
    </row>
    <row r="102" spans="5:5">
      <c r="E102" t="str">
        <f t="shared" si="2"/>
        <v/>
      </c>
    </row>
    <row r="103" spans="5:5">
      <c r="E103" t="str">
        <f t="shared" si="2"/>
        <v/>
      </c>
    </row>
    <row r="104" spans="5:5">
      <c r="E104" t="str">
        <f t="shared" si="2"/>
        <v/>
      </c>
    </row>
    <row r="105" spans="5:5">
      <c r="E105" t="str">
        <f t="shared" si="2"/>
        <v/>
      </c>
    </row>
    <row r="106" spans="5:5">
      <c r="E106" t="str">
        <f t="shared" si="2"/>
        <v/>
      </c>
    </row>
    <row r="107" spans="5:5">
      <c r="E107" t="str">
        <f t="shared" si="2"/>
        <v/>
      </c>
    </row>
    <row r="108" spans="5:5">
      <c r="E108" t="str">
        <f t="shared" si="2"/>
        <v/>
      </c>
    </row>
    <row r="109" spans="5:5">
      <c r="E109" t="str">
        <f t="shared" si="2"/>
        <v/>
      </c>
    </row>
    <row r="110" spans="5:5">
      <c r="E110" t="str">
        <f t="shared" si="2"/>
        <v/>
      </c>
    </row>
    <row r="111" spans="5:5">
      <c r="E111" t="str">
        <f t="shared" si="2"/>
        <v/>
      </c>
    </row>
    <row r="112" spans="5:5">
      <c r="E112" t="str">
        <f t="shared" si="2"/>
        <v/>
      </c>
    </row>
    <row r="113" spans="5:5">
      <c r="E113" t="str">
        <f t="shared" si="2"/>
        <v/>
      </c>
    </row>
    <row r="114" spans="5:5">
      <c r="E114" t="str">
        <f t="shared" si="2"/>
        <v/>
      </c>
    </row>
    <row r="115" spans="5:5">
      <c r="E115" t="str">
        <f t="shared" si="2"/>
        <v/>
      </c>
    </row>
    <row r="116" spans="5:5">
      <c r="E116" t="str">
        <f t="shared" si="2"/>
        <v/>
      </c>
    </row>
    <row r="117" spans="5:5">
      <c r="E117" t="str">
        <f t="shared" si="2"/>
        <v/>
      </c>
    </row>
    <row r="118" spans="5:5">
      <c r="E118" t="str">
        <f t="shared" si="2"/>
        <v/>
      </c>
    </row>
    <row r="119" spans="5:5">
      <c r="E119" t="str">
        <f t="shared" si="2"/>
        <v/>
      </c>
    </row>
    <row r="120" spans="5:5">
      <c r="E120" t="str">
        <f t="shared" si="2"/>
        <v/>
      </c>
    </row>
    <row r="121" spans="5:5">
      <c r="E121" t="str">
        <f t="shared" si="2"/>
        <v/>
      </c>
    </row>
    <row r="122" spans="5:5">
      <c r="E122" t="str">
        <f t="shared" si="2"/>
        <v/>
      </c>
    </row>
    <row r="123" spans="5:5">
      <c r="E123" t="str">
        <f t="shared" si="2"/>
        <v/>
      </c>
    </row>
    <row r="124" spans="5:5">
      <c r="E124" t="str">
        <f t="shared" si="2"/>
        <v/>
      </c>
    </row>
    <row r="125" spans="5:5">
      <c r="E125" t="str">
        <f t="shared" si="2"/>
        <v/>
      </c>
    </row>
    <row r="126" spans="5:5">
      <c r="E126" t="str">
        <f t="shared" si="2"/>
        <v/>
      </c>
    </row>
    <row r="127" spans="5:5">
      <c r="E127" t="str">
        <f t="shared" si="2"/>
        <v/>
      </c>
    </row>
    <row r="128" spans="5:5">
      <c r="E128" t="str">
        <f t="shared" si="2"/>
        <v/>
      </c>
    </row>
    <row r="129" spans="5:5">
      <c r="E129" t="str">
        <f t="shared" si="2"/>
        <v/>
      </c>
    </row>
    <row r="130" spans="5:5">
      <c r="E130" t="str">
        <f t="shared" si="2"/>
        <v/>
      </c>
    </row>
    <row r="131" spans="5:5">
      <c r="E131" t="str">
        <f t="shared" si="2"/>
        <v/>
      </c>
    </row>
    <row r="132" spans="5:5">
      <c r="E132" t="str">
        <f t="shared" si="2"/>
        <v/>
      </c>
    </row>
    <row r="133" spans="5:5">
      <c r="E133" t="str">
        <f t="shared" ref="E133:E167" si="3">IF(D133&lt;&gt;"",LEN(D133),"")</f>
        <v/>
      </c>
    </row>
    <row r="134" spans="5:5">
      <c r="E134" t="str">
        <f t="shared" si="3"/>
        <v/>
      </c>
    </row>
    <row r="135" spans="5:5">
      <c r="E135" t="str">
        <f t="shared" si="3"/>
        <v/>
      </c>
    </row>
    <row r="136" spans="5:5">
      <c r="E136" t="str">
        <f t="shared" si="3"/>
        <v/>
      </c>
    </row>
    <row r="137" spans="5:5">
      <c r="E137" t="str">
        <f t="shared" si="3"/>
        <v/>
      </c>
    </row>
    <row r="138" spans="5:5">
      <c r="E138" t="str">
        <f t="shared" si="3"/>
        <v/>
      </c>
    </row>
    <row r="139" spans="5:5">
      <c r="E139" t="str">
        <f t="shared" si="3"/>
        <v/>
      </c>
    </row>
    <row r="140" spans="5:5">
      <c r="E140" t="str">
        <f t="shared" si="3"/>
        <v/>
      </c>
    </row>
    <row r="141" spans="5:5">
      <c r="E141" t="str">
        <f t="shared" si="3"/>
        <v/>
      </c>
    </row>
    <row r="142" spans="5:5">
      <c r="E142" t="str">
        <f t="shared" si="3"/>
        <v/>
      </c>
    </row>
    <row r="143" spans="5:5">
      <c r="E143" t="str">
        <f t="shared" si="3"/>
        <v/>
      </c>
    </row>
    <row r="144" spans="5:5">
      <c r="E144" t="str">
        <f t="shared" si="3"/>
        <v/>
      </c>
    </row>
    <row r="145" spans="5:5">
      <c r="E145" t="str">
        <f t="shared" si="3"/>
        <v/>
      </c>
    </row>
    <row r="146" spans="5:5">
      <c r="E146" t="str">
        <f t="shared" si="3"/>
        <v/>
      </c>
    </row>
    <row r="147" spans="5:5">
      <c r="E147" t="str">
        <f t="shared" si="3"/>
        <v/>
      </c>
    </row>
    <row r="148" spans="5:5">
      <c r="E148" t="str">
        <f t="shared" si="3"/>
        <v/>
      </c>
    </row>
    <row r="149" spans="5:5">
      <c r="E149" t="str">
        <f t="shared" si="3"/>
        <v/>
      </c>
    </row>
    <row r="150" spans="5:5">
      <c r="E150" t="str">
        <f t="shared" si="3"/>
        <v/>
      </c>
    </row>
    <row r="151" spans="5:5">
      <c r="E151" t="str">
        <f t="shared" si="3"/>
        <v/>
      </c>
    </row>
    <row r="152" spans="5:5">
      <c r="E152" t="str">
        <f t="shared" si="3"/>
        <v/>
      </c>
    </row>
    <row r="153" spans="5:5">
      <c r="E153" t="str">
        <f t="shared" si="3"/>
        <v/>
      </c>
    </row>
    <row r="154" spans="5:5">
      <c r="E154" t="str">
        <f t="shared" si="3"/>
        <v/>
      </c>
    </row>
    <row r="155" spans="5:5">
      <c r="E155" t="str">
        <f t="shared" si="3"/>
        <v/>
      </c>
    </row>
    <row r="156" spans="5:5">
      <c r="E156" t="str">
        <f t="shared" si="3"/>
        <v/>
      </c>
    </row>
    <row r="157" spans="5:5">
      <c r="E157" t="str">
        <f t="shared" si="3"/>
        <v/>
      </c>
    </row>
    <row r="158" spans="5:5">
      <c r="E158" t="str">
        <f t="shared" si="3"/>
        <v/>
      </c>
    </row>
    <row r="159" spans="5:5">
      <c r="E159" t="str">
        <f t="shared" si="3"/>
        <v/>
      </c>
    </row>
    <row r="160" spans="5:5">
      <c r="E160" t="str">
        <f t="shared" si="3"/>
        <v/>
      </c>
    </row>
    <row r="161" spans="5:5">
      <c r="E161" t="str">
        <f t="shared" si="3"/>
        <v/>
      </c>
    </row>
    <row r="162" spans="5:5">
      <c r="E162" t="str">
        <f t="shared" si="3"/>
        <v/>
      </c>
    </row>
    <row r="163" spans="5:5">
      <c r="E163" t="str">
        <f t="shared" si="3"/>
        <v/>
      </c>
    </row>
    <row r="164" spans="5:5">
      <c r="E164" t="str">
        <f t="shared" si="3"/>
        <v/>
      </c>
    </row>
    <row r="165" spans="5:5">
      <c r="E165" t="str">
        <f t="shared" si="3"/>
        <v/>
      </c>
    </row>
    <row r="166" spans="5:5">
      <c r="E166" t="str">
        <f t="shared" si="3"/>
        <v/>
      </c>
    </row>
    <row r="167" spans="5:5">
      <c r="E167" t="str">
        <f t="shared" si="3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レビュー</vt:lpstr>
      <vt:lpstr>format</vt:lpstr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2026-01-12T10:02:27Z</dcterms:modified>
</cp:coreProperties>
</file>