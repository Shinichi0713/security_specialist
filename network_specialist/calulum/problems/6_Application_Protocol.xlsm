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AAD3CDF4-8DE0-4CBC-B0F5-4ADBFB240411}" xr6:coauthVersionLast="47" xr6:coauthVersionMax="47" xr10:uidLastSave="{00000000-0000-0000-0000-000000000000}"/>
  <bookViews>
    <workbookView xWindow="9300" yWindow="75" windowWidth="20790" windowHeight="14580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5" l="1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<sst xmlns="http://schemas.openxmlformats.org/spreadsheetml/2006/main" count="85" uniqueCount="52">
  <si>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</si>
  <si>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</si>
  <si>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</si>
  <si>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</si>
  <si>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</si>
  <si>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</si>
  <si>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</si>
  <si>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</si>
  <si>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</si>
  <si>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</si>
  <si>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</si>
  <si>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</si>
  <si>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</si>
  <si>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</si>
  <si>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</si>
  <si>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</si>
  <si>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</si>
  <si>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2">
      <t>ジュウテン</t>
    </rPh>
    <rPh sb="2" eb="4">
      <t>タイサク</t>
    </rPh>
    <phoneticPr fontId="1"/>
  </si>
  <si>
    <t>1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</si>
  <si>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</si>
  <si>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</si>
  <si>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</si>
  <si>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</si>
  <si>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</si>
  <si>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2</t>
    <phoneticPr fontId="1"/>
  </si>
  <si>
    <t>3</t>
    <phoneticPr fontId="1"/>
  </si>
  <si>
    <t>4</t>
    <phoneticPr fontId="1"/>
  </si>
  <si>
    <t>SSOの導入</t>
    <rPh sb="4" eb="6">
      <t>ドウニュウ</t>
    </rPh>
    <phoneticPr fontId="1"/>
  </si>
  <si>
    <t>広告代理店</t>
    <rPh sb="0" eb="5">
      <t>コウコクダイリテン</t>
    </rPh>
    <phoneticPr fontId="1"/>
  </si>
  <si>
    <t>アプリケーションを導入してきた</t>
    <rPh sb="9" eb="11">
      <t>ドウニュウ</t>
    </rPh>
    <phoneticPr fontId="1"/>
  </si>
  <si>
    <t>利用者認証は個別に行っている</t>
    <rPh sb="0" eb="3">
      <t>リヨウシャ</t>
    </rPh>
    <rPh sb="3" eb="5">
      <t>ニンショウ</t>
    </rPh>
    <rPh sb="6" eb="8">
      <t>コベツ</t>
    </rPh>
    <rPh sb="9" eb="10">
      <t>オコナ</t>
    </rPh>
    <phoneticPr fontId="1"/>
  </si>
  <si>
    <t>利便性が低いので改善要望</t>
    <rPh sb="0" eb="3">
      <t>リベンセイ</t>
    </rPh>
    <rPh sb="4" eb="5">
      <t>ヒク</t>
    </rPh>
    <rPh sb="8" eb="12">
      <t>カイゼンヨウボウ</t>
    </rPh>
    <phoneticPr fontId="1"/>
  </si>
  <si>
    <t>SSOの導入を考える</t>
    <rPh sb="4" eb="6">
      <t>ドウニュウ</t>
    </rPh>
    <rPh sb="7" eb="8">
      <t>カンガ</t>
    </rPh>
    <phoneticPr fontId="1"/>
  </si>
  <si>
    <t>システムは試験的に導入う</t>
    <rPh sb="5" eb="8">
      <t>シケンテキ</t>
    </rPh>
    <rPh sb="9" eb="11">
      <t>ドウニュウ</t>
    </rPh>
    <phoneticPr fontId="1"/>
  </si>
  <si>
    <t>要件をとりまとめ検討</t>
    <rPh sb="0" eb="2">
      <t>ヨウケン</t>
    </rPh>
    <rPh sb="8" eb="10">
      <t>ケントウ</t>
    </rPh>
    <phoneticPr fontId="1"/>
  </si>
  <si>
    <t>SSOを可能とする</t>
    <rPh sb="4" eb="6">
      <t>カノウ</t>
    </rPh>
    <phoneticPr fontId="1"/>
  </si>
  <si>
    <t>LB</t>
    <phoneticPr fontId="1"/>
  </si>
  <si>
    <t>DSR方式を使用</t>
    <rPh sb="3" eb="5">
      <t>ホウシキ</t>
    </rPh>
    <rPh sb="6" eb="8">
      <t>シヨウ</t>
    </rPh>
    <phoneticPr fontId="1"/>
  </si>
  <si>
    <t>SSOの方式と認証処理シーケンス</t>
    <rPh sb="4" eb="6">
      <t>ホウシキ</t>
    </rPh>
    <rPh sb="7" eb="9">
      <t>ニンショウ</t>
    </rPh>
    <rPh sb="9" eb="11">
      <t>ショリ</t>
    </rPh>
    <phoneticPr fontId="1"/>
  </si>
  <si>
    <t>SSOで利用したいサーバに絵０じぇんと</t>
    <rPh sb="4" eb="6">
      <t>リヨウ</t>
    </rPh>
    <rPh sb="13" eb="14">
      <t>エ</t>
    </rPh>
    <phoneticPr fontId="1"/>
  </si>
  <si>
    <t>リバースプロキシ</t>
    <phoneticPr fontId="1"/>
  </si>
  <si>
    <t>リダイレクト</t>
    <phoneticPr fontId="1"/>
  </si>
  <si>
    <t>Set-Cookie</t>
    <phoneticPr fontId="1"/>
  </si>
  <si>
    <t>eigyo.a-sha.example.jp</t>
    <phoneticPr fontId="1"/>
  </si>
  <si>
    <t>CookieにSecure属性を設定する</t>
    <rPh sb="13" eb="15">
      <t>ゾクセイ</t>
    </rPh>
    <rPh sb="16" eb="18">
      <t>セッテイ</t>
    </rPh>
    <phoneticPr fontId="1"/>
  </si>
  <si>
    <t>DNS</t>
    <phoneticPr fontId="1"/>
  </si>
  <si>
    <t>VIPアドレスには負荷分散</t>
    <rPh sb="9" eb="13">
      <t>フカブンサン</t>
    </rPh>
    <phoneticPr fontId="1"/>
  </si>
  <si>
    <t>振り分け先のパケットが決定</t>
    <rPh sb="0" eb="1">
      <t>フ</t>
    </rPh>
    <rPh sb="2" eb="3">
      <t>ワ</t>
    </rPh>
    <rPh sb="4" eb="5">
      <t>サキ</t>
    </rPh>
    <rPh sb="11" eb="13">
      <t>ケッテイ</t>
    </rPh>
    <phoneticPr fontId="1"/>
  </si>
  <si>
    <t>通信コネクションがLBを経由せずに行われるため</t>
    <rPh sb="0" eb="2">
      <t>ツウシン</t>
    </rPh>
    <rPh sb="12" eb="14">
      <t>ケイユ</t>
    </rPh>
    <rPh sb="17" eb="18">
      <t>オコナ</t>
    </rPh>
    <phoneticPr fontId="1"/>
  </si>
  <si>
    <t>仮想NIC</t>
    <rPh sb="0" eb="2">
      <t>カソウ</t>
    </rPh>
    <phoneticPr fontId="1"/>
  </si>
  <si>
    <t>GARP</t>
    <phoneticPr fontId="1"/>
  </si>
  <si>
    <t>VIPアドレスに対するARPリクエストに応答しないように設定する</t>
    <rPh sb="8" eb="9">
      <t>タイ</t>
    </rPh>
    <rPh sb="20" eb="22">
      <t>オウトウ</t>
    </rPh>
    <rPh sb="28" eb="30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</si>
</sst>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D14"/>
    </sheetView>
  </sheetViews>
  <sheetFormatPr defaultRowHeight="18.75"/>
  <cols>
    <col min="1" max="3" width="6.25" style="2" customWidth="1"/>
    <col min="4" max="4" width="81" style="1" customWidth="1"/>
    <col min="5" max="7" width="7.25" customWidth="1"/>
  </cols>
  <sheetData>
    <row r="1" spans="1:7">
      <c r="A1" s="4" t="s">
        <v>0</v>
      </c>
      <c r="B1" s="4"/>
      <c r="C1" s="4"/>
      <c r="D1" s="1" t="s">
        <v>17</v>
      </c>
    </row>
    <row r="2" spans="1:7">
      <c r="A2" s="4" t="s">
        <v>2</v>
      </c>
      <c r="B2" s="4"/>
      <c r="C2" s="4"/>
      <c r="D2" s="3" t="s">
        <v>18</v>
      </c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A4" s="2" t="s">
        <v>18</v>
      </c>
      <c r="C4" s="2" t="s">
        <v>19</v>
      </c>
      <c r="E4" t="str">
        <f>IF(D4&lt;&gt;"",LEN(D4),"")</f>
        <v/>
      </c>
    </row>
    <row r="5" spans="1:7">
      <c r="C5" s="2" t="s">
        <v>20</v>
      </c>
      <c r="E5" t="str">
        <f t="shared" ref="E5:E68" si="0">IF(D5&lt;&gt;"",LEN(D5),"")</f>
        <v/>
      </c>
    </row>
    <row r="6" spans="1:7">
      <c r="C6" s="2" t="s">
        <v>21</v>
      </c>
      <c r="E6" t="str">
        <f t="shared" si="0"/>
        <v/>
      </c>
    </row>
    <row r="7" spans="1:7">
      <c r="C7" s="2" t="s">
        <v>22</v>
      </c>
      <c r="E7" t="str">
        <f t="shared" si="0"/>
        <v/>
      </c>
    </row>
    <row r="8" spans="1:7">
      <c r="C8" s="2" t="s">
        <v>23</v>
      </c>
      <c r="E8" t="str">
        <f t="shared" si="0"/>
        <v/>
      </c>
    </row>
    <row r="9" spans="1:7">
      <c r="A9" s="2" t="s">
        <v>24</v>
      </c>
      <c r="E9" t="str">
        <f t="shared" si="0"/>
        <v/>
      </c>
    </row>
    <row r="10" spans="1:7">
      <c r="A10" s="2" t="s">
        <v>25</v>
      </c>
      <c r="B10" s="2" t="s">
        <v>18</v>
      </c>
      <c r="E10" t="str">
        <f t="shared" si="0"/>
        <v/>
      </c>
    </row>
    <row r="11" spans="1:7">
      <c r="B11" s="2" t="s">
        <v>24</v>
      </c>
      <c r="E11" t="str">
        <f t="shared" si="0"/>
        <v/>
      </c>
    </row>
    <row r="12" spans="1:7">
      <c r="A12" s="2" t="s">
        <v>26</v>
      </c>
      <c r="B12" s="2" t="s">
        <v>18</v>
      </c>
      <c r="E12" t="str">
        <f t="shared" si="0"/>
        <v/>
      </c>
    </row>
    <row r="13" spans="1:7">
      <c r="B13" s="2" t="s">
        <v>24</v>
      </c>
      <c r="E13" t="str">
        <f t="shared" si="0"/>
        <v/>
      </c>
    </row>
    <row r="14" spans="1:7">
      <c r="B14" s="2" t="s">
        <v>25</v>
      </c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EEC63-BF18-4212-8D6A-F8308D430D80}">
  <sheetPr codeName="Sheet4"/>
  <dimension ref="A1:K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5" sqref="F5"/>
    </sheetView>
  </sheetViews>
  <sheetFormatPr defaultRowHeight="18.75"/>
  <cols>
    <col min="1" max="3" width="6.25" style="2" customWidth="1"/>
    <col min="4" max="4" width="96.875" style="1" customWidth="1"/>
    <col min="5" max="7" width="6.375" customWidth="1"/>
  </cols>
  <sheetData>
    <row r="1" spans="1:11">
      <c r="A1" s="4" t="s">
        <v>0</v>
      </c>
      <c r="B1" s="4"/>
      <c r="C1" s="4"/>
      <c r="D1" s="1" t="s">
        <v>17</v>
      </c>
    </row>
    <row r="2" spans="1:11">
      <c r="A2" s="4" t="s">
        <v>2</v>
      </c>
      <c r="B2" s="4"/>
      <c r="C2" s="4"/>
      <c r="D2" s="3" t="s">
        <v>18</v>
      </c>
      <c r="F2">
        <f>SUM(F4:F1000)</f>
        <v>26</v>
      </c>
      <c r="G2">
        <f>SUM(G4:G1000)</f>
        <v>50</v>
      </c>
    </row>
    <row r="3" spans="1:11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1">
      <c r="A4" s="2" t="s">
        <v>18</v>
      </c>
      <c r="C4" s="2" t="s">
        <v>19</v>
      </c>
      <c r="D4" s="1" t="s">
        <v>40</v>
      </c>
      <c r="E4">
        <f>IF(D4&lt;&gt;"",LEN(D4),"")</f>
        <v>8</v>
      </c>
      <c r="F4">
        <v>4</v>
      </c>
      <c r="G4">
        <v>4</v>
      </c>
      <c r="I4" t="s">
        <v>27</v>
      </c>
      <c r="K4" t="s">
        <v>33</v>
      </c>
    </row>
    <row r="5" spans="1:11">
      <c r="C5" s="2" t="s">
        <v>20</v>
      </c>
      <c r="D5" s="1" t="s">
        <v>41</v>
      </c>
      <c r="E5">
        <f t="shared" ref="E5:E68" si="0">IF(D5&lt;&gt;"",LEN(D5),"")</f>
        <v>6</v>
      </c>
      <c r="F5">
        <v>4</v>
      </c>
      <c r="G5">
        <v>4</v>
      </c>
      <c r="I5" t="s">
        <v>28</v>
      </c>
      <c r="K5" t="s">
        <v>34</v>
      </c>
    </row>
    <row r="6" spans="1:11">
      <c r="C6" s="2" t="s">
        <v>21</v>
      </c>
      <c r="D6" s="1" t="s">
        <v>42</v>
      </c>
      <c r="E6">
        <f t="shared" si="0"/>
        <v>10</v>
      </c>
      <c r="F6">
        <v>4</v>
      </c>
      <c r="G6">
        <v>4</v>
      </c>
      <c r="I6" t="s">
        <v>29</v>
      </c>
      <c r="K6" t="s">
        <v>35</v>
      </c>
    </row>
    <row r="7" spans="1:11">
      <c r="C7" s="2" t="s">
        <v>22</v>
      </c>
      <c r="D7" s="1" t="s">
        <v>45</v>
      </c>
      <c r="E7">
        <f t="shared" si="0"/>
        <v>3</v>
      </c>
      <c r="F7">
        <v>2</v>
      </c>
      <c r="G7">
        <v>4</v>
      </c>
      <c r="I7" t="s">
        <v>30</v>
      </c>
      <c r="K7" t="s">
        <v>36</v>
      </c>
    </row>
    <row r="8" spans="1:11">
      <c r="C8" s="2" t="s">
        <v>23</v>
      </c>
      <c r="D8" s="1" t="s">
        <v>49</v>
      </c>
      <c r="E8">
        <f t="shared" si="0"/>
        <v>5</v>
      </c>
      <c r="F8">
        <v>0</v>
      </c>
      <c r="G8">
        <v>4</v>
      </c>
      <c r="I8" t="s">
        <v>31</v>
      </c>
      <c r="K8" t="s">
        <v>37</v>
      </c>
    </row>
    <row r="9" spans="1:11">
      <c r="A9" s="2" t="s">
        <v>24</v>
      </c>
      <c r="D9" s="1">
        <v>5</v>
      </c>
      <c r="E9">
        <f t="shared" si="0"/>
        <v>1</v>
      </c>
      <c r="F9">
        <v>5</v>
      </c>
      <c r="G9">
        <v>5</v>
      </c>
      <c r="I9" t="s">
        <v>32</v>
      </c>
      <c r="K9" t="s">
        <v>38</v>
      </c>
    </row>
    <row r="10" spans="1:11">
      <c r="A10" s="2" t="s">
        <v>25</v>
      </c>
      <c r="B10" s="2" t="s">
        <v>18</v>
      </c>
      <c r="D10" s="1" t="s">
        <v>43</v>
      </c>
      <c r="E10">
        <f t="shared" si="0"/>
        <v>22</v>
      </c>
      <c r="F10">
        <v>5</v>
      </c>
      <c r="G10">
        <v>5</v>
      </c>
      <c r="I10" t="s">
        <v>46</v>
      </c>
      <c r="K10" t="s">
        <v>39</v>
      </c>
    </row>
    <row r="11" spans="1:11">
      <c r="B11" s="2" t="s">
        <v>24</v>
      </c>
      <c r="D11" s="1" t="s">
        <v>44</v>
      </c>
      <c r="E11">
        <f t="shared" si="0"/>
        <v>20</v>
      </c>
      <c r="F11">
        <v>0</v>
      </c>
      <c r="G11">
        <v>5</v>
      </c>
      <c r="I11" t="s">
        <v>47</v>
      </c>
    </row>
    <row r="12" spans="1:11">
      <c r="A12" s="2" t="s">
        <v>26</v>
      </c>
      <c r="B12" s="2" t="s">
        <v>18</v>
      </c>
      <c r="D12" s="1" t="s">
        <v>48</v>
      </c>
      <c r="E12">
        <f t="shared" si="0"/>
        <v>23</v>
      </c>
      <c r="F12">
        <v>0</v>
      </c>
      <c r="G12">
        <v>5</v>
      </c>
    </row>
    <row r="13" spans="1:11">
      <c r="B13" s="2" t="s">
        <v>24</v>
      </c>
      <c r="D13" s="1" t="s">
        <v>50</v>
      </c>
      <c r="E13">
        <f t="shared" si="0"/>
        <v>4</v>
      </c>
      <c r="F13">
        <v>2</v>
      </c>
      <c r="G13">
        <v>5</v>
      </c>
    </row>
    <row r="14" spans="1:11">
      <c r="B14" s="2" t="s">
        <v>25</v>
      </c>
      <c r="D14" s="1" t="s">
        <v>51</v>
      </c>
      <c r="E14">
        <f t="shared" si="0"/>
        <v>32</v>
      </c>
      <c r="F14">
        <v>0</v>
      </c>
      <c r="G14">
        <v>5</v>
      </c>
    </row>
    <row r="15" spans="1:11">
      <c r="E15" t="str">
        <f t="shared" si="0"/>
        <v/>
      </c>
    </row>
    <row r="16" spans="1:11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2026-01-18T05:09:55Z</dcterms:modified>
</cp:coreProperties>
</file>