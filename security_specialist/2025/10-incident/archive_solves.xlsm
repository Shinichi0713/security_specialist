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324" codeName="{899C9086-67A9-5B14-2C2D-5A8001700F7D}"/>
  <workbookPr codeName="ThisWorkbook"/>
  <mc:AlternateContent xmlns:mc="http://schemas.openxmlformats.org/markup-compatibility/2006">
    <mc:Choice Requires="x15">
      <x15ac:absPath xmlns:x15ac="http://schemas.microsoft.com/office/spreadsheetml/2010/11/ac" url="C:\Users\yoshinaga\Documents\Python Scripts\security_specialist\2025\10-incident\"/>
    </mc:Choice>
  </mc:AlternateContent>
  <xr:revisionPtr revIDLastSave="0" documentId="13_ncr:1_{B8D538CB-AD41-4D4B-8155-20745261C5BA}" xr6:coauthVersionLast="47" xr6:coauthVersionMax="47" xr10:uidLastSave="{00000000-0000-0000-0000-000000000000}"/>
  <bookViews>
    <workbookView xWindow="735" yWindow="0" windowWidth="27270" windowHeight="15585" activeTab="5" xr2:uid="{00000000-000D-0000-FFFF-FFFF00000000}"/>
  </bookViews>
  <sheets>
    <sheet name="レビュー" sheetId="2" r:id="rId1"/>
    <sheet name="format" sheetId="4" r:id="rId2"/>
    <sheet name="1" sheetId="5" r:id="rId3"/>
    <sheet name="2" sheetId="6" r:id="rId4"/>
    <sheet name="3" sheetId="7" r:id="rId5"/>
    <sheet name="4" sheetId="8" r:id="rId6"/>
  </sheets>
  <functionGroups builtInGroupCount="19"/>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67" i="8" l="1"/>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2" i="8"/>
  <c r="B17" i="7"/>
  <c r="C17" i="7" s="1"/>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6" i="7"/>
  <c r="C15" i="7"/>
  <c r="C14" i="7"/>
  <c r="C13" i="7"/>
  <c r="C12" i="7"/>
  <c r="C11" i="7"/>
  <c r="C10" i="7"/>
  <c r="C9" i="7"/>
  <c r="C8" i="7"/>
  <c r="C7" i="7"/>
  <c r="C6" i="7"/>
  <c r="C5" i="7"/>
  <c r="C4" i="7"/>
  <c r="E2" i="7"/>
  <c r="D2" i="7"/>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C6" i="6"/>
  <c r="C5" i="6"/>
  <c r="C4" i="6"/>
  <c r="E2" i="6"/>
  <c r="D2" i="6"/>
  <c r="B18" i="5"/>
  <c r="C18" i="5" s="1"/>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7" i="5"/>
  <c r="C16" i="5"/>
  <c r="C15" i="5"/>
  <c r="C14" i="5"/>
  <c r="C13"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<sst xmlns="http://schemas.openxmlformats.org/spreadsheetml/2006/main" count="293" uniqueCount="209">
  <si>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</si>
  <si>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</si>
  <si>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</si>
  <si>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</si>
  <si>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</si>
  <si>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</si>
  <si>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</si>
  <si>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</si>
  <si>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</si>
  <si>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</si>
  <si>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</si>
  <si>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</si>
  <si>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重点対策</t>
    <rPh sb="0" eb="2">
      <t>ジュウテン</t>
    </rPh>
    <rPh sb="2" eb="4">
      <t>タイサク</t>
    </rPh>
    <phoneticPr fontId="1"/>
  </si>
  <si>
    <t>10-1</t>
    <phoneticPr fontId="1"/>
  </si>
  <si>
    <t>N社</t>
    <rPh sb="1" eb="2">
      <t>シャ</t>
    </rPh>
    <phoneticPr fontId="1"/>
  </si>
  <si>
    <t>通販サイトでの通信販売</t>
    <rPh sb="0" eb="2">
      <t>ツウハン</t>
    </rPh>
    <rPh sb="7" eb="9">
      <t>ツウシン</t>
    </rPh>
    <rPh sb="9" eb="11">
      <t>ハンバイ</t>
    </rPh>
    <phoneticPr fontId="1"/>
  </si>
  <si>
    <t>会員制度より得点を受けれる</t>
    <rPh sb="0" eb="2">
      <t>カイイン</t>
    </rPh>
    <rPh sb="2" eb="4">
      <t>セイド</t>
    </rPh>
    <rPh sb="6" eb="8">
      <t>トクテン</t>
    </rPh>
    <rPh sb="9" eb="10">
      <t>ウ</t>
    </rPh>
    <phoneticPr fontId="1"/>
  </si>
  <si>
    <t>Bインシデントポリシ</t>
    <phoneticPr fontId="1"/>
  </si>
  <si>
    <t>B社のセキュリティ担当部署に報告</t>
    <rPh sb="1" eb="2">
      <t>シャ</t>
    </rPh>
    <rPh sb="9" eb="13">
      <t>タントウブショ</t>
    </rPh>
    <rPh sb="14" eb="16">
      <t>ホウコク</t>
    </rPh>
    <phoneticPr fontId="1"/>
  </si>
  <si>
    <t>N社のシステムが取得し、インシデント発生時にはセキュリティ部に送信</t>
    <rPh sb="1" eb="2">
      <t>シャ</t>
    </rPh>
    <rPh sb="8" eb="10">
      <t>シュトク</t>
    </rPh>
    <rPh sb="18" eb="21">
      <t>ハッセイジ</t>
    </rPh>
    <rPh sb="29" eb="30">
      <t>ブ</t>
    </rPh>
    <rPh sb="31" eb="33">
      <t>ソウシン</t>
    </rPh>
    <phoneticPr fontId="1"/>
  </si>
  <si>
    <t>Zサービスに構築V社運用</t>
    <rPh sb="6" eb="8">
      <t>コウチク</t>
    </rPh>
    <rPh sb="9" eb="10">
      <t>シャ</t>
    </rPh>
    <rPh sb="10" eb="12">
      <t>ウンヨウ</t>
    </rPh>
    <phoneticPr fontId="1"/>
  </si>
  <si>
    <t>店舗管理システムをN社に設置</t>
    <rPh sb="0" eb="4">
      <t>テンポカンリ</t>
    </rPh>
    <rPh sb="10" eb="11">
      <t>シャ</t>
    </rPh>
    <rPh sb="12" eb="14">
      <t>セッチ</t>
    </rPh>
    <phoneticPr fontId="1"/>
  </si>
  <si>
    <t>システムテスト、R1サーバーにSSH</t>
    <phoneticPr fontId="1"/>
  </si>
  <si>
    <t>開発支援ツールJ</t>
    <rPh sb="0" eb="2">
      <t>カイハツ</t>
    </rPh>
    <rPh sb="2" eb="4">
      <t>シエン</t>
    </rPh>
    <phoneticPr fontId="1"/>
  </si>
  <si>
    <t>R1サーバー：開発支援サーバー</t>
    <rPh sb="7" eb="9">
      <t>カイハツ</t>
    </rPh>
    <rPh sb="9" eb="11">
      <t>シエン</t>
    </rPh>
    <phoneticPr fontId="1"/>
  </si>
  <si>
    <t>利用者アカウントで動作する。</t>
    <rPh sb="0" eb="3">
      <t>リヨウシャ</t>
    </rPh>
    <rPh sb="9" eb="11">
      <t>ドウサ</t>
    </rPh>
    <phoneticPr fontId="1"/>
  </si>
  <si>
    <t>OSの一般利用者権限には、開発支援ツールJが動作する。</t>
    <rPh sb="3" eb="5">
      <t>イッパン</t>
    </rPh>
    <rPh sb="5" eb="8">
      <t>リヨウシャ</t>
    </rPh>
    <rPh sb="8" eb="10">
      <t>ケンゲン</t>
    </rPh>
    <rPh sb="13" eb="15">
      <t>カイハツ</t>
    </rPh>
    <rPh sb="15" eb="17">
      <t>シエン</t>
    </rPh>
    <rPh sb="22" eb="24">
      <t>ドウサ</t>
    </rPh>
    <phoneticPr fontId="1"/>
  </si>
  <si>
    <t>必要最小限の権限のみが与えられる</t>
    <rPh sb="0" eb="5">
      <t>ヒツヨウサイショウゲン</t>
    </rPh>
    <rPh sb="6" eb="8">
      <t>ケンゲン</t>
    </rPh>
    <rPh sb="11" eb="12">
      <t>アタ</t>
    </rPh>
    <phoneticPr fontId="1"/>
  </si>
  <si>
    <t>R1 SVに限定</t>
    <rPh sb="6" eb="8">
      <t>ゲンテイ</t>
    </rPh>
    <phoneticPr fontId="1"/>
  </si>
  <si>
    <t>N社のシステムへの営業を評価</t>
    <rPh sb="1" eb="2">
      <t>シャ</t>
    </rPh>
    <rPh sb="9" eb="11">
      <t>エイギョウ</t>
    </rPh>
    <rPh sb="12" eb="14">
      <t>ヒョウカ</t>
    </rPh>
    <phoneticPr fontId="1"/>
  </si>
  <si>
    <t>1-(1)</t>
    <phoneticPr fontId="1"/>
  </si>
  <si>
    <t>不正に入手したIDとパスワードの実際に利用されているリストを用いてログインを試行する攻撃。</t>
    <rPh sb="0" eb="2">
      <t>フセイ</t>
    </rPh>
    <rPh sb="3" eb="5">
      <t>ニュウシュ</t>
    </rPh>
    <rPh sb="16" eb="18">
      <t>ジッサイ</t>
    </rPh>
    <rPh sb="19" eb="21">
      <t>リヨウ</t>
    </rPh>
    <rPh sb="30" eb="31">
      <t>モチ</t>
    </rPh>
    <rPh sb="38" eb="40">
      <t>シコウ</t>
    </rPh>
    <rPh sb="42" eb="44">
      <t>コウゲキ</t>
    </rPh>
    <phoneticPr fontId="1"/>
  </si>
  <si>
    <t>1-(2)</t>
    <phoneticPr fontId="1"/>
  </si>
  <si>
    <t>他サイトに利用しているパスワードは設定しない</t>
    <rPh sb="0" eb="1">
      <t>ホカ</t>
    </rPh>
    <rPh sb="5" eb="7">
      <t>リヨウ</t>
    </rPh>
    <rPh sb="17" eb="19">
      <t>セッテイ</t>
    </rPh>
    <phoneticPr fontId="1"/>
  </si>
  <si>
    <t>1-(3)</t>
    <phoneticPr fontId="1"/>
  </si>
  <si>
    <t>いつもと異なるIPアドレスよりアクセスしたことから、地理的情報より異常を検知する。</t>
    <rPh sb="4" eb="5">
      <t>コト</t>
    </rPh>
    <rPh sb="26" eb="29">
      <t>チリテキ</t>
    </rPh>
    <rPh sb="29" eb="31">
      <t>ジョウホウ</t>
    </rPh>
    <rPh sb="33" eb="35">
      <t>イジョウ</t>
    </rPh>
    <rPh sb="36" eb="38">
      <t>ケンチ</t>
    </rPh>
    <phoneticPr fontId="1"/>
  </si>
  <si>
    <t>1-(4)</t>
    <phoneticPr fontId="1"/>
  </si>
  <si>
    <t>タイムゾーン</t>
    <phoneticPr fontId="1"/>
  </si>
  <si>
    <t>1-(5)</t>
    <phoneticPr fontId="1"/>
  </si>
  <si>
    <t>JSTはUTCに対して9時間進んでいる</t>
    <rPh sb="8" eb="9">
      <t>タイ</t>
    </rPh>
    <rPh sb="12" eb="14">
      <t>ジカン</t>
    </rPh>
    <rPh sb="14" eb="15">
      <t>スス</t>
    </rPh>
    <phoneticPr fontId="1"/>
  </si>
  <si>
    <t>２</t>
    <phoneticPr fontId="1"/>
  </si>
  <si>
    <t>セキュリティ対策</t>
    <rPh sb="6" eb="8">
      <t>タイサク</t>
    </rPh>
    <phoneticPr fontId="1"/>
  </si>
  <si>
    <t>社内LAN上のPCからUSBを経由して、マルウェアがコピーされて、店舗管理サーバーにマルウェアが移される。</t>
    <rPh sb="0" eb="2">
      <t>シャナイ</t>
    </rPh>
    <rPh sb="5" eb="6">
      <t>ウエ</t>
    </rPh>
    <rPh sb="15" eb="17">
      <t>ケイユ</t>
    </rPh>
    <rPh sb="33" eb="37">
      <t>テンポカンリ</t>
    </rPh>
    <rPh sb="48" eb="49">
      <t>ウツ</t>
    </rPh>
    <phoneticPr fontId="1"/>
  </si>
  <si>
    <t>3-(1)</t>
    <phoneticPr fontId="1"/>
  </si>
  <si>
    <t>セキュリティポリ氏案と体制つくり</t>
    <rPh sb="8" eb="9">
      <t>シ</t>
    </rPh>
    <rPh sb="9" eb="10">
      <t>アン</t>
    </rPh>
    <rPh sb="11" eb="13">
      <t>タイセイ</t>
    </rPh>
    <phoneticPr fontId="1"/>
  </si>
  <si>
    <t>オ</t>
    <phoneticPr fontId="1"/>
  </si>
  <si>
    <t>3-(2)</t>
    <phoneticPr fontId="1"/>
  </si>
  <si>
    <t>d:イ</t>
    <phoneticPr fontId="1"/>
  </si>
  <si>
    <t>e:カ</t>
    <phoneticPr fontId="1"/>
  </si>
  <si>
    <t>f:ウ</t>
    <phoneticPr fontId="1"/>
  </si>
  <si>
    <t>4-(1)</t>
    <phoneticPr fontId="1"/>
  </si>
  <si>
    <t>不正ログイン</t>
    <rPh sb="0" eb="2">
      <t>フセイ</t>
    </rPh>
    <phoneticPr fontId="1"/>
  </si>
  <si>
    <t>4-(2)</t>
    <phoneticPr fontId="1"/>
  </si>
  <si>
    <t>管理者権限でないとファイルの内容を読みだすことができないため、一般ユーザーの権限で脆弱性Mを利用してもファイルの内容を閲覧することは出来ない</t>
    <rPh sb="0" eb="3">
      <t>カンリシャ</t>
    </rPh>
    <rPh sb="3" eb="5">
      <t>ケンゲン</t>
    </rPh>
    <rPh sb="14" eb="16">
      <t>ナイヨウ</t>
    </rPh>
    <rPh sb="17" eb="18">
      <t>ヨ</t>
    </rPh>
    <rPh sb="31" eb="33">
      <t>イッパン</t>
    </rPh>
    <rPh sb="38" eb="40">
      <t>ケンゲン</t>
    </rPh>
    <rPh sb="41" eb="44">
      <t>ゼイジャクセイ</t>
    </rPh>
    <rPh sb="46" eb="48">
      <t>リヨウ</t>
    </rPh>
    <rPh sb="56" eb="58">
      <t>ナイヨウ</t>
    </rPh>
    <rPh sb="59" eb="61">
      <t>エツラン</t>
    </rPh>
    <rPh sb="66" eb="68">
      <t>デキ</t>
    </rPh>
    <phoneticPr fontId="1"/>
  </si>
  <si>
    <t>4-(3)</t>
    <phoneticPr fontId="1"/>
  </si>
  <si>
    <t>/etc/hosts.allowに攻撃用サーバーのFQDNとIPアドレスを登録した</t>
    <rPh sb="17" eb="20">
      <t>コウゲキヨウ</t>
    </rPh>
    <rPh sb="37" eb="39">
      <t>トウロク</t>
    </rPh>
    <phoneticPr fontId="1"/>
  </si>
  <si>
    <t>攻撃用の接続元IPアドレスを/etc/hosts.allowファイルに追加する</t>
    <rPh sb="0" eb="3">
      <t>コウゲキヨウ</t>
    </rPh>
    <rPh sb="4" eb="7">
      <t>セツゾクモト</t>
    </rPh>
    <rPh sb="35" eb="37">
      <t>ツイカ</t>
    </rPh>
    <phoneticPr fontId="1"/>
  </si>
  <si>
    <t>4-(4)</t>
    <phoneticPr fontId="1"/>
  </si>
  <si>
    <t>4-(5)</t>
    <phoneticPr fontId="1"/>
  </si>
  <si>
    <t>V社と、N社以外の接続元IPアドレスは、開発システムにアクセスできないように設定する</t>
    <rPh sb="1" eb="2">
      <t>シャ</t>
    </rPh>
    <rPh sb="5" eb="6">
      <t>シャ</t>
    </rPh>
    <rPh sb="6" eb="8">
      <t>イガイ</t>
    </rPh>
    <rPh sb="9" eb="11">
      <t>セツゾク</t>
    </rPh>
    <rPh sb="11" eb="12">
      <t>モト</t>
    </rPh>
    <rPh sb="20" eb="22">
      <t>カイハツ</t>
    </rPh>
    <rPh sb="38" eb="40">
      <t>セッテイ</t>
    </rPh>
    <phoneticPr fontId="1"/>
  </si>
  <si>
    <t>5</t>
    <phoneticPr fontId="1"/>
  </si>
  <si>
    <t>2つ以上の脆弱性を悪用した攻撃の可能性の観点。</t>
    <rPh sb="2" eb="4">
      <t>イジョウ</t>
    </rPh>
    <rPh sb="5" eb="8">
      <t>ゼイジャクセイ</t>
    </rPh>
    <rPh sb="9" eb="11">
      <t>アクヨウ</t>
    </rPh>
    <rPh sb="13" eb="15">
      <t>コウゲキ</t>
    </rPh>
    <rPh sb="16" eb="19">
      <t>カノウセイ</t>
    </rPh>
    <rPh sb="20" eb="22">
      <t>カンテン</t>
    </rPh>
    <phoneticPr fontId="1"/>
  </si>
  <si>
    <t>重点対策</t>
  </si>
  <si>
    <t>10-1</t>
  </si>
  <si>
    <t>10-2</t>
  </si>
  <si>
    <t>10-2</t>
    <phoneticPr fontId="1"/>
  </si>
  <si>
    <t>S社</t>
    <rPh sb="1" eb="2">
      <t>シャ</t>
    </rPh>
    <phoneticPr fontId="1"/>
  </si>
  <si>
    <t>インターネット広告</t>
    <rPh sb="7" eb="9">
      <t>コウコク</t>
    </rPh>
    <phoneticPr fontId="1"/>
  </si>
  <si>
    <t>Sシステム</t>
    <phoneticPr fontId="1"/>
  </si>
  <si>
    <t>アプリQ</t>
    <phoneticPr fontId="1"/>
  </si>
  <si>
    <t>自社開発で機能開発続く</t>
    <rPh sb="0" eb="2">
      <t>ジシャ</t>
    </rPh>
    <rPh sb="2" eb="4">
      <t>カイハツ</t>
    </rPh>
    <rPh sb="5" eb="9">
      <t>キノウカイハツ</t>
    </rPh>
    <rPh sb="9" eb="10">
      <t>ツヅ</t>
    </rPh>
    <phoneticPr fontId="1"/>
  </si>
  <si>
    <t>エンジニア５名</t>
    <rPh sb="6" eb="7">
      <t>メイ</t>
    </rPh>
    <phoneticPr fontId="1"/>
  </si>
  <si>
    <t>DevOps</t>
    <phoneticPr fontId="1"/>
  </si>
  <si>
    <t>サービスG</t>
    <phoneticPr fontId="1"/>
  </si>
  <si>
    <t>テキストをアップロード</t>
    <phoneticPr fontId="1"/>
  </si>
  <si>
    <t>URLによりテキストを共有可能</t>
    <rPh sb="11" eb="13">
      <t>キョウユウ</t>
    </rPh>
    <rPh sb="13" eb="15">
      <t>カノウ</t>
    </rPh>
    <phoneticPr fontId="1"/>
  </si>
  <si>
    <t>SQLインジェクション</t>
    <phoneticPr fontId="1"/>
  </si>
  <si>
    <t>サービスH</t>
    <phoneticPr fontId="1"/>
  </si>
  <si>
    <t>アプリQはサーバーAで稼働</t>
    <rPh sb="11" eb="13">
      <t>カドウ</t>
    </rPh>
    <phoneticPr fontId="1"/>
  </si>
  <si>
    <t>WEBアプリの脆弱性診断</t>
    <rPh sb="7" eb="10">
      <t>ゼイジャクセイ</t>
    </rPh>
    <rPh sb="10" eb="12">
      <t>シンダン</t>
    </rPh>
    <phoneticPr fontId="1"/>
  </si>
  <si>
    <t>サービスCのDBには会員情報が記録</t>
    <rPh sb="10" eb="12">
      <t>カイイン</t>
    </rPh>
    <rPh sb="12" eb="14">
      <t>ジョウホウ</t>
    </rPh>
    <rPh sb="15" eb="17">
      <t>キロク</t>
    </rPh>
    <phoneticPr fontId="1"/>
  </si>
  <si>
    <t>DBMS-R</t>
    <phoneticPr fontId="1"/>
  </si>
  <si>
    <t>MW-X</t>
    <phoneticPr fontId="1"/>
  </si>
  <si>
    <t>プログラムDL</t>
    <phoneticPr fontId="1"/>
  </si>
  <si>
    <t>他SVに侵入</t>
    <rPh sb="0" eb="1">
      <t>ホカ</t>
    </rPh>
    <rPh sb="4" eb="6">
      <t>シンニュウ</t>
    </rPh>
    <phoneticPr fontId="1"/>
  </si>
  <si>
    <t>ポートの同じ脆弱性をついたほかのマルウェアが侵入し、当該マルウェアXの活動を妨害する。</t>
    <rPh sb="4" eb="5">
      <t>オナ</t>
    </rPh>
    <rPh sb="6" eb="9">
      <t>ゼイジャクセイ</t>
    </rPh>
    <rPh sb="22" eb="24">
      <t>シンニュウ</t>
    </rPh>
    <rPh sb="26" eb="28">
      <t>トウガイ</t>
    </rPh>
    <rPh sb="35" eb="37">
      <t>カツドウ</t>
    </rPh>
    <rPh sb="38" eb="40">
      <t>ボウガイ</t>
    </rPh>
    <phoneticPr fontId="1"/>
  </si>
  <si>
    <t>γ：イ</t>
    <phoneticPr fontId="1"/>
  </si>
  <si>
    <t>β：ク</t>
    <phoneticPr fontId="1"/>
  </si>
  <si>
    <t>α：カ</t>
    <phoneticPr fontId="1"/>
  </si>
  <si>
    <t>マルウェアXには、サーバーへアクセスの後、データを取得したうえで、データを外部に対して送信する機能がない。このため、DBMS-Rのデータは取得・送信されていないと考えられるため。</t>
    <rPh sb="19" eb="20">
      <t>アト</t>
    </rPh>
    <rPh sb="25" eb="27">
      <t>シュトク</t>
    </rPh>
    <rPh sb="37" eb="39">
      <t>ガイブ</t>
    </rPh>
    <rPh sb="40" eb="41">
      <t>タイ</t>
    </rPh>
    <rPh sb="43" eb="45">
      <t>ソウシン</t>
    </rPh>
    <rPh sb="47" eb="49">
      <t>キノウ</t>
    </rPh>
    <rPh sb="69" eb="71">
      <t>シュトク</t>
    </rPh>
    <rPh sb="72" eb="74">
      <t>ソウシン</t>
    </rPh>
    <rPh sb="81" eb="82">
      <t>カンガ</t>
    </rPh>
    <phoneticPr fontId="1"/>
  </si>
  <si>
    <t>2-(1)</t>
    <phoneticPr fontId="1"/>
  </si>
  <si>
    <t>SV Aへのアクセス制限</t>
    <rPh sb="10" eb="12">
      <t>セイゲン</t>
    </rPh>
    <phoneticPr fontId="1"/>
  </si>
  <si>
    <t>ポートをデフォルト以外</t>
    <rPh sb="9" eb="11">
      <t>イガイ</t>
    </rPh>
    <phoneticPr fontId="1"/>
  </si>
  <si>
    <t>アクセス制限</t>
    <rPh sb="4" eb="6">
      <t>セイゲン</t>
    </rPh>
    <phoneticPr fontId="1"/>
  </si>
  <si>
    <t>アプリやMWを稼働</t>
    <rPh sb="7" eb="9">
      <t>カドウ</t>
    </rPh>
    <phoneticPr fontId="1"/>
  </si>
  <si>
    <t>1: ア、エ</t>
    <phoneticPr fontId="1"/>
  </si>
  <si>
    <t>2:  ア、イ、エ</t>
    <phoneticPr fontId="1"/>
  </si>
  <si>
    <t>3: ア、イ、エ</t>
    <phoneticPr fontId="1"/>
  </si>
  <si>
    <t>4: ウ、オ</t>
    <phoneticPr fontId="1"/>
  </si>
  <si>
    <t>プログラムのインストールには管理権限が筆意用</t>
    <rPh sb="14" eb="16">
      <t>カンリ</t>
    </rPh>
    <rPh sb="16" eb="18">
      <t>ケンゲン</t>
    </rPh>
    <rPh sb="19" eb="22">
      <t>ヒツイヨウ</t>
    </rPh>
    <phoneticPr fontId="1"/>
  </si>
  <si>
    <t>2-(2)</t>
    <phoneticPr fontId="1"/>
  </si>
  <si>
    <t>SV AはDBMS</t>
    <phoneticPr fontId="1"/>
  </si>
  <si>
    <t>う：a2.b2.c2.d2</t>
    <phoneticPr fontId="1"/>
  </si>
  <si>
    <t>い：22</t>
    <phoneticPr fontId="1"/>
  </si>
  <si>
    <t>あ：6379</t>
    <phoneticPr fontId="1"/>
  </si>
  <si>
    <t>2-(3)</t>
    <phoneticPr fontId="1"/>
  </si>
  <si>
    <t>a:curl</t>
    <phoneticPr fontId="1"/>
  </si>
  <si>
    <t>b:iptables</t>
    <phoneticPr fontId="1"/>
  </si>
  <si>
    <t>2-(4)</t>
    <phoneticPr fontId="1"/>
  </si>
  <si>
    <t>え：オ</t>
    <phoneticPr fontId="1"/>
  </si>
  <si>
    <t>お：カ</t>
    <phoneticPr fontId="1"/>
  </si>
  <si>
    <t>か：キ</t>
    <phoneticPr fontId="1"/>
  </si>
  <si>
    <t>自社の環境により脆弱性を収集</t>
    <rPh sb="0" eb="2">
      <t>ジシャ</t>
    </rPh>
    <rPh sb="3" eb="5">
      <t>カンキョウ</t>
    </rPh>
    <rPh sb="8" eb="11">
      <t>ゼイジャクセイ</t>
    </rPh>
    <rPh sb="12" eb="14">
      <t>シュウシュウ</t>
    </rPh>
    <phoneticPr fontId="1"/>
  </si>
  <si>
    <t>SWの変更、構成の変更を管理</t>
    <rPh sb="3" eb="5">
      <t>ヘンコウ</t>
    </rPh>
    <rPh sb="6" eb="8">
      <t>コウセイ</t>
    </rPh>
    <rPh sb="9" eb="11">
      <t>ヘンコウ</t>
    </rPh>
    <rPh sb="12" eb="14">
      <t>カンリ</t>
    </rPh>
    <phoneticPr fontId="1"/>
  </si>
  <si>
    <t>ア、ウ</t>
    <phoneticPr fontId="1"/>
  </si>
  <si>
    <t>検証プロセス</t>
    <rPh sb="0" eb="2">
      <t>ケンショウ</t>
    </rPh>
    <phoneticPr fontId="1"/>
  </si>
  <si>
    <t>運用プロセス</t>
    <rPh sb="0" eb="2">
      <t>ウンヨウ</t>
    </rPh>
    <phoneticPr fontId="1"/>
  </si>
  <si>
    <t>実行環境を構成しているＯＳやミドルウェアなどの構成情報を収集する。</t>
    <rPh sb="0" eb="4">
      <t>ジッコウカンキョウ</t>
    </rPh>
    <rPh sb="5" eb="7">
      <t>コウセイ</t>
    </rPh>
    <rPh sb="23" eb="25">
      <t>コウセイ</t>
    </rPh>
    <rPh sb="25" eb="27">
      <t>ジョウホウ</t>
    </rPh>
    <rPh sb="28" eb="30">
      <t>シュウシュウ</t>
    </rPh>
    <phoneticPr fontId="1"/>
  </si>
  <si>
    <t>3-(3)</t>
    <phoneticPr fontId="1"/>
  </si>
  <si>
    <t>き：ア</t>
    <phoneticPr fontId="1"/>
  </si>
  <si>
    <t>く：ウ</t>
    <phoneticPr fontId="1"/>
  </si>
  <si>
    <t>3-(4)</t>
    <phoneticPr fontId="1"/>
  </si>
  <si>
    <t>け：レビュー</t>
    <phoneticPr fontId="1"/>
  </si>
  <si>
    <t>こ：第３者</t>
    <rPh sb="2" eb="3">
      <t>ダイ</t>
    </rPh>
    <rPh sb="4" eb="5">
      <t>シャ</t>
    </rPh>
    <phoneticPr fontId="1"/>
  </si>
  <si>
    <t>4</t>
    <phoneticPr fontId="1"/>
  </si>
  <si>
    <t>c:オ</t>
    <phoneticPr fontId="1"/>
  </si>
  <si>
    <t>d:ア</t>
    <phoneticPr fontId="1"/>
  </si>
  <si>
    <t>e:エ</t>
    <phoneticPr fontId="1"/>
  </si>
  <si>
    <t>f:カ</t>
    <phoneticPr fontId="1"/>
  </si>
  <si>
    <t>g:キ</t>
    <phoneticPr fontId="1"/>
  </si>
  <si>
    <t>h:ウ</t>
    <phoneticPr fontId="1"/>
  </si>
  <si>
    <t>10-1-rev</t>
    <phoneticPr fontId="1"/>
  </si>
  <si>
    <t>webサイト</t>
    <phoneticPr fontId="1"/>
  </si>
  <si>
    <t>情報セキュリティ</t>
    <rPh sb="0" eb="2">
      <t>ジョウホウ</t>
    </rPh>
    <phoneticPr fontId="1"/>
  </si>
  <si>
    <t>インシデント</t>
    <phoneticPr fontId="1"/>
  </si>
  <si>
    <t>対応チームを立ち上げて対応</t>
    <rPh sb="0" eb="2">
      <t>タイオウ</t>
    </rPh>
    <rPh sb="6" eb="7">
      <t>タ</t>
    </rPh>
    <rPh sb="8" eb="9">
      <t>ア</t>
    </rPh>
    <rPh sb="11" eb="13">
      <t>タイオウ</t>
    </rPh>
    <phoneticPr fontId="1"/>
  </si>
  <si>
    <t>B社親会社？</t>
    <rPh sb="1" eb="2">
      <t>シャ</t>
    </rPh>
    <rPh sb="2" eb="5">
      <t>オヤカイシャ</t>
    </rPh>
    <phoneticPr fontId="1"/>
  </si>
  <si>
    <t>Zサービス上に構築</t>
    <rPh sb="5" eb="6">
      <t>ウエ</t>
    </rPh>
    <rPh sb="7" eb="9">
      <t>コウチク</t>
    </rPh>
    <phoneticPr fontId="1"/>
  </si>
  <si>
    <t>V社が運用</t>
    <rPh sb="1" eb="2">
      <t>シャ</t>
    </rPh>
    <rPh sb="3" eb="5">
      <t>ウンヨウ</t>
    </rPh>
    <phoneticPr fontId="1"/>
  </si>
  <si>
    <t>IP-VPNで接続</t>
    <rPh sb="7" eb="9">
      <t>セツゾク</t>
    </rPh>
    <phoneticPr fontId="1"/>
  </si>
  <si>
    <t>店舗と店舗管理システム</t>
    <rPh sb="0" eb="2">
      <t>テンポ</t>
    </rPh>
    <rPh sb="3" eb="5">
      <t>テンポ</t>
    </rPh>
    <rPh sb="5" eb="7">
      <t>カンリ</t>
    </rPh>
    <phoneticPr fontId="1"/>
  </si>
  <si>
    <t>社内LANと店舗管理システムはUSB</t>
    <rPh sb="0" eb="2">
      <t>シャナイ</t>
    </rPh>
    <rPh sb="6" eb="8">
      <t>テンポ</t>
    </rPh>
    <rPh sb="8" eb="10">
      <t>カンリ</t>
    </rPh>
    <phoneticPr fontId="1"/>
  </si>
  <si>
    <t>店舗PCは、WiFiルータでネット接続</t>
    <rPh sb="0" eb="2">
      <t>テンポ</t>
    </rPh>
    <rPh sb="17" eb="19">
      <t>セツゾク</t>
    </rPh>
    <phoneticPr fontId="1"/>
  </si>
  <si>
    <t>N社、VはHTTPS</t>
    <rPh sb="1" eb="2">
      <t>シャ</t>
    </rPh>
    <phoneticPr fontId="1"/>
  </si>
  <si>
    <t>R1さーばーからSSH</t>
    <phoneticPr fontId="1"/>
  </si>
  <si>
    <t>インバウンド接続</t>
    <rPh sb="6" eb="8">
      <t>セツゾク</t>
    </rPh>
    <phoneticPr fontId="1"/>
  </si>
  <si>
    <t>R1＝開発支援サーバー</t>
    <rPh sb="3" eb="5">
      <t>カイハツ</t>
    </rPh>
    <rPh sb="5" eb="7">
      <t>シエン</t>
    </rPh>
    <phoneticPr fontId="1"/>
  </si>
  <si>
    <t>認証情報はshadow</t>
    <rPh sb="0" eb="2">
      <t>ニンショウ</t>
    </rPh>
    <rPh sb="2" eb="4">
      <t>ジョウホウ</t>
    </rPh>
    <phoneticPr fontId="1"/>
  </si>
  <si>
    <t>不正に入手したIDとパスワードのペアのリストのデータを用いて、ログインを試行する方法。</t>
    <rPh sb="0" eb="2">
      <t>フセイ</t>
    </rPh>
    <rPh sb="3" eb="5">
      <t>ニュウシュ</t>
    </rPh>
    <rPh sb="27" eb="28">
      <t>モチ</t>
    </rPh>
    <rPh sb="36" eb="38">
      <t>シコウ</t>
    </rPh>
    <rPh sb="40" eb="42">
      <t>ホウホウ</t>
    </rPh>
    <phoneticPr fontId="1"/>
  </si>
  <si>
    <t>他サイトに用いていない、推測困難なパスワードを設定する</t>
    <rPh sb="0" eb="1">
      <t>ホカ</t>
    </rPh>
    <rPh sb="5" eb="6">
      <t>モチ</t>
    </rPh>
    <rPh sb="12" eb="14">
      <t>スイソク</t>
    </rPh>
    <rPh sb="14" eb="16">
      <t>コンナン</t>
    </rPh>
    <rPh sb="23" eb="25">
      <t>セッテイ</t>
    </rPh>
    <phoneticPr fontId="1"/>
  </si>
  <si>
    <t>アクセスした接続元IIPアドレスから推測される場所が、通常と異なっていないか確認する。</t>
    <rPh sb="6" eb="9">
      <t>セツゾクモト</t>
    </rPh>
    <rPh sb="18" eb="20">
      <t>スイソク</t>
    </rPh>
    <rPh sb="23" eb="25">
      <t>バショ</t>
    </rPh>
    <rPh sb="27" eb="29">
      <t>ツウジョウ</t>
    </rPh>
    <rPh sb="30" eb="31">
      <t>コト</t>
    </rPh>
    <rPh sb="38" eb="40">
      <t>カクニン</t>
    </rPh>
    <phoneticPr fontId="1"/>
  </si>
  <si>
    <t>a:タイムゾーン</t>
    <phoneticPr fontId="1"/>
  </si>
  <si>
    <t>b:9</t>
    <phoneticPr fontId="1"/>
  </si>
  <si>
    <t>2</t>
    <phoneticPr fontId="1"/>
  </si>
  <si>
    <t>マルウェアがUSBを経由して管理PCに侵入する。管理PC内のマルウェアが店舗管理サーバーに侵入する。</t>
    <rPh sb="10" eb="12">
      <t>ケイユ</t>
    </rPh>
    <rPh sb="14" eb="16">
      <t>カンリ</t>
    </rPh>
    <rPh sb="19" eb="21">
      <t>シンニュウ</t>
    </rPh>
    <rPh sb="24" eb="26">
      <t>カンリ</t>
    </rPh>
    <rPh sb="28" eb="29">
      <t>ナイ</t>
    </rPh>
    <rPh sb="36" eb="38">
      <t>テンポ</t>
    </rPh>
    <rPh sb="38" eb="40">
      <t>カンリ</t>
    </rPh>
    <rPh sb="45" eb="47">
      <t>シンニュウ</t>
    </rPh>
    <phoneticPr fontId="1"/>
  </si>
  <si>
    <t>c: オ</t>
    <phoneticPr fontId="1"/>
  </si>
  <si>
    <t>AC-X</t>
    <phoneticPr fontId="1"/>
  </si>
  <si>
    <t>OSコマンドAno脆弱性</t>
    <rPh sb="9" eb="12">
      <t>ゼイジャクセイ</t>
    </rPh>
    <phoneticPr fontId="1"/>
  </si>
  <si>
    <t>/etc/shadowファイルは、特権管理者権限でないと参照することができないため、脆弱性Mのみの一般利用者権限では閲覧することが出来ない。</t>
    <rPh sb="17" eb="19">
      <t>トッケン</t>
    </rPh>
    <rPh sb="19" eb="22">
      <t>カンリシャ</t>
    </rPh>
    <rPh sb="22" eb="24">
      <t>ケンゲン</t>
    </rPh>
    <rPh sb="28" eb="30">
      <t>サンショウ</t>
    </rPh>
    <rPh sb="42" eb="45">
      <t>ゼイジャクセイ</t>
    </rPh>
    <rPh sb="49" eb="54">
      <t>イッパンリヨウシャ</t>
    </rPh>
    <rPh sb="54" eb="56">
      <t>ケンゲン</t>
    </rPh>
    <rPh sb="58" eb="60">
      <t>エツラン</t>
    </rPh>
    <rPh sb="65" eb="67">
      <t>デキ</t>
    </rPh>
    <phoneticPr fontId="1"/>
  </si>
  <si>
    <t>4-(3)</t>
    <phoneticPr fontId="1"/>
  </si>
  <si>
    <t>/etc/hosts.allowに、攻撃用サーバーのIPアドレスを登録する。</t>
    <rPh sb="18" eb="21">
      <t>コウゲキヨウ</t>
    </rPh>
    <rPh sb="33" eb="35">
      <t>トウロク</t>
    </rPh>
    <phoneticPr fontId="1"/>
  </si>
  <si>
    <t>4-(4)</t>
    <phoneticPr fontId="1"/>
  </si>
  <si>
    <t>F1</t>
    <phoneticPr fontId="1"/>
  </si>
  <si>
    <t>320k</t>
    <phoneticPr fontId="1"/>
  </si>
  <si>
    <t>4-(5)</t>
    <phoneticPr fontId="1"/>
  </si>
  <si>
    <t>開発システムへのアクセス可能となるIPアドレスを、N社とV社のもののみに制限する</t>
    <rPh sb="0" eb="2">
      <t>カイハツ</t>
    </rPh>
    <rPh sb="12" eb="14">
      <t>カノウ</t>
    </rPh>
    <rPh sb="26" eb="27">
      <t>シャ</t>
    </rPh>
    <rPh sb="29" eb="30">
      <t>シャ</t>
    </rPh>
    <rPh sb="36" eb="38">
      <t>セイゲン</t>
    </rPh>
    <phoneticPr fontId="1"/>
  </si>
  <si>
    <t>5</t>
    <phoneticPr fontId="1"/>
  </si>
  <si>
    <t>インターネットからのインバウンドは、FW2より制限している</t>
    <rPh sb="23" eb="25">
      <t>セイゲン</t>
    </rPh>
    <phoneticPr fontId="1"/>
  </si>
  <si>
    <t>→インターネトからの制限を行う通信はFW2により制限されている</t>
    <rPh sb="10" eb="12">
      <t>セイゲン</t>
    </rPh>
    <rPh sb="13" eb="14">
      <t>オコナ</t>
    </rPh>
    <rPh sb="15" eb="17">
      <t>ツウシン</t>
    </rPh>
    <rPh sb="24" eb="26">
      <t>セイゲン</t>
    </rPh>
    <phoneticPr fontId="1"/>
  </si>
  <si>
    <t>複数の脆弱性を掛け合わせて攻撃される可能性の観点</t>
    <rPh sb="0" eb="2">
      <t>フクスウ</t>
    </rPh>
    <rPh sb="3" eb="6">
      <t>ゼイジャクセイ</t>
    </rPh>
    <rPh sb="7" eb="8">
      <t>カ</t>
    </rPh>
    <rPh sb="9" eb="10">
      <t>ア</t>
    </rPh>
    <rPh sb="13" eb="15">
      <t>コウゲキ</t>
    </rPh>
    <rPh sb="18" eb="21">
      <t>カノウセイ</t>
    </rPh>
    <rPh sb="22" eb="24">
      <t>カンテン</t>
    </rPh>
    <phoneticPr fontId="1"/>
  </si>
  <si>
    <t>10-1-rev</t>
  </si>
  <si>
    <t>不正ログインを行ったと推測されるIP</t>
    <rPh sb="0" eb="2">
      <t>フセイ</t>
    </rPh>
    <rPh sb="7" eb="8">
      <t>オコナ</t>
    </rPh>
    <rPh sb="11" eb="13">
      <t>スイソク</t>
    </rPh>
    <phoneticPr fontId="1"/>
  </si>
  <si>
    <t>→SSH通信を行った接続元を検出するべき</t>
    <rPh sb="4" eb="6">
      <t>ツウシン</t>
    </rPh>
    <rPh sb="7" eb="8">
      <t>オコナ</t>
    </rPh>
    <rPh sb="10" eb="13">
      <t>セツゾクモト</t>
    </rPh>
    <rPh sb="14" eb="16">
      <t>ケンシュツ</t>
    </rPh>
    <phoneticPr fontId="1"/>
  </si>
  <si>
    <t>10-2-rev</t>
    <phoneticPr fontId="1"/>
  </si>
  <si>
    <t>効果測定サービス</t>
    <rPh sb="0" eb="4">
      <t>コウカソクテイ</t>
    </rPh>
    <phoneticPr fontId="1"/>
  </si>
  <si>
    <t>Sシステムで稼働するwebアプリケーション</t>
    <rPh sb="6" eb="8">
      <t>カドウ</t>
    </rPh>
    <phoneticPr fontId="1"/>
  </si>
  <si>
    <t>エンジニア5名開発と運用</t>
    <rPh sb="6" eb="7">
      <t>メイ</t>
    </rPh>
    <rPh sb="7" eb="9">
      <t>カイハツ</t>
    </rPh>
    <rPh sb="10" eb="12">
      <t>ウンヨウ</t>
    </rPh>
    <phoneticPr fontId="1"/>
  </si>
  <si>
    <t>H:コード管理</t>
    <rPh sb="5" eb="7">
      <t>カンリ</t>
    </rPh>
    <phoneticPr fontId="1"/>
  </si>
  <si>
    <t>G:;テキスト共有サービス</t>
    <rPh sb="7" eb="9">
      <t>キョウユウ</t>
    </rPh>
    <phoneticPr fontId="1"/>
  </si>
  <si>
    <t>サーバーAで稼働</t>
    <rPh sb="6" eb="8">
      <t>カドウ</t>
    </rPh>
    <phoneticPr fontId="1"/>
  </si>
  <si>
    <t>遠隔監視ツール</t>
    <rPh sb="0" eb="4">
      <t>エンカクカンシ</t>
    </rPh>
    <phoneticPr fontId="1"/>
  </si>
  <si>
    <t>DBMSはサービスC</t>
    <phoneticPr fontId="1"/>
  </si>
  <si>
    <t>Dは新アプリ</t>
    <rPh sb="2" eb="3">
      <t>シン</t>
    </rPh>
    <phoneticPr fontId="1"/>
  </si>
  <si>
    <t>サーバAがほかのサーバーを探索する</t>
    <rPh sb="13" eb="15">
      <t>タンサク</t>
    </rPh>
    <phoneticPr fontId="1"/>
  </si>
  <si>
    <t>MWX</t>
    <phoneticPr fontId="1"/>
  </si>
  <si>
    <t>解放されたポートをついてほかのマルウェアが侵入し、サーバーAでリソースを使うことで、マルウェアXの活動を阻害する。</t>
    <rPh sb="0" eb="2">
      <t>カイホウ</t>
    </rPh>
    <rPh sb="21" eb="23">
      <t>シンニュウ</t>
    </rPh>
    <rPh sb="36" eb="37">
      <t>ツカ</t>
    </rPh>
    <rPh sb="49" eb="51">
      <t>カツドウ</t>
    </rPh>
    <rPh sb="52" eb="54">
      <t>ソガイ</t>
    </rPh>
    <phoneticPr fontId="1"/>
  </si>
  <si>
    <t>γ：ア</t>
    <phoneticPr fontId="1"/>
  </si>
  <si>
    <t>MW Xには、暗号資産の採掘プログラムによる採掘演算結果以外の情報を外部に送信する機能はなく、MWX以外による遠隔コマンド実行およびSSHs－ビスへの接続がなかったため</t>
    <rPh sb="7" eb="11">
      <t>アンゴウシサン</t>
    </rPh>
    <rPh sb="12" eb="14">
      <t>サイクツ</t>
    </rPh>
    <rPh sb="22" eb="24">
      <t>サイクツ</t>
    </rPh>
    <rPh sb="24" eb="26">
      <t>エンザン</t>
    </rPh>
    <rPh sb="26" eb="28">
      <t>ケッカ</t>
    </rPh>
    <rPh sb="28" eb="30">
      <t>イガイ</t>
    </rPh>
    <rPh sb="31" eb="33">
      <t>ジョウホウ</t>
    </rPh>
    <rPh sb="34" eb="36">
      <t>ガイブ</t>
    </rPh>
    <rPh sb="37" eb="39">
      <t>ソウシン</t>
    </rPh>
    <rPh sb="41" eb="43">
      <t>キノウ</t>
    </rPh>
    <rPh sb="50" eb="52">
      <t>イガイ</t>
    </rPh>
    <rPh sb="55" eb="57">
      <t>エンカク</t>
    </rPh>
    <rPh sb="61" eb="63">
      <t>ジッコウ</t>
    </rPh>
    <rPh sb="75" eb="77">
      <t>セツゾク</t>
    </rPh>
    <phoneticPr fontId="1"/>
  </si>
  <si>
    <t>IP制限</t>
    <rPh sb="2" eb="4">
      <t>セイゲン</t>
    </rPh>
    <phoneticPr fontId="1"/>
  </si>
  <si>
    <t>ポートランダム</t>
    <phoneticPr fontId="1"/>
  </si>
  <si>
    <t>SVAからのアウトダメ</t>
    <phoneticPr fontId="1"/>
  </si>
  <si>
    <t>いつ用最小限の権限</t>
    <rPh sb="2" eb="6">
      <t>ヨウサイショウゲン</t>
    </rPh>
    <rPh sb="7" eb="9">
      <t>ケンゲン</t>
    </rPh>
    <phoneticPr fontId="1"/>
  </si>
  <si>
    <t>1: イ</t>
    <phoneticPr fontId="1"/>
  </si>
  <si>
    <t>2: イ</t>
    <phoneticPr fontId="1"/>
  </si>
  <si>
    <t>3: ア、エ、イ</t>
    <phoneticPr fontId="1"/>
  </si>
  <si>
    <t>4: ウ、エ、オ</t>
    <phoneticPr fontId="1"/>
  </si>
  <si>
    <t>い：6379/tcp</t>
    <phoneticPr fontId="1"/>
  </si>
  <si>
    <t>あ：22/tcp</t>
    <phoneticPr fontId="1"/>
  </si>
  <si>
    <t>a: curl</t>
    <phoneticPr fontId="1"/>
  </si>
  <si>
    <t>b: iptables</t>
    <phoneticPr fontId="1"/>
  </si>
  <si>
    <t>脆弱性診断</t>
    <rPh sb="0" eb="3">
      <t>ゼイジャクセイ</t>
    </rPh>
    <rPh sb="3" eb="5">
      <t>シンダン</t>
    </rPh>
    <phoneticPr fontId="1"/>
  </si>
  <si>
    <t>SWの変更、システム変更を管理する</t>
    <rPh sb="3" eb="5">
      <t>ヘンコウ</t>
    </rPh>
    <rPh sb="10" eb="12">
      <t>ヘンコウ</t>
    </rPh>
    <rPh sb="13" eb="15">
      <t>カンリ</t>
    </rPh>
    <phoneticPr fontId="1"/>
  </si>
  <si>
    <t>セキュリティプロセス</t>
    <phoneticPr fontId="1"/>
  </si>
  <si>
    <t>実行環境を構成するOS,,ミドルウェア、ライブラリの情報を収集し、最新の状態に保つ。</t>
    <rPh sb="0" eb="2">
      <t>ジッコウ</t>
    </rPh>
    <rPh sb="2" eb="4">
      <t>カンキョウ</t>
    </rPh>
    <rPh sb="5" eb="7">
      <t>コウセイ</t>
    </rPh>
    <rPh sb="26" eb="28">
      <t>ジョウホウ</t>
    </rPh>
    <rPh sb="29" eb="31">
      <t>シュウシュウ</t>
    </rPh>
    <rPh sb="33" eb="35">
      <t>サイシン</t>
    </rPh>
    <rPh sb="36" eb="38">
      <t>ジョウタイ</t>
    </rPh>
    <rPh sb="39" eb="40">
      <t>タモ</t>
    </rPh>
    <phoneticPr fontId="1"/>
  </si>
  <si>
    <t>き：あ</t>
    <phoneticPr fontId="1"/>
  </si>
  <si>
    <t>く：う</t>
    <phoneticPr fontId="1"/>
  </si>
  <si>
    <t>10-2-rev</t>
  </si>
  <si>
    <t>外部からのアクセスを禁止</t>
    <rPh sb="0" eb="2">
      <t>ガイブ</t>
    </rPh>
    <rPh sb="10" eb="12">
      <t>キンシ</t>
    </rPh>
    <phoneticPr fontId="1"/>
  </si>
  <si>
    <t>3: ア、エ</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</si>
</sst>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5">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20" fontId="0" fillId="0" borderId="0" xfId="0" applyNumberFormat="1" applyAlignment="1">
      <alignment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5"/>
  <sheetViews>
    <sheetView workbookViewId="0">
      <selection activeCell="H10" sqref="H10"/>
    </sheetView>
  </sheetViews>
  <sheetFormatPr defaultRowHeight="18.75"/>
  <cols>
    <col min="2" max="3" width="9" style="2"/>
  </cols>
  <sheetData>
    <row r="1" spans="1:6">
      <c r="A1" t="s">
        <v>11</v>
      </c>
      <c r="B1" s="2" t="s">
        <v>7</v>
      </c>
      <c r="C1" s="2" t="s">
        <v>8</v>
      </c>
      <c r="D1" t="s">
        <v>9</v>
      </c>
      <c r="E1" t="s">
        <v>5</v>
      </c>
      <c r="F1" t="s">
        <v>10</v>
      </c>
    </row>
    <row r="2" spans="1:6">
      <c r="A2">
        <v>1</v>
      </c>
      <c r="B2" s="2" t="s">
        <v>62</v>
      </c>
      <c r="C2" s="2" t="s">
        <v>63</v>
      </c>
      <c r="D2">
        <v>80</v>
      </c>
      <c r="E2">
        <v>100</v>
      </c>
    </row>
    <row r="3" spans="1:6">
      <c r="A3">
        <v>2</v>
      </c>
      <c r="B3" s="2" t="s">
        <v>62</v>
      </c>
      <c r="C3" s="2" t="s">
        <v>64</v>
      </c>
      <c r="D3">
        <v>65</v>
      </c>
      <c r="E3">
        <v>100</v>
      </c>
    </row>
    <row r="4" spans="1:6">
      <c r="A4">
        <v>3</v>
      </c>
      <c r="B4" s="2" t="s">
        <v>62</v>
      </c>
      <c r="C4" s="2" t="s">
        <v>170</v>
      </c>
      <c r="D4">
        <v>89</v>
      </c>
      <c r="E4">
        <v>100</v>
      </c>
    </row>
    <row r="5" spans="1:6">
      <c r="A5">
        <v>4</v>
      </c>
      <c r="B5" s="2" t="s">
        <v>62</v>
      </c>
      <c r="C5" s="2" t="s">
        <v>206</v>
      </c>
      <c r="D5">
        <v>95</v>
      </c>
      <c r="E5">
        <v>100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816D6-F648-412E-BB13-DAC6E6885DB8}">
  <sheetPr codeName="Sheet4"/>
  <dimension ref="A1:J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96.875" style="1" customWidth="1"/>
    <col min="3" max="3" width="9.75" customWidth="1"/>
  </cols>
  <sheetData>
    <row r="1" spans="1:10">
      <c r="A1" s="2" t="s">
        <v>0</v>
      </c>
      <c r="B1" s="1" t="s">
        <v>12</v>
      </c>
    </row>
    <row r="2" spans="1:10">
      <c r="A2" s="2" t="s">
        <v>2</v>
      </c>
      <c r="B2" s="3" t="s">
        <v>13</v>
      </c>
      <c r="D2">
        <f>SUM(D4:D1000)</f>
        <v>80</v>
      </c>
      <c r="E2">
        <f>SUM(E4:E1000)</f>
        <v>100</v>
      </c>
    </row>
    <row r="3" spans="1:10">
      <c r="A3" s="2" t="s">
        <v>1</v>
      </c>
      <c r="B3" s="1" t="s">
        <v>3</v>
      </c>
      <c r="C3" t="s">
        <v>6</v>
      </c>
      <c r="D3" t="s">
        <v>4</v>
      </c>
      <c r="E3" t="s">
        <v>5</v>
      </c>
    </row>
    <row r="4" spans="1:10">
      <c r="A4" s="2" t="s">
        <v>30</v>
      </c>
      <c r="B4" s="1" t="s">
        <v>31</v>
      </c>
      <c r="C4">
        <f>IF(B4&lt;&gt;"",LEN(B4),"")</f>
        <v>45</v>
      </c>
      <c r="D4">
        <v>8</v>
      </c>
      <c r="E4">
        <v>8</v>
      </c>
    </row>
    <row r="5" spans="1:10">
      <c r="A5" s="2" t="s">
        <v>32</v>
      </c>
      <c r="B5" s="1" t="s">
        <v>33</v>
      </c>
      <c r="C5">
        <f t="shared" ref="C5:C68" si="0">IF(B5&lt;&gt;"",LEN(B5),"")</f>
        <v>22</v>
      </c>
      <c r="D5">
        <v>8</v>
      </c>
      <c r="E5">
        <v>8</v>
      </c>
      <c r="G5" t="s">
        <v>14</v>
      </c>
      <c r="J5" t="s">
        <v>28</v>
      </c>
    </row>
    <row r="6" spans="1:10">
      <c r="A6" s="2" t="s">
        <v>34</v>
      </c>
      <c r="B6" s="1" t="s">
        <v>35</v>
      </c>
      <c r="C6">
        <f t="shared" si="0"/>
        <v>41</v>
      </c>
      <c r="D6">
        <v>4</v>
      </c>
      <c r="E6">
        <v>8</v>
      </c>
      <c r="G6" t="s">
        <v>15</v>
      </c>
      <c r="J6" t="s">
        <v>29</v>
      </c>
    </row>
    <row r="7" spans="1:10">
      <c r="A7" s="2" t="s">
        <v>36</v>
      </c>
      <c r="B7" s="1" t="s">
        <v>37</v>
      </c>
      <c r="C7">
        <f t="shared" si="0"/>
        <v>6</v>
      </c>
      <c r="D7">
        <v>4</v>
      </c>
      <c r="E7">
        <v>4</v>
      </c>
      <c r="G7" t="s">
        <v>16</v>
      </c>
      <c r="J7" t="s">
        <v>39</v>
      </c>
    </row>
    <row r="8" spans="1:10">
      <c r="A8" s="2" t="s">
        <v>38</v>
      </c>
      <c r="B8" s="1">
        <v>9</v>
      </c>
      <c r="C8">
        <f t="shared" si="0"/>
        <v>1</v>
      </c>
      <c r="D8">
        <v>3</v>
      </c>
      <c r="E8">
        <v>3</v>
      </c>
      <c r="G8" t="s">
        <v>17</v>
      </c>
      <c r="J8" t="s">
        <v>41</v>
      </c>
    </row>
    <row r="9" spans="1:10">
      <c r="A9" s="2" t="s">
        <v>40</v>
      </c>
      <c r="B9" s="1" t="s">
        <v>42</v>
      </c>
      <c r="C9">
        <f t="shared" si="0"/>
        <v>53</v>
      </c>
      <c r="D9">
        <v>5</v>
      </c>
      <c r="E9">
        <v>10</v>
      </c>
      <c r="G9" t="s">
        <v>18</v>
      </c>
      <c r="J9" t="s">
        <v>44</v>
      </c>
    </row>
    <row r="10" spans="1:10">
      <c r="A10" s="2" t="s">
        <v>43</v>
      </c>
      <c r="B10" s="1" t="s">
        <v>45</v>
      </c>
      <c r="C10">
        <f t="shared" si="0"/>
        <v>1</v>
      </c>
      <c r="D10">
        <v>3</v>
      </c>
      <c r="E10">
        <v>3</v>
      </c>
      <c r="G10" t="s">
        <v>19</v>
      </c>
    </row>
    <row r="11" spans="1:10">
      <c r="A11" s="2" t="s">
        <v>46</v>
      </c>
      <c r="B11" s="1" t="s">
        <v>47</v>
      </c>
      <c r="C11">
        <f t="shared" si="0"/>
        <v>3</v>
      </c>
      <c r="D11">
        <v>3</v>
      </c>
      <c r="E11">
        <v>3</v>
      </c>
      <c r="G11" t="s">
        <v>20</v>
      </c>
      <c r="J11" t="s">
        <v>51</v>
      </c>
    </row>
    <row r="12" spans="1:10">
      <c r="B12" s="1" t="s">
        <v>48</v>
      </c>
      <c r="C12">
        <f t="shared" si="0"/>
        <v>3</v>
      </c>
      <c r="D12">
        <v>3</v>
      </c>
      <c r="E12">
        <v>3</v>
      </c>
      <c r="G12" t="s">
        <v>21</v>
      </c>
    </row>
    <row r="13" spans="1:10">
      <c r="B13" s="1" t="s">
        <v>49</v>
      </c>
      <c r="C13">
        <f t="shared" si="0"/>
        <v>3</v>
      </c>
      <c r="D13">
        <v>3</v>
      </c>
      <c r="E13">
        <v>3</v>
      </c>
      <c r="G13" t="s">
        <v>22</v>
      </c>
    </row>
    <row r="14" spans="1:10">
      <c r="A14" s="2" t="s">
        <v>50</v>
      </c>
      <c r="B14" s="1">
        <v>9</v>
      </c>
      <c r="C14">
        <f t="shared" si="0"/>
        <v>1</v>
      </c>
      <c r="D14">
        <v>0</v>
      </c>
      <c r="E14">
        <v>6</v>
      </c>
      <c r="G14" t="s">
        <v>23</v>
      </c>
    </row>
    <row r="15" spans="1:10" ht="37.5">
      <c r="A15" s="2" t="s">
        <v>52</v>
      </c>
      <c r="B15" s="1" t="s">
        <v>53</v>
      </c>
      <c r="C15">
        <f t="shared" si="0"/>
        <v>70</v>
      </c>
      <c r="D15">
        <v>10</v>
      </c>
      <c r="E15">
        <v>10</v>
      </c>
      <c r="G15" t="s">
        <v>24</v>
      </c>
    </row>
    <row r="16" spans="1:10">
      <c r="A16" s="2" t="s">
        <v>54</v>
      </c>
      <c r="B16" s="1" t="s">
        <v>55</v>
      </c>
      <c r="C16">
        <f t="shared" si="0"/>
        <v>41</v>
      </c>
      <c r="D16">
        <v>5</v>
      </c>
      <c r="E16">
        <v>10</v>
      </c>
      <c r="G16" t="s">
        <v>25</v>
      </c>
    </row>
    <row r="17" spans="1:7">
      <c r="B17" s="1" t="s">
        <v>56</v>
      </c>
      <c r="C17">
        <f t="shared" si="0"/>
        <v>39</v>
      </c>
      <c r="G17" t="s">
        <v>26</v>
      </c>
    </row>
    <row r="18" spans="1:7">
      <c r="A18" s="2" t="s">
        <v>57</v>
      </c>
      <c r="B18" s="1">
        <f>3*8</f>
        <v>24</v>
      </c>
      <c r="C18">
        <f t="shared" si="0"/>
        <v>2</v>
      </c>
      <c r="D18">
        <v>3</v>
      </c>
      <c r="E18">
        <v>3</v>
      </c>
      <c r="G18" t="s">
        <v>27</v>
      </c>
    </row>
    <row r="19" spans="1:7">
      <c r="A19" s="2" t="s">
        <v>58</v>
      </c>
      <c r="B19" s="1" t="s">
        <v>59</v>
      </c>
      <c r="C19">
        <f t="shared" si="0"/>
        <v>42</v>
      </c>
      <c r="D19">
        <v>10</v>
      </c>
      <c r="E19">
        <v>10</v>
      </c>
    </row>
    <row r="20" spans="1:7">
      <c r="A20" s="2" t="s">
        <v>60</v>
      </c>
      <c r="B20" s="1" t="s">
        <v>61</v>
      </c>
      <c r="C20">
        <f t="shared" si="0"/>
        <v>23</v>
      </c>
      <c r="D20">
        <v>8</v>
      </c>
      <c r="E20">
        <v>8</v>
      </c>
    </row>
    <row r="21" spans="1:7">
      <c r="C21" t="str">
        <f t="shared" si="0"/>
        <v/>
      </c>
    </row>
    <row r="22" spans="1:7">
      <c r="C22" t="str">
        <f t="shared" si="0"/>
        <v/>
      </c>
    </row>
    <row r="23" spans="1:7">
      <c r="C23" t="str">
        <f t="shared" si="0"/>
        <v/>
      </c>
    </row>
    <row r="24" spans="1:7">
      <c r="C24" t="str">
        <f t="shared" si="0"/>
        <v/>
      </c>
    </row>
    <row r="25" spans="1:7">
      <c r="C25" t="str">
        <f t="shared" si="0"/>
        <v/>
      </c>
    </row>
    <row r="26" spans="1:7">
      <c r="C26" t="str">
        <f t="shared" si="0"/>
        <v/>
      </c>
    </row>
    <row r="27" spans="1:7">
      <c r="C27" t="str">
        <f t="shared" si="0"/>
        <v/>
      </c>
    </row>
    <row r="28" spans="1:7">
      <c r="C28" t="str">
        <f t="shared" si="0"/>
        <v/>
      </c>
    </row>
    <row r="29" spans="1:7">
      <c r="C29" t="str">
        <f t="shared" si="0"/>
        <v/>
      </c>
    </row>
    <row r="30" spans="1:7">
      <c r="C30" t="str">
        <f t="shared" si="0"/>
        <v/>
      </c>
    </row>
    <row r="31" spans="1:7">
      <c r="C31" t="str">
        <f t="shared" si="0"/>
        <v/>
      </c>
    </row>
    <row r="32" spans="1:7">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C1939-F856-4FC4-A357-8E5B776FC0DE}">
  <sheetPr codeName="Sheet5"/>
  <dimension ref="A1:Q167"/>
  <sheetViews>
    <sheetView zoomScale="85" zoomScaleNormal="85" workbookViewId="0">
      <pane xSplit="1" ySplit="3" topLeftCell="B4" activePane="bottomRight" state="frozen"/>
      <selection pane="topRight" activeCell="B1" sqref="B1"/>
      <selection pane="bottomLeft" activeCell="A4" sqref="A4"/>
      <selection pane="bottomRight" activeCell="D33" sqref="D33"/>
    </sheetView>
  </sheetViews>
  <sheetFormatPr defaultRowHeight="18.75"/>
  <cols>
    <col min="1" max="1" width="9" style="2"/>
    <col min="2" max="2" width="96.875" style="1" customWidth="1"/>
    <col min="3" max="3" width="9.75" customWidth="1"/>
  </cols>
  <sheetData>
    <row r="1" spans="1:17">
      <c r="A1" s="2" t="s">
        <v>0</v>
      </c>
      <c r="B1" s="1" t="s">
        <v>12</v>
      </c>
    </row>
    <row r="2" spans="1:17">
      <c r="A2" s="2" t="s">
        <v>2</v>
      </c>
      <c r="B2" s="3" t="s">
        <v>65</v>
      </c>
      <c r="D2">
        <f>SUM(D4:D1000)</f>
        <v>65</v>
      </c>
      <c r="E2">
        <f>SUM(E4:E1000)</f>
        <v>100</v>
      </c>
    </row>
    <row r="3" spans="1:17">
      <c r="A3" s="2" t="s">
        <v>1</v>
      </c>
      <c r="B3" s="1" t="s">
        <v>3</v>
      </c>
      <c r="C3" t="s">
        <v>6</v>
      </c>
      <c r="D3" t="s">
        <v>4</v>
      </c>
      <c r="E3" t="s">
        <v>5</v>
      </c>
    </row>
    <row r="4" spans="1:17">
      <c r="A4" s="2" t="s">
        <v>30</v>
      </c>
      <c r="B4" s="1" t="s">
        <v>85</v>
      </c>
      <c r="C4">
        <f>IF(B4&lt;&gt;"",LEN(B4),"")</f>
        <v>43</v>
      </c>
      <c r="D4">
        <v>10</v>
      </c>
      <c r="E4">
        <v>10</v>
      </c>
    </row>
    <row r="5" spans="1:17">
      <c r="A5" s="2" t="s">
        <v>32</v>
      </c>
      <c r="B5" s="1" t="s">
        <v>88</v>
      </c>
      <c r="C5">
        <f t="shared" ref="C5:C68" si="0">IF(B5&lt;&gt;"",LEN(B5),"")</f>
        <v>3</v>
      </c>
      <c r="D5">
        <v>2</v>
      </c>
      <c r="E5">
        <v>2</v>
      </c>
      <c r="H5" t="s">
        <v>66</v>
      </c>
      <c r="J5" t="s">
        <v>70</v>
      </c>
      <c r="N5" t="s">
        <v>74</v>
      </c>
      <c r="Q5" t="s">
        <v>78</v>
      </c>
    </row>
    <row r="6" spans="1:17">
      <c r="B6" s="1" t="s">
        <v>87</v>
      </c>
      <c r="C6">
        <f t="shared" si="0"/>
        <v>3</v>
      </c>
      <c r="D6">
        <v>2</v>
      </c>
      <c r="E6">
        <v>2</v>
      </c>
      <c r="H6" t="s">
        <v>67</v>
      </c>
      <c r="J6" t="s">
        <v>71</v>
      </c>
      <c r="N6" t="s">
        <v>75</v>
      </c>
      <c r="Q6" t="s">
        <v>79</v>
      </c>
    </row>
    <row r="7" spans="1:17">
      <c r="B7" s="1" t="s">
        <v>86</v>
      </c>
      <c r="C7">
        <f t="shared" si="0"/>
        <v>3</v>
      </c>
      <c r="D7">
        <v>0</v>
      </c>
      <c r="E7">
        <v>2</v>
      </c>
      <c r="H7" t="s">
        <v>68</v>
      </c>
      <c r="J7" t="s">
        <v>72</v>
      </c>
      <c r="N7" t="s">
        <v>76</v>
      </c>
      <c r="Q7" t="s">
        <v>80</v>
      </c>
    </row>
    <row r="8" spans="1:17" ht="37.5">
      <c r="A8" s="2" t="s">
        <v>34</v>
      </c>
      <c r="B8" s="1" t="s">
        <v>89</v>
      </c>
      <c r="C8">
        <f t="shared" si="0"/>
        <v>89</v>
      </c>
      <c r="D8">
        <v>5</v>
      </c>
      <c r="E8">
        <v>10</v>
      </c>
      <c r="H8" t="s">
        <v>69</v>
      </c>
      <c r="J8" t="s">
        <v>73</v>
      </c>
      <c r="L8" t="s">
        <v>77</v>
      </c>
      <c r="Q8" t="s">
        <v>81</v>
      </c>
    </row>
    <row r="9" spans="1:17">
      <c r="A9" s="2" t="s">
        <v>90</v>
      </c>
      <c r="B9" s="4" t="s">
        <v>95</v>
      </c>
      <c r="C9">
        <f t="shared" si="0"/>
        <v>6</v>
      </c>
      <c r="D9">
        <v>0</v>
      </c>
      <c r="E9">
        <v>5</v>
      </c>
      <c r="H9" t="s">
        <v>82</v>
      </c>
      <c r="J9" t="s">
        <v>91</v>
      </c>
      <c r="L9" t="s">
        <v>94</v>
      </c>
      <c r="N9" t="s">
        <v>99</v>
      </c>
    </row>
    <row r="10" spans="1:17">
      <c r="B10" s="4" t="s">
        <v>96</v>
      </c>
      <c r="C10">
        <f t="shared" si="0"/>
        <v>9</v>
      </c>
      <c r="D10">
        <v>0</v>
      </c>
      <c r="E10">
        <v>5</v>
      </c>
      <c r="H10" t="s">
        <v>83</v>
      </c>
      <c r="J10" t="s">
        <v>92</v>
      </c>
      <c r="L10" t="s">
        <v>101</v>
      </c>
    </row>
    <row r="11" spans="1:17">
      <c r="B11" s="4" t="s">
        <v>97</v>
      </c>
      <c r="C11">
        <f t="shared" si="0"/>
        <v>8</v>
      </c>
      <c r="D11">
        <v>0</v>
      </c>
      <c r="E11">
        <v>5</v>
      </c>
      <c r="H11" t="s">
        <v>84</v>
      </c>
      <c r="J11" t="s">
        <v>93</v>
      </c>
    </row>
    <row r="12" spans="1:17">
      <c r="B12" s="4" t="s">
        <v>98</v>
      </c>
      <c r="C12">
        <f t="shared" si="0"/>
        <v>6</v>
      </c>
      <c r="D12">
        <v>0</v>
      </c>
      <c r="E12">
        <v>5</v>
      </c>
    </row>
    <row r="13" spans="1:17">
      <c r="A13" s="2" t="s">
        <v>100</v>
      </c>
      <c r="B13" s="1" t="s">
        <v>104</v>
      </c>
      <c r="C13">
        <f t="shared" si="0"/>
        <v>6</v>
      </c>
      <c r="D13">
        <v>0</v>
      </c>
      <c r="E13">
        <v>2</v>
      </c>
      <c r="H13" t="s">
        <v>112</v>
      </c>
    </row>
    <row r="14" spans="1:17">
      <c r="B14" s="1" t="s">
        <v>103</v>
      </c>
      <c r="C14">
        <f t="shared" si="0"/>
        <v>4</v>
      </c>
      <c r="D14">
        <v>0</v>
      </c>
      <c r="E14">
        <v>2</v>
      </c>
      <c r="H14" t="s">
        <v>113</v>
      </c>
    </row>
    <row r="15" spans="1:17">
      <c r="B15" s="1" t="s">
        <v>102</v>
      </c>
      <c r="C15">
        <f t="shared" si="0"/>
        <v>13</v>
      </c>
      <c r="D15">
        <v>2</v>
      </c>
      <c r="E15">
        <v>2</v>
      </c>
    </row>
    <row r="16" spans="1:17">
      <c r="A16" s="2" t="s">
        <v>105</v>
      </c>
      <c r="B16" s="1" t="s">
        <v>106</v>
      </c>
      <c r="C16">
        <f t="shared" si="0"/>
        <v>6</v>
      </c>
      <c r="D16">
        <v>2</v>
      </c>
      <c r="E16">
        <v>2</v>
      </c>
      <c r="H16" t="s">
        <v>115</v>
      </c>
    </row>
    <row r="17" spans="1:8">
      <c r="B17" s="1" t="s">
        <v>107</v>
      </c>
      <c r="C17">
        <f t="shared" si="0"/>
        <v>10</v>
      </c>
      <c r="D17">
        <v>2</v>
      </c>
      <c r="E17">
        <v>2</v>
      </c>
      <c r="H17" t="s">
        <v>116</v>
      </c>
    </row>
    <row r="18" spans="1:8">
      <c r="A18" s="2" t="s">
        <v>108</v>
      </c>
      <c r="B18" s="1" t="s">
        <v>109</v>
      </c>
      <c r="C18">
        <f t="shared" si="0"/>
        <v>3</v>
      </c>
      <c r="D18">
        <v>2</v>
      </c>
      <c r="E18">
        <v>2</v>
      </c>
    </row>
    <row r="19" spans="1:8">
      <c r="B19" s="1" t="s">
        <v>110</v>
      </c>
      <c r="C19">
        <f t="shared" si="0"/>
        <v>3</v>
      </c>
      <c r="D19">
        <v>2</v>
      </c>
      <c r="E19">
        <v>2</v>
      </c>
    </row>
    <row r="20" spans="1:8">
      <c r="B20" s="1" t="s">
        <v>111</v>
      </c>
      <c r="C20">
        <f t="shared" si="0"/>
        <v>3</v>
      </c>
      <c r="D20">
        <v>2</v>
      </c>
      <c r="E20">
        <v>2</v>
      </c>
    </row>
    <row r="21" spans="1:8">
      <c r="A21" s="2" t="s">
        <v>43</v>
      </c>
      <c r="B21" s="1" t="s">
        <v>114</v>
      </c>
      <c r="C21">
        <f t="shared" si="0"/>
        <v>3</v>
      </c>
      <c r="D21">
        <v>6</v>
      </c>
      <c r="E21">
        <v>6</v>
      </c>
    </row>
    <row r="22" spans="1:8">
      <c r="A22" s="2" t="s">
        <v>46</v>
      </c>
      <c r="B22" s="1" t="s">
        <v>117</v>
      </c>
      <c r="C22">
        <f t="shared" si="0"/>
        <v>33</v>
      </c>
      <c r="D22">
        <v>4</v>
      </c>
      <c r="E22">
        <v>8</v>
      </c>
    </row>
    <row r="23" spans="1:8">
      <c r="A23" s="2" t="s">
        <v>118</v>
      </c>
      <c r="B23" s="1" t="s">
        <v>119</v>
      </c>
      <c r="C23">
        <f t="shared" si="0"/>
        <v>3</v>
      </c>
      <c r="D23">
        <v>3</v>
      </c>
      <c r="E23">
        <v>3</v>
      </c>
    </row>
    <row r="24" spans="1:8">
      <c r="B24" s="1" t="s">
        <v>120</v>
      </c>
      <c r="C24">
        <f t="shared" si="0"/>
        <v>3</v>
      </c>
      <c r="D24">
        <v>3</v>
      </c>
      <c r="E24">
        <v>3</v>
      </c>
    </row>
    <row r="25" spans="1:8">
      <c r="A25" s="2" t="s">
        <v>121</v>
      </c>
      <c r="B25" s="1" t="s">
        <v>122</v>
      </c>
      <c r="C25">
        <f t="shared" si="0"/>
        <v>6</v>
      </c>
      <c r="D25">
        <v>3</v>
      </c>
      <c r="E25">
        <v>3</v>
      </c>
    </row>
    <row r="26" spans="1:8">
      <c r="B26" s="1" t="s">
        <v>123</v>
      </c>
      <c r="C26">
        <f t="shared" si="0"/>
        <v>5</v>
      </c>
      <c r="D26">
        <v>3</v>
      </c>
      <c r="E26">
        <v>3</v>
      </c>
    </row>
    <row r="27" spans="1:8">
      <c r="A27" s="2" t="s">
        <v>124</v>
      </c>
      <c r="B27" s="1" t="s">
        <v>125</v>
      </c>
      <c r="C27">
        <f t="shared" si="0"/>
        <v>3</v>
      </c>
      <c r="D27">
        <v>2</v>
      </c>
      <c r="E27">
        <v>2</v>
      </c>
    </row>
    <row r="28" spans="1:8">
      <c r="B28" s="1" t="s">
        <v>126</v>
      </c>
      <c r="C28">
        <f t="shared" si="0"/>
        <v>3</v>
      </c>
      <c r="D28">
        <v>2</v>
      </c>
      <c r="E28">
        <v>2</v>
      </c>
    </row>
    <row r="29" spans="1:8">
      <c r="B29" s="1" t="s">
        <v>127</v>
      </c>
      <c r="C29">
        <f t="shared" si="0"/>
        <v>3</v>
      </c>
      <c r="D29">
        <v>2</v>
      </c>
      <c r="E29">
        <v>2</v>
      </c>
    </row>
    <row r="30" spans="1:8">
      <c r="B30" s="1" t="s">
        <v>128</v>
      </c>
      <c r="C30">
        <f t="shared" si="0"/>
        <v>3</v>
      </c>
      <c r="D30">
        <v>2</v>
      </c>
      <c r="E30">
        <v>2</v>
      </c>
    </row>
    <row r="31" spans="1:8">
      <c r="B31" s="1" t="s">
        <v>129</v>
      </c>
      <c r="C31">
        <f t="shared" si="0"/>
        <v>3</v>
      </c>
      <c r="D31">
        <v>2</v>
      </c>
      <c r="E31">
        <v>2</v>
      </c>
    </row>
    <row r="32" spans="1:8">
      <c r="B32" s="1" t="s">
        <v>130</v>
      </c>
      <c r="C32">
        <f t="shared" si="0"/>
        <v>3</v>
      </c>
      <c r="D32">
        <v>2</v>
      </c>
      <c r="E32">
        <v>2</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CBEBE-0ABB-4F1C-8A78-6AE25E488524}">
  <sheetPr codeName="Sheet6"/>
  <dimension ref="A1:N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96.875" style="1" customWidth="1"/>
    <col min="3" max="3" width="9.75" customWidth="1"/>
  </cols>
  <sheetData>
    <row r="1" spans="1:14">
      <c r="A1" s="2" t="s">
        <v>0</v>
      </c>
      <c r="B1" s="1" t="s">
        <v>12</v>
      </c>
    </row>
    <row r="2" spans="1:14">
      <c r="A2" s="2" t="s">
        <v>2</v>
      </c>
      <c r="B2" s="3" t="s">
        <v>131</v>
      </c>
      <c r="D2">
        <f>SUM(D4:D1000)</f>
        <v>89</v>
      </c>
      <c r="E2">
        <f>SUM(E4:E1000)</f>
        <v>100</v>
      </c>
    </row>
    <row r="3" spans="1:14">
      <c r="A3" s="2" t="s">
        <v>1</v>
      </c>
      <c r="B3" s="1" t="s">
        <v>3</v>
      </c>
      <c r="C3" t="s">
        <v>6</v>
      </c>
      <c r="D3" t="s">
        <v>4</v>
      </c>
      <c r="E3" t="s">
        <v>5</v>
      </c>
    </row>
    <row r="4" spans="1:14">
      <c r="A4" s="2" t="s">
        <v>30</v>
      </c>
      <c r="B4" s="1" t="s">
        <v>148</v>
      </c>
      <c r="C4">
        <f>IF(B4&lt;&gt;"",LEN(B4),"")</f>
        <v>43</v>
      </c>
      <c r="D4">
        <v>8</v>
      </c>
      <c r="E4">
        <v>8</v>
      </c>
    </row>
    <row r="5" spans="1:14">
      <c r="A5" s="2" t="s">
        <v>32</v>
      </c>
      <c r="B5" s="1" t="s">
        <v>149</v>
      </c>
      <c r="C5">
        <f t="shared" ref="C5:C68" si="0">IF(B5&lt;&gt;"",LEN(B5),"")</f>
        <v>27</v>
      </c>
      <c r="D5">
        <v>8</v>
      </c>
      <c r="E5">
        <v>8</v>
      </c>
      <c r="G5" t="s">
        <v>132</v>
      </c>
      <c r="J5" t="s">
        <v>140</v>
      </c>
      <c r="N5" t="s">
        <v>147</v>
      </c>
    </row>
    <row r="6" spans="1:14">
      <c r="A6" s="2" t="s">
        <v>34</v>
      </c>
      <c r="B6" s="1" t="s">
        <v>150</v>
      </c>
      <c r="C6">
        <f t="shared" si="0"/>
        <v>43</v>
      </c>
      <c r="D6">
        <v>8</v>
      </c>
      <c r="E6">
        <v>8</v>
      </c>
      <c r="G6" t="s">
        <v>133</v>
      </c>
      <c r="J6" t="s">
        <v>141</v>
      </c>
      <c r="N6" t="s">
        <v>156</v>
      </c>
    </row>
    <row r="7" spans="1:14">
      <c r="A7" s="2" t="s">
        <v>36</v>
      </c>
      <c r="B7" s="1" t="s">
        <v>151</v>
      </c>
      <c r="C7">
        <f t="shared" si="0"/>
        <v>8</v>
      </c>
      <c r="D7">
        <v>4</v>
      </c>
      <c r="E7">
        <v>4</v>
      </c>
      <c r="G7" t="s">
        <v>134</v>
      </c>
      <c r="J7" t="s">
        <v>142</v>
      </c>
      <c r="N7" t="s">
        <v>157</v>
      </c>
    </row>
    <row r="8" spans="1:14">
      <c r="A8" s="2" t="s">
        <v>38</v>
      </c>
      <c r="B8" s="1" t="s">
        <v>152</v>
      </c>
      <c r="C8">
        <f t="shared" si="0"/>
        <v>3</v>
      </c>
      <c r="D8">
        <v>3</v>
      </c>
      <c r="E8">
        <v>3</v>
      </c>
      <c r="G8" t="s">
        <v>135</v>
      </c>
      <c r="J8" t="s">
        <v>143</v>
      </c>
    </row>
    <row r="9" spans="1:14">
      <c r="A9" s="2" t="s">
        <v>153</v>
      </c>
      <c r="B9" s="1" t="s">
        <v>154</v>
      </c>
      <c r="C9">
        <f t="shared" si="0"/>
        <v>50</v>
      </c>
      <c r="D9">
        <v>10</v>
      </c>
      <c r="E9">
        <v>10</v>
      </c>
      <c r="G9" t="s">
        <v>136</v>
      </c>
      <c r="J9" t="s">
        <v>144</v>
      </c>
    </row>
    <row r="10" spans="1:14">
      <c r="A10" s="2" t="s">
        <v>43</v>
      </c>
      <c r="B10" s="1" t="s">
        <v>155</v>
      </c>
      <c r="C10">
        <f t="shared" si="0"/>
        <v>4</v>
      </c>
      <c r="D10">
        <v>3</v>
      </c>
      <c r="E10">
        <v>3</v>
      </c>
      <c r="G10" t="s">
        <v>137</v>
      </c>
      <c r="J10" t="s">
        <v>145</v>
      </c>
    </row>
    <row r="11" spans="1:14">
      <c r="A11" s="2" t="s">
        <v>46</v>
      </c>
      <c r="B11" s="1" t="s">
        <v>47</v>
      </c>
      <c r="C11">
        <f t="shared" si="0"/>
        <v>3</v>
      </c>
      <c r="D11">
        <v>3</v>
      </c>
      <c r="E11">
        <v>3</v>
      </c>
      <c r="G11" t="s">
        <v>138</v>
      </c>
      <c r="J11" t="s">
        <v>146</v>
      </c>
    </row>
    <row r="12" spans="1:14">
      <c r="B12" s="1" t="s">
        <v>48</v>
      </c>
      <c r="C12">
        <f t="shared" si="0"/>
        <v>3</v>
      </c>
      <c r="D12">
        <v>3</v>
      </c>
      <c r="E12">
        <v>3</v>
      </c>
      <c r="G12" t="s">
        <v>139</v>
      </c>
    </row>
    <row r="13" spans="1:14">
      <c r="B13" s="1" t="s">
        <v>49</v>
      </c>
      <c r="C13">
        <f t="shared" si="0"/>
        <v>3</v>
      </c>
      <c r="D13">
        <v>3</v>
      </c>
      <c r="E13">
        <v>3</v>
      </c>
    </row>
    <row r="14" spans="1:14">
      <c r="A14" s="2" t="s">
        <v>50</v>
      </c>
      <c r="B14" s="1">
        <v>6</v>
      </c>
      <c r="C14">
        <f t="shared" si="0"/>
        <v>1</v>
      </c>
      <c r="D14">
        <v>0</v>
      </c>
      <c r="E14">
        <v>6</v>
      </c>
      <c r="G14" t="s">
        <v>162</v>
      </c>
    </row>
    <row r="15" spans="1:14" ht="37.5">
      <c r="A15" s="2" t="s">
        <v>52</v>
      </c>
      <c r="B15" s="1" t="s">
        <v>158</v>
      </c>
      <c r="C15">
        <f t="shared" si="0"/>
        <v>70</v>
      </c>
      <c r="D15">
        <v>10</v>
      </c>
      <c r="E15">
        <v>10</v>
      </c>
      <c r="G15" t="s">
        <v>163</v>
      </c>
    </row>
    <row r="16" spans="1:14">
      <c r="A16" s="2" t="s">
        <v>159</v>
      </c>
      <c r="B16" s="1" t="s">
        <v>160</v>
      </c>
      <c r="C16">
        <f t="shared" si="0"/>
        <v>38</v>
      </c>
      <c r="D16">
        <v>10</v>
      </c>
      <c r="E16">
        <v>10</v>
      </c>
      <c r="G16">
        <v>8</v>
      </c>
    </row>
    <row r="17" spans="1:7">
      <c r="A17" s="2" t="s">
        <v>161</v>
      </c>
      <c r="B17" s="1">
        <f>3*8</f>
        <v>24</v>
      </c>
      <c r="C17">
        <f t="shared" si="0"/>
        <v>2</v>
      </c>
      <c r="D17">
        <v>3</v>
      </c>
      <c r="E17">
        <v>3</v>
      </c>
    </row>
    <row r="18" spans="1:7">
      <c r="A18" s="2" t="s">
        <v>164</v>
      </c>
      <c r="B18" s="1" t="s">
        <v>165</v>
      </c>
      <c r="C18">
        <f t="shared" si="0"/>
        <v>40</v>
      </c>
      <c r="D18">
        <v>5</v>
      </c>
      <c r="E18">
        <v>10</v>
      </c>
      <c r="G18" t="s">
        <v>167</v>
      </c>
    </row>
    <row r="19" spans="1:7">
      <c r="A19" s="2" t="s">
        <v>166</v>
      </c>
      <c r="B19" s="1" t="s">
        <v>169</v>
      </c>
      <c r="C19">
        <f t="shared" si="0"/>
        <v>24</v>
      </c>
      <c r="D19">
        <v>8</v>
      </c>
      <c r="E19">
        <v>8</v>
      </c>
      <c r="G19" t="s">
        <v>168</v>
      </c>
    </row>
    <row r="20" spans="1:7">
      <c r="C20" t="str">
        <f t="shared" si="0"/>
        <v/>
      </c>
    </row>
    <row r="21" spans="1:7">
      <c r="C21" t="str">
        <f t="shared" si="0"/>
        <v/>
      </c>
    </row>
    <row r="22" spans="1:7">
      <c r="C22" t="str">
        <f t="shared" si="0"/>
        <v/>
      </c>
    </row>
    <row r="23" spans="1:7">
      <c r="B23" s="1" t="s">
        <v>171</v>
      </c>
      <c r="C23">
        <f t="shared" si="0"/>
        <v>18</v>
      </c>
    </row>
    <row r="24" spans="1:7">
      <c r="B24" s="1" t="s">
        <v>172</v>
      </c>
      <c r="C24">
        <f t="shared" si="0"/>
        <v>20</v>
      </c>
    </row>
    <row r="25" spans="1:7">
      <c r="C25" t="str">
        <f t="shared" si="0"/>
        <v/>
      </c>
    </row>
    <row r="26" spans="1:7">
      <c r="C26" t="str">
        <f t="shared" si="0"/>
        <v/>
      </c>
    </row>
    <row r="27" spans="1:7">
      <c r="C27" t="str">
        <f t="shared" si="0"/>
        <v/>
      </c>
    </row>
    <row r="28" spans="1:7">
      <c r="C28" t="str">
        <f t="shared" si="0"/>
        <v/>
      </c>
    </row>
    <row r="29" spans="1:7">
      <c r="C29" t="str">
        <f t="shared" si="0"/>
        <v/>
      </c>
    </row>
    <row r="30" spans="1:7">
      <c r="C30" t="str">
        <f t="shared" si="0"/>
        <v/>
      </c>
    </row>
    <row r="31" spans="1:7">
      <c r="C31" t="str">
        <f t="shared" si="0"/>
        <v/>
      </c>
    </row>
    <row r="32" spans="1:7">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81D412-3D38-491D-B9AD-E4AA134BCC43}">
  <sheetPr codeName="Sheet7"/>
  <dimension ref="A1:M167"/>
  <sheetViews>
    <sheetView tabSelected="1" zoomScale="85" zoomScaleNormal="85" workbookViewId="0">
      <pane xSplit="1" ySplit="3" topLeftCell="B22" activePane="bottomRight" state="frozen"/>
      <selection pane="topRight" activeCell="B1" sqref="B1"/>
      <selection pane="bottomLeft" activeCell="A4" sqref="A4"/>
      <selection pane="bottomRight" activeCell="M26" sqref="M26"/>
    </sheetView>
  </sheetViews>
  <sheetFormatPr defaultRowHeight="18.75"/>
  <cols>
    <col min="1" max="1" width="9" style="2"/>
    <col min="2" max="2" width="96.875" style="1" customWidth="1"/>
    <col min="3" max="3" width="9.75" customWidth="1"/>
  </cols>
  <sheetData>
    <row r="1" spans="1:13">
      <c r="A1" s="2" t="s">
        <v>0</v>
      </c>
      <c r="B1" s="1" t="s">
        <v>12</v>
      </c>
    </row>
    <row r="2" spans="1:13">
      <c r="A2" s="2" t="s">
        <v>2</v>
      </c>
      <c r="B2" s="3" t="s">
        <v>173</v>
      </c>
      <c r="D2">
        <f>SUM(D4:D1000)</f>
        <v>95</v>
      </c>
      <c r="E2">
        <f>SUM(E4:E1000)</f>
        <v>100</v>
      </c>
    </row>
    <row r="3" spans="1:13">
      <c r="A3" s="2" t="s">
        <v>1</v>
      </c>
      <c r="B3" s="1" t="s">
        <v>3</v>
      </c>
      <c r="C3" t="s">
        <v>6</v>
      </c>
      <c r="D3" t="s">
        <v>4</v>
      </c>
      <c r="E3" t="s">
        <v>5</v>
      </c>
    </row>
    <row r="4" spans="1:13" ht="37.5">
      <c r="A4" s="2" t="s">
        <v>30</v>
      </c>
      <c r="B4" s="1" t="s">
        <v>185</v>
      </c>
      <c r="C4">
        <f>IF(B4&lt;&gt;"",LEN(B4),"")</f>
        <v>57</v>
      </c>
      <c r="D4">
        <v>10</v>
      </c>
      <c r="E4">
        <v>10</v>
      </c>
    </row>
    <row r="5" spans="1:13">
      <c r="A5" s="2" t="s">
        <v>32</v>
      </c>
      <c r="B5" s="1" t="s">
        <v>88</v>
      </c>
      <c r="C5">
        <f t="shared" ref="C5:C68" si="0">IF(B5&lt;&gt;"",LEN(B5),"")</f>
        <v>3</v>
      </c>
      <c r="D5">
        <v>2</v>
      </c>
      <c r="E5">
        <v>2</v>
      </c>
      <c r="H5" t="s">
        <v>66</v>
      </c>
      <c r="K5" t="s">
        <v>81</v>
      </c>
      <c r="M5" t="s">
        <v>72</v>
      </c>
    </row>
    <row r="6" spans="1:13">
      <c r="B6" s="1" t="s">
        <v>87</v>
      </c>
      <c r="C6">
        <f t="shared" si="0"/>
        <v>3</v>
      </c>
      <c r="D6">
        <v>2</v>
      </c>
      <c r="E6">
        <v>2</v>
      </c>
      <c r="H6" t="s">
        <v>174</v>
      </c>
      <c r="K6" t="s">
        <v>188</v>
      </c>
      <c r="M6" t="s">
        <v>81</v>
      </c>
    </row>
    <row r="7" spans="1:13">
      <c r="B7" s="1" t="s">
        <v>186</v>
      </c>
      <c r="C7">
        <f t="shared" si="0"/>
        <v>3</v>
      </c>
      <c r="D7">
        <v>2</v>
      </c>
      <c r="E7">
        <v>2</v>
      </c>
      <c r="H7" t="s">
        <v>175</v>
      </c>
      <c r="K7" t="s">
        <v>189</v>
      </c>
      <c r="M7" t="s">
        <v>200</v>
      </c>
    </row>
    <row r="8" spans="1:13" ht="37.5">
      <c r="A8" s="2" t="s">
        <v>34</v>
      </c>
      <c r="B8" s="1" t="s">
        <v>187</v>
      </c>
      <c r="C8">
        <f t="shared" si="0"/>
        <v>84</v>
      </c>
      <c r="D8">
        <v>10</v>
      </c>
      <c r="E8">
        <v>10</v>
      </c>
      <c r="H8" t="s">
        <v>176</v>
      </c>
      <c r="K8" t="s">
        <v>190</v>
      </c>
      <c r="M8" t="s">
        <v>201</v>
      </c>
    </row>
    <row r="9" spans="1:13">
      <c r="A9" s="2" t="s">
        <v>90</v>
      </c>
      <c r="B9" s="1" t="s">
        <v>192</v>
      </c>
      <c r="C9">
        <f t="shared" si="0"/>
        <v>4</v>
      </c>
      <c r="D9">
        <v>5</v>
      </c>
      <c r="E9">
        <v>5</v>
      </c>
      <c r="H9" t="s">
        <v>177</v>
      </c>
      <c r="K9" t="s">
        <v>191</v>
      </c>
      <c r="M9" t="s">
        <v>202</v>
      </c>
    </row>
    <row r="10" spans="1:13">
      <c r="B10" s="1" t="s">
        <v>193</v>
      </c>
      <c r="C10">
        <f t="shared" si="0"/>
        <v>4</v>
      </c>
      <c r="D10">
        <v>5</v>
      </c>
      <c r="E10">
        <v>5</v>
      </c>
      <c r="H10" t="s">
        <v>178</v>
      </c>
    </row>
    <row r="11" spans="1:13">
      <c r="B11" s="1" t="s">
        <v>194</v>
      </c>
      <c r="C11">
        <f t="shared" si="0"/>
        <v>8</v>
      </c>
      <c r="D11">
        <v>0</v>
      </c>
      <c r="E11">
        <v>5</v>
      </c>
      <c r="H11" t="s">
        <v>179</v>
      </c>
    </row>
    <row r="12" spans="1:13">
      <c r="B12" s="1" t="s">
        <v>195</v>
      </c>
      <c r="C12">
        <f t="shared" si="0"/>
        <v>8</v>
      </c>
      <c r="D12">
        <v>5</v>
      </c>
      <c r="E12">
        <v>5</v>
      </c>
      <c r="H12" t="s">
        <v>180</v>
      </c>
    </row>
    <row r="13" spans="1:13">
      <c r="A13" s="2" t="s">
        <v>100</v>
      </c>
      <c r="B13" s="1" t="s">
        <v>102</v>
      </c>
      <c r="C13">
        <f t="shared" si="0"/>
        <v>13</v>
      </c>
      <c r="D13">
        <v>2</v>
      </c>
      <c r="E13">
        <v>2</v>
      </c>
      <c r="H13" t="s">
        <v>181</v>
      </c>
    </row>
    <row r="14" spans="1:13">
      <c r="B14" s="1" t="s">
        <v>197</v>
      </c>
      <c r="C14">
        <f t="shared" si="0"/>
        <v>8</v>
      </c>
      <c r="D14">
        <v>2</v>
      </c>
      <c r="E14">
        <v>2</v>
      </c>
      <c r="H14" t="s">
        <v>182</v>
      </c>
    </row>
    <row r="15" spans="1:13">
      <c r="B15" s="1" t="s">
        <v>196</v>
      </c>
      <c r="C15">
        <f t="shared" si="0"/>
        <v>10</v>
      </c>
      <c r="D15">
        <v>2</v>
      </c>
      <c r="E15">
        <v>2</v>
      </c>
      <c r="H15" t="s">
        <v>183</v>
      </c>
    </row>
    <row r="16" spans="1:13">
      <c r="A16" s="2" t="s">
        <v>105</v>
      </c>
      <c r="B16" s="1" t="s">
        <v>198</v>
      </c>
      <c r="C16">
        <f t="shared" si="0"/>
        <v>7</v>
      </c>
      <c r="D16">
        <v>2</v>
      </c>
      <c r="E16">
        <v>2</v>
      </c>
      <c r="H16" t="s">
        <v>184</v>
      </c>
    </row>
    <row r="17" spans="1:5">
      <c r="B17" s="1" t="s">
        <v>199</v>
      </c>
      <c r="C17">
        <f t="shared" si="0"/>
        <v>11</v>
      </c>
      <c r="D17">
        <v>2</v>
      </c>
      <c r="E17">
        <v>2</v>
      </c>
    </row>
    <row r="18" spans="1:5">
      <c r="A18" s="2" t="s">
        <v>108</v>
      </c>
      <c r="B18" s="1" t="s">
        <v>109</v>
      </c>
      <c r="C18">
        <f t="shared" si="0"/>
        <v>3</v>
      </c>
      <c r="D18">
        <v>2</v>
      </c>
      <c r="E18">
        <v>2</v>
      </c>
    </row>
    <row r="19" spans="1:5">
      <c r="B19" s="1" t="s">
        <v>110</v>
      </c>
      <c r="C19">
        <f t="shared" si="0"/>
        <v>3</v>
      </c>
      <c r="D19">
        <v>2</v>
      </c>
      <c r="E19">
        <v>2</v>
      </c>
    </row>
    <row r="20" spans="1:5">
      <c r="B20" s="1" t="s">
        <v>111</v>
      </c>
      <c r="C20">
        <f t="shared" si="0"/>
        <v>3</v>
      </c>
      <c r="D20">
        <v>2</v>
      </c>
      <c r="E20">
        <v>2</v>
      </c>
    </row>
    <row r="21" spans="1:5">
      <c r="A21" s="2" t="s">
        <v>43</v>
      </c>
      <c r="B21" s="1" t="s">
        <v>114</v>
      </c>
      <c r="C21">
        <f t="shared" si="0"/>
        <v>3</v>
      </c>
      <c r="D21">
        <v>6</v>
      </c>
      <c r="E21">
        <v>6</v>
      </c>
    </row>
    <row r="22" spans="1:5">
      <c r="A22" s="2" t="s">
        <v>46</v>
      </c>
      <c r="B22" s="1" t="s">
        <v>203</v>
      </c>
      <c r="C22">
        <f t="shared" si="0"/>
        <v>42</v>
      </c>
      <c r="D22">
        <v>8</v>
      </c>
      <c r="E22">
        <v>8</v>
      </c>
    </row>
    <row r="23" spans="1:5">
      <c r="A23" s="2" t="s">
        <v>118</v>
      </c>
      <c r="B23" s="1" t="s">
        <v>204</v>
      </c>
      <c r="C23">
        <f t="shared" si="0"/>
        <v>3</v>
      </c>
      <c r="D23">
        <v>3</v>
      </c>
      <c r="E23">
        <v>3</v>
      </c>
    </row>
    <row r="24" spans="1:5">
      <c r="B24" s="1" t="s">
        <v>205</v>
      </c>
      <c r="C24">
        <f t="shared" si="0"/>
        <v>3</v>
      </c>
      <c r="D24">
        <v>3</v>
      </c>
      <c r="E24">
        <v>3</v>
      </c>
    </row>
    <row r="25" spans="1:5">
      <c r="A25" s="2" t="s">
        <v>121</v>
      </c>
      <c r="B25" s="1" t="s">
        <v>122</v>
      </c>
      <c r="C25">
        <f t="shared" si="0"/>
        <v>6</v>
      </c>
      <c r="D25">
        <v>3</v>
      </c>
      <c r="E25">
        <v>3</v>
      </c>
    </row>
    <row r="26" spans="1:5">
      <c r="B26" s="1" t="s">
        <v>123</v>
      </c>
      <c r="C26">
        <f t="shared" si="0"/>
        <v>5</v>
      </c>
      <c r="D26">
        <v>3</v>
      </c>
      <c r="E26">
        <v>3</v>
      </c>
    </row>
    <row r="27" spans="1:5">
      <c r="A27" s="2" t="s">
        <v>124</v>
      </c>
      <c r="B27" s="1" t="s">
        <v>125</v>
      </c>
      <c r="C27">
        <f t="shared" si="0"/>
        <v>3</v>
      </c>
      <c r="D27">
        <v>2</v>
      </c>
      <c r="E27">
        <v>2</v>
      </c>
    </row>
    <row r="28" spans="1:5">
      <c r="B28" s="1" t="s">
        <v>126</v>
      </c>
      <c r="C28">
        <f t="shared" si="0"/>
        <v>3</v>
      </c>
      <c r="D28">
        <v>2</v>
      </c>
      <c r="E28">
        <v>2</v>
      </c>
    </row>
    <row r="29" spans="1:5">
      <c r="B29" s="1" t="s">
        <v>127</v>
      </c>
      <c r="C29">
        <f t="shared" si="0"/>
        <v>3</v>
      </c>
      <c r="D29">
        <v>2</v>
      </c>
      <c r="E29">
        <v>2</v>
      </c>
    </row>
    <row r="30" spans="1:5">
      <c r="B30" s="1" t="s">
        <v>128</v>
      </c>
      <c r="C30">
        <f t="shared" si="0"/>
        <v>3</v>
      </c>
      <c r="D30">
        <v>2</v>
      </c>
      <c r="E30">
        <v>2</v>
      </c>
    </row>
    <row r="31" spans="1:5">
      <c r="B31" s="1" t="s">
        <v>129</v>
      </c>
      <c r="C31">
        <f t="shared" si="0"/>
        <v>3</v>
      </c>
      <c r="D31">
        <v>2</v>
      </c>
      <c r="E31">
        <v>2</v>
      </c>
    </row>
    <row r="32" spans="1:5">
      <c r="B32" s="1" t="s">
        <v>130</v>
      </c>
      <c r="C32">
        <f t="shared" si="0"/>
        <v>3</v>
      </c>
      <c r="D32">
        <v>2</v>
      </c>
      <c r="E32">
        <v>2</v>
      </c>
    </row>
    <row r="33" spans="1:3">
      <c r="C33" t="str">
        <f t="shared" si="0"/>
        <v/>
      </c>
    </row>
    <row r="34" spans="1:3">
      <c r="C34" t="str">
        <f t="shared" si="0"/>
        <v/>
      </c>
    </row>
    <row r="35" spans="1:3">
      <c r="A35" s="2" t="s">
        <v>90</v>
      </c>
      <c r="B35" s="1" t="s">
        <v>208</v>
      </c>
      <c r="C35">
        <f t="shared" si="0"/>
        <v>6</v>
      </c>
    </row>
    <row r="36" spans="1:3">
      <c r="B36" s="1" t="s">
        <v>207</v>
      </c>
      <c r="C36">
        <f t="shared" si="0"/>
        <v>12</v>
      </c>
    </row>
    <row r="37" spans="1:3">
      <c r="C37" t="str">
        <f t="shared" si="0"/>
        <v/>
      </c>
    </row>
    <row r="38" spans="1:3">
      <c r="C38" t="str">
        <f t="shared" si="0"/>
        <v/>
      </c>
    </row>
    <row r="39" spans="1:3">
      <c r="C39" t="str">
        <f t="shared" si="0"/>
        <v/>
      </c>
    </row>
    <row r="40" spans="1:3">
      <c r="C40" t="str">
        <f t="shared" si="0"/>
        <v/>
      </c>
    </row>
    <row r="41" spans="1:3">
      <c r="C41" t="str">
        <f t="shared" si="0"/>
        <v/>
      </c>
    </row>
    <row r="42" spans="1:3">
      <c r="C42" t="str">
        <f t="shared" si="0"/>
        <v/>
      </c>
    </row>
    <row r="43" spans="1:3">
      <c r="C43" t="str">
        <f t="shared" si="0"/>
        <v/>
      </c>
    </row>
    <row r="44" spans="1:3">
      <c r="C44" t="str">
        <f t="shared" si="0"/>
        <v/>
      </c>
    </row>
    <row r="45" spans="1:3">
      <c r="C45" t="str">
        <f t="shared" si="0"/>
        <v/>
      </c>
    </row>
    <row r="46" spans="1:3">
      <c r="C46" t="str">
        <f t="shared" si="0"/>
        <v/>
      </c>
    </row>
    <row r="47" spans="1:3">
      <c r="C47" t="str">
        <f t="shared" si="0"/>
        <v/>
      </c>
    </row>
    <row r="48" spans="1: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レビュー</vt:lpstr>
      <vt:lpstr>format</vt:lpstr>
      <vt:lpstr>1</vt:lpstr>
      <vt:lpstr>2</vt:lpstr>
      <vt:lpstr>3</vt:lpstr>
      <vt:lpstr>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2025-02-02T06:48:17Z</dcterms:modified>
</cp:coreProperties>
</file>