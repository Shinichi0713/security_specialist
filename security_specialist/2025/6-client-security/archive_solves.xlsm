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6-client-security\"/>
    </mc:Choice>
  </mc:AlternateContent>
  <xr:revisionPtr revIDLastSave="0" documentId="13_ncr:1_{0DCD0D68-FD91-472E-B86F-F378F2714A9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<sst xmlns="http://schemas.openxmlformats.org/spreadsheetml/2006/main" count="154" uniqueCount="121">
  <si>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</si>
  <si>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</si>
  <si>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</si>
  <si>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</si>
  <si>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</si>
  <si>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</si>
  <si>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</si>
  <si>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</si>
  <si>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</si>
  <si>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</si>
  <si>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</si>
  <si>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</si>
  <si>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</si>
  <si>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</si>
  <si>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6-1</t>
  </si>
  <si>
    <t>6-1</t>
    <phoneticPr fontId="1"/>
  </si>
  <si>
    <t>ゲームVの発売</t>
    <rPh sb="5" eb="7">
      <t>ハツバイ</t>
    </rPh>
    <phoneticPr fontId="1"/>
  </si>
  <si>
    <t>ゲームシステムV</t>
    <phoneticPr fontId="1"/>
  </si>
  <si>
    <t>通信プログラムはゲームサーバと認証サーバと通信する</t>
    <rPh sb="0" eb="2">
      <t>ツウシン</t>
    </rPh>
    <rPh sb="15" eb="17">
      <t>ニンショウ</t>
    </rPh>
    <rPh sb="21" eb="23">
      <t>ツウシン</t>
    </rPh>
    <phoneticPr fontId="1"/>
  </si>
  <si>
    <t>ゲームプログラムはサーバー上に存在</t>
    <rPh sb="13" eb="14">
      <t>ジョウ</t>
    </rPh>
    <rPh sb="15" eb="17">
      <t>ソンザイ</t>
    </rPh>
    <phoneticPr fontId="1"/>
  </si>
  <si>
    <t>各ゲームには固有ID</t>
    <rPh sb="0" eb="1">
      <t>カク</t>
    </rPh>
    <rPh sb="6" eb="8">
      <t>コユウ</t>
    </rPh>
    <phoneticPr fontId="1"/>
  </si>
  <si>
    <t>ゲームサーバごとに証明書を発行</t>
    <rPh sb="9" eb="12">
      <t>ショウメイショ</t>
    </rPh>
    <rPh sb="13" eb="15">
      <t>ハッコウ</t>
    </rPh>
    <phoneticPr fontId="1"/>
  </si>
  <si>
    <t>認証サーバーは認可もしてる</t>
    <rPh sb="0" eb="2">
      <t>ニンショウ</t>
    </rPh>
    <rPh sb="7" eb="9">
      <t>ニンカ</t>
    </rPh>
    <phoneticPr fontId="1"/>
  </si>
  <si>
    <t>認証トークンはFQDN、ID、MACが保管される</t>
    <rPh sb="0" eb="2">
      <t>ニンショウ</t>
    </rPh>
    <rPh sb="19" eb="21">
      <t>ホカン</t>
    </rPh>
    <phoneticPr fontId="1"/>
  </si>
  <si>
    <t>MACはFQDN＋ユーザーIDに共通鍵を組み合わせて生成</t>
    <rPh sb="16" eb="19">
      <t>キョウツウカギ</t>
    </rPh>
    <rPh sb="20" eb="21">
      <t>ク</t>
    </rPh>
    <rPh sb="22" eb="23">
      <t>ア</t>
    </rPh>
    <rPh sb="26" eb="28">
      <t>セイセイ</t>
    </rPh>
    <phoneticPr fontId="1"/>
  </si>
  <si>
    <t>１</t>
    <phoneticPr fontId="1"/>
  </si>
  <si>
    <t>エ</t>
    <phoneticPr fontId="1"/>
  </si>
  <si>
    <t>2-(1)</t>
    <phoneticPr fontId="1"/>
  </si>
  <si>
    <t>ゲームプログラムID</t>
    <phoneticPr fontId="1"/>
  </si>
  <si>
    <t>2-(2)</t>
    <phoneticPr fontId="1"/>
  </si>
  <si>
    <t>ゲームシステム全体で共通の鍵を利用しているため</t>
    <rPh sb="7" eb="9">
      <t>ゼンタイ</t>
    </rPh>
    <rPh sb="10" eb="12">
      <t>キョウツウ</t>
    </rPh>
    <rPh sb="13" eb="14">
      <t>カギ</t>
    </rPh>
    <rPh sb="15" eb="17">
      <t>リヨウ</t>
    </rPh>
    <phoneticPr fontId="1"/>
  </si>
  <si>
    <t>2-(3)</t>
    <phoneticPr fontId="1"/>
  </si>
  <si>
    <t>原因：共通鍵の設定はサーバー管理者が行うため。</t>
    <rPh sb="0" eb="2">
      <t>ゲンイン</t>
    </rPh>
    <rPh sb="3" eb="5">
      <t>キョウツウ</t>
    </rPh>
    <rPh sb="5" eb="6">
      <t>カギ</t>
    </rPh>
    <rPh sb="7" eb="9">
      <t>セッテイ</t>
    </rPh>
    <rPh sb="14" eb="17">
      <t>カンリシャ</t>
    </rPh>
    <rPh sb="18" eb="19">
      <t>オコナ</t>
    </rPh>
    <phoneticPr fontId="1"/>
  </si>
  <si>
    <t>範囲：ゲームサーバー内に管理されているゲームプログラム。</t>
    <rPh sb="0" eb="2">
      <t>ハンイ</t>
    </rPh>
    <rPh sb="10" eb="11">
      <t>ナイ</t>
    </rPh>
    <rPh sb="12" eb="14">
      <t>カンリ</t>
    </rPh>
    <phoneticPr fontId="1"/>
  </si>
  <si>
    <t>2-(4)</t>
    <phoneticPr fontId="1"/>
  </si>
  <si>
    <t>b:エ</t>
    <phoneticPr fontId="1"/>
  </si>
  <si>
    <t>a:オ</t>
    <phoneticPr fontId="1"/>
  </si>
  <si>
    <t>c:カ</t>
    <phoneticPr fontId="1"/>
  </si>
  <si>
    <t>2-(5)</t>
    <phoneticPr fontId="1"/>
  </si>
  <si>
    <t>SSDを取り出した上PCに接続して、記憶領域を読み取る</t>
    <rPh sb="4" eb="5">
      <t>ト</t>
    </rPh>
    <rPh sb="6" eb="7">
      <t>ダ</t>
    </rPh>
    <rPh sb="9" eb="10">
      <t>ウエ</t>
    </rPh>
    <rPh sb="13" eb="15">
      <t>セツゾク</t>
    </rPh>
    <rPh sb="18" eb="20">
      <t>キオク</t>
    </rPh>
    <rPh sb="20" eb="22">
      <t>リョウイキ</t>
    </rPh>
    <rPh sb="23" eb="24">
      <t>ヨ</t>
    </rPh>
    <rPh sb="25" eb="26">
      <t>ト</t>
    </rPh>
    <phoneticPr fontId="1"/>
  </si>
  <si>
    <t>2-(6)</t>
    <phoneticPr fontId="1"/>
  </si>
  <si>
    <t>耐タンパ性</t>
    <rPh sb="0" eb="1">
      <t>タイ</t>
    </rPh>
    <rPh sb="4" eb="5">
      <t>セイ</t>
    </rPh>
    <phoneticPr fontId="1"/>
  </si>
  <si>
    <t>3</t>
    <phoneticPr fontId="1"/>
  </si>
  <si>
    <t>ハッシュ値リストをTPMに保管し運用する</t>
    <rPh sb="4" eb="5">
      <t>アタイ</t>
    </rPh>
    <rPh sb="13" eb="15">
      <t>ホカン</t>
    </rPh>
    <rPh sb="16" eb="18">
      <t>ウンヨウ</t>
    </rPh>
    <phoneticPr fontId="1"/>
  </si>
  <si>
    <t>6-2</t>
  </si>
  <si>
    <t>6-2</t>
    <phoneticPr fontId="1"/>
  </si>
  <si>
    <t>テレワーク環境の構築</t>
    <rPh sb="5" eb="7">
      <t>カンキョウ</t>
    </rPh>
    <rPh sb="8" eb="10">
      <t>コウチク</t>
    </rPh>
    <phoneticPr fontId="1"/>
  </si>
  <si>
    <t>Saas-X</t>
    <phoneticPr fontId="1"/>
  </si>
  <si>
    <t>Idaas-Y</t>
    <phoneticPr fontId="1"/>
  </si>
  <si>
    <t>スケジュール管理</t>
    <rPh sb="6" eb="8">
      <t>カンリ</t>
    </rPh>
    <phoneticPr fontId="1"/>
  </si>
  <si>
    <t>ドキュメント編集</t>
    <rPh sb="6" eb="8">
      <t>ヘンシュウ</t>
    </rPh>
    <phoneticPr fontId="1"/>
  </si>
  <si>
    <t>テレカンファレンス</t>
    <phoneticPr fontId="1"/>
  </si>
  <si>
    <t>VDで業務。DaaS-Vを利用する</t>
    <rPh sb="3" eb="5">
      <t>ギョウム</t>
    </rPh>
    <rPh sb="13" eb="15">
      <t>リヨウ</t>
    </rPh>
    <phoneticPr fontId="1"/>
  </si>
  <si>
    <t>テレカンファレンスはZを利用</t>
    <rPh sb="12" eb="14">
      <t>リヨウ</t>
    </rPh>
    <phoneticPr fontId="1"/>
  </si>
  <si>
    <t>アプリのせていを強制</t>
    <rPh sb="8" eb="10">
      <t>キョウセイ</t>
    </rPh>
    <phoneticPr fontId="1"/>
  </si>
  <si>
    <t>貸与PCのみT環境へログイン</t>
    <rPh sb="0" eb="2">
      <t>タイヨ</t>
    </rPh>
    <rPh sb="7" eb="9">
      <t>カンキョウ</t>
    </rPh>
    <phoneticPr fontId="1"/>
  </si>
  <si>
    <t>MDMによりデバイス管理</t>
    <rPh sb="10" eb="12">
      <t>カンリ</t>
    </rPh>
    <phoneticPr fontId="1"/>
  </si>
  <si>
    <t>IDaaS-Yで２要素認証</t>
    <rPh sb="9" eb="13">
      <t>ヨウソニンショウ</t>
    </rPh>
    <phoneticPr fontId="1"/>
  </si>
  <si>
    <t>1-(1)</t>
    <phoneticPr fontId="1"/>
  </si>
  <si>
    <t>イ</t>
    <phoneticPr fontId="1"/>
  </si>
  <si>
    <t>1-(2)</t>
    <phoneticPr fontId="1"/>
  </si>
  <si>
    <t>E社以外の第３者が利用者IDを悪用してOTPを生成する。</t>
    <rPh sb="1" eb="4">
      <t>シャイガイ</t>
    </rPh>
    <rPh sb="5" eb="6">
      <t>ダイ</t>
    </rPh>
    <rPh sb="7" eb="8">
      <t>モノ</t>
    </rPh>
    <rPh sb="9" eb="12">
      <t>リヨウシャ</t>
    </rPh>
    <rPh sb="15" eb="17">
      <t>アクヨウ</t>
    </rPh>
    <rPh sb="23" eb="25">
      <t>セイセイ</t>
    </rPh>
    <phoneticPr fontId="1"/>
  </si>
  <si>
    <t>1-(3)</t>
    <phoneticPr fontId="1"/>
  </si>
  <si>
    <t>VDとIdaas-Yの連携</t>
    <rPh sb="11" eb="13">
      <t>レンケイ</t>
    </rPh>
    <phoneticPr fontId="1"/>
  </si>
  <si>
    <t>RADIUS</t>
    <phoneticPr fontId="1"/>
  </si>
  <si>
    <t>a:ウ</t>
    <phoneticPr fontId="1"/>
  </si>
  <si>
    <t>c:イ</t>
    <phoneticPr fontId="1"/>
  </si>
  <si>
    <t>d:ア</t>
    <phoneticPr fontId="1"/>
  </si>
  <si>
    <t>e:カ</t>
    <phoneticPr fontId="1"/>
  </si>
  <si>
    <t>f:オ</t>
    <phoneticPr fontId="1"/>
  </si>
  <si>
    <t>OpenID Connect</t>
    <phoneticPr fontId="1"/>
  </si>
  <si>
    <t>ImplicitFlow</t>
    <phoneticPr fontId="1"/>
  </si>
  <si>
    <t>2</t>
    <phoneticPr fontId="1"/>
  </si>
  <si>
    <t>ファイルの内容が表示された画面をカメラで撮影する</t>
    <rPh sb="5" eb="7">
      <t>ナイヨウ</t>
    </rPh>
    <rPh sb="8" eb="10">
      <t>ヒョウジ</t>
    </rPh>
    <rPh sb="13" eb="15">
      <t>ガメン</t>
    </rPh>
    <rPh sb="20" eb="22">
      <t>サツエイ</t>
    </rPh>
    <phoneticPr fontId="1"/>
  </si>
  <si>
    <t>3-(1)</t>
    <phoneticPr fontId="1"/>
  </si>
  <si>
    <t>3-(2)</t>
    <phoneticPr fontId="1"/>
  </si>
  <si>
    <t>社内の情報が表示された画面を画面キャプチャにより取得する。</t>
    <rPh sb="0" eb="2">
      <t>シャナイ</t>
    </rPh>
    <rPh sb="3" eb="5">
      <t>ジョウホウ</t>
    </rPh>
    <rPh sb="6" eb="8">
      <t>ヒョウジ</t>
    </rPh>
    <rPh sb="11" eb="13">
      <t>ガメン</t>
    </rPh>
    <rPh sb="14" eb="16">
      <t>ガメン</t>
    </rPh>
    <rPh sb="24" eb="26">
      <t>シュトク</t>
    </rPh>
    <phoneticPr fontId="1"/>
  </si>
  <si>
    <t>ノートPCからT環境内のアクセスを最小限</t>
    <rPh sb="8" eb="11">
      <t>カンキョウナイ</t>
    </rPh>
    <rPh sb="17" eb="20">
      <t>サイショウゲン</t>
    </rPh>
    <phoneticPr fontId="1"/>
  </si>
  <si>
    <t>→シンクライアントよりT環境のアクセスを最小限とする</t>
    <rPh sb="12" eb="14">
      <t>カンキョウ</t>
    </rPh>
    <rPh sb="20" eb="23">
      <t>サイショウゲン</t>
    </rPh>
    <phoneticPr fontId="1"/>
  </si>
  <si>
    <t>違う。ノートPCからT環境内部へのアクセス</t>
    <rPh sb="0" eb="1">
      <t>チガ</t>
    </rPh>
    <rPh sb="11" eb="15">
      <t>カンキョウナイブ</t>
    </rPh>
    <phoneticPr fontId="1"/>
  </si>
  <si>
    <t>ア、ウ、エ</t>
    <phoneticPr fontId="1"/>
  </si>
  <si>
    <t>4</t>
    <phoneticPr fontId="1"/>
  </si>
  <si>
    <t>第３者機関によるセキュリティの監査内容を確認する。</t>
    <rPh sb="0" eb="1">
      <t>ダイ</t>
    </rPh>
    <rPh sb="2" eb="3">
      <t>シャ</t>
    </rPh>
    <rPh sb="3" eb="5">
      <t>キカン</t>
    </rPh>
    <rPh sb="15" eb="19">
      <t>カンサナイヨウ</t>
    </rPh>
    <rPh sb="20" eb="22">
      <t>カクニン</t>
    </rPh>
    <phoneticPr fontId="1"/>
  </si>
  <si>
    <t>セキュリティ対策についての第３者による監査報告書で確認する</t>
    <rPh sb="6" eb="8">
      <t>タイサク</t>
    </rPh>
    <rPh sb="13" eb="14">
      <t>ダイ</t>
    </rPh>
    <rPh sb="15" eb="16">
      <t>シャ</t>
    </rPh>
    <rPh sb="19" eb="24">
      <t>カンサホウコクショ</t>
    </rPh>
    <rPh sb="25" eb="27">
      <t>カクニン</t>
    </rPh>
    <phoneticPr fontId="1"/>
  </si>
  <si>
    <t>5</t>
    <phoneticPr fontId="1"/>
  </si>
  <si>
    <t>公衆無線LANを利用したい</t>
    <rPh sb="0" eb="4">
      <t>コウシュウムセン</t>
    </rPh>
    <rPh sb="8" eb="10">
      <t>リヨウ</t>
    </rPh>
    <phoneticPr fontId="1"/>
  </si>
  <si>
    <t>ノートPCでは制限</t>
    <rPh sb="7" eb="9">
      <t>セイゲン</t>
    </rPh>
    <phoneticPr fontId="1"/>
  </si>
  <si>
    <t>フィッシングサイトに誘導されるリスク</t>
    <rPh sb="10" eb="12">
      <t>ユウドウ</t>
    </rPh>
    <phoneticPr fontId="1"/>
  </si>
  <si>
    <t>クライアント証明書によるデバイス認証を行っている</t>
    <rPh sb="6" eb="9">
      <t>ショウメイショ</t>
    </rPh>
    <rPh sb="16" eb="18">
      <t>ニンショウ</t>
    </rPh>
    <rPh sb="19" eb="20">
      <t>オコナ</t>
    </rPh>
    <phoneticPr fontId="1"/>
  </si>
  <si>
    <t>6-(1)</t>
    <phoneticPr fontId="1"/>
  </si>
  <si>
    <t>ディスクに設定されたパスワードを推測</t>
    <rPh sb="5" eb="7">
      <t>セッテイ</t>
    </rPh>
    <rPh sb="16" eb="18">
      <t>スイソク</t>
    </rPh>
    <phoneticPr fontId="1"/>
  </si>
  <si>
    <t>6-(2)</t>
    <phoneticPr fontId="1"/>
  </si>
  <si>
    <t>推測しやすいPINを設定される</t>
    <rPh sb="0" eb="2">
      <t>スイソク</t>
    </rPh>
    <rPh sb="10" eb="12">
      <t>セッテイ</t>
    </rPh>
    <phoneticPr fontId="1"/>
  </si>
  <si>
    <t>6-(3)</t>
    <phoneticPr fontId="1"/>
  </si>
  <si>
    <t>極選</t>
  </si>
  <si>
    <t>極選</t>
    <rPh sb="0" eb="1">
      <t>キワ</t>
    </rPh>
    <rPh sb="1" eb="2">
      <t>エラ</t>
    </rPh>
    <phoneticPr fontId="1"/>
  </si>
  <si>
    <t>8-1</t>
  </si>
  <si>
    <t>8-1</t>
    <phoneticPr fontId="1"/>
  </si>
  <si>
    <t>プロキス</t>
    <phoneticPr fontId="1"/>
  </si>
  <si>
    <t>TDCにサーバー</t>
    <phoneticPr fontId="1"/>
  </si>
  <si>
    <t>PC貸与</t>
    <rPh sb="2" eb="4">
      <t>タイヨ</t>
    </rPh>
    <phoneticPr fontId="1"/>
  </si>
  <si>
    <t>WEBサイトへのアクセス許可</t>
    <rPh sb="12" eb="14">
      <t>キョカ</t>
    </rPh>
    <phoneticPr fontId="1"/>
  </si>
  <si>
    <t>ファイアウォール</t>
    <phoneticPr fontId="1"/>
  </si>
  <si>
    <t>Uプロキシ</t>
    <phoneticPr fontId="1"/>
  </si>
  <si>
    <t>PAヘッダに認証情報</t>
    <rPh sb="6" eb="10">
      <t>ニンショウジョウホウ</t>
    </rPh>
    <phoneticPr fontId="1"/>
  </si>
  <si>
    <t>POST、PUT</t>
    <phoneticPr fontId="1"/>
  </si>
  <si>
    <t>保わい落ちるs九</t>
    <rPh sb="0" eb="1">
      <t>ホ</t>
    </rPh>
    <rPh sb="3" eb="4">
      <t>オ</t>
    </rPh>
    <rPh sb="7" eb="8">
      <t>ク</t>
    </rPh>
    <phoneticPr fontId="1"/>
  </si>
  <si>
    <t>復号機能のL</t>
    <rPh sb="0" eb="2">
      <t>フクゴウ</t>
    </rPh>
    <rPh sb="2" eb="4">
      <t>キノウ</t>
    </rPh>
    <phoneticPr fontId="1"/>
  </si>
  <si>
    <t>UプロキシでHTTPS</t>
    <phoneticPr fontId="1"/>
  </si>
  <si>
    <t>WEBサーバーで確立</t>
    <rPh sb="8" eb="10">
      <t>カクリツ</t>
    </rPh>
    <phoneticPr fontId="1"/>
  </si>
  <si>
    <t>通信内容を取得することが出来なくなるため。</t>
    <rPh sb="0" eb="2">
      <t>ツウシン</t>
    </rPh>
    <rPh sb="2" eb="4">
      <t>ナイヨウ</t>
    </rPh>
    <rPh sb="5" eb="7">
      <t>シュトク</t>
    </rPh>
    <rPh sb="12" eb="14">
      <t>デキ</t>
    </rPh>
    <phoneticPr fontId="1"/>
  </si>
  <si>
    <t>(3),(5)</t>
    <phoneticPr fontId="1"/>
  </si>
  <si>
    <t>ア</t>
    <phoneticPr fontId="1"/>
  </si>
  <si>
    <t>a:中間者</t>
    <rPh sb="2" eb="5">
      <t>チュウカンシャ</t>
    </rPh>
    <phoneticPr fontId="1"/>
  </si>
  <si>
    <t>・接続先が、正当な接続先であるか。</t>
    <rPh sb="1" eb="4">
      <t>セツゾクサキ</t>
    </rPh>
    <rPh sb="6" eb="8">
      <t>セイトウ</t>
    </rPh>
    <rPh sb="9" eb="11">
      <t>セツゾク</t>
    </rPh>
    <rPh sb="11" eb="12">
      <t>サキ</t>
    </rPh>
    <phoneticPr fontId="1"/>
  </si>
  <si>
    <t>・信頼するルート証明書であるか。</t>
    <rPh sb="1" eb="3">
      <t>シンライ</t>
    </rPh>
    <rPh sb="8" eb="11">
      <t>ショウメイショ</t>
    </rPh>
    <phoneticPr fontId="1"/>
  </si>
  <si>
    <t>サーバー証明書の顧問ネームと、アクセス先のホスト名が一致するか</t>
    <rPh sb="4" eb="7">
      <t>ショウメイショ</t>
    </rPh>
    <rPh sb="8" eb="10">
      <t>コモン</t>
    </rPh>
    <rPh sb="19" eb="20">
      <t>サキ</t>
    </rPh>
    <rPh sb="24" eb="25">
      <t>メイ</t>
    </rPh>
    <rPh sb="26" eb="28">
      <t>イッチ</t>
    </rPh>
    <phoneticPr fontId="1"/>
  </si>
  <si>
    <t>Lプロキシのルート証明書を信頼するルート証明書としてインストールする。</t>
    <rPh sb="9" eb="12">
      <t>ショウメイショ</t>
    </rPh>
    <rPh sb="13" eb="15">
      <t>シンライ</t>
    </rPh>
    <rPh sb="20" eb="23">
      <t>ショウメイショ</t>
    </rPh>
    <phoneticPr fontId="1"/>
  </si>
  <si>
    <t>証明書2のコモンネームが、接続先のFQDNと一致しないため。</t>
    <rPh sb="0" eb="3">
      <t>ショウメイショ</t>
    </rPh>
    <rPh sb="13" eb="16">
      <t>セツゾクサキ</t>
    </rPh>
    <rPh sb="22" eb="24">
      <t>イッチ</t>
    </rPh>
    <phoneticPr fontId="1"/>
  </si>
  <si>
    <t>3-(3)</t>
    <phoneticPr fontId="1"/>
  </si>
  <si>
    <t>サーバー証明書のコモンネームとアクセス先のホスト名を一致させるため。</t>
    <rPh sb="4" eb="7">
      <t>ショウメイショ</t>
    </rPh>
    <rPh sb="19" eb="20">
      <t>サキ</t>
    </rPh>
    <rPh sb="24" eb="25">
      <t>メイ</t>
    </rPh>
    <rPh sb="26" eb="28">
      <t>イッチ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</si>
</sst>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workbookViewId="0">
      <selection activeCell="G7" sqref="G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42</v>
      </c>
      <c r="E2">
        <v>50</v>
      </c>
    </row>
    <row r="3" spans="1:6">
      <c r="A3">
        <v>2</v>
      </c>
      <c r="B3" s="2" t="s">
        <v>12</v>
      </c>
      <c r="C3" s="2" t="s">
        <v>44</v>
      </c>
      <c r="D3">
        <v>97</v>
      </c>
      <c r="E3">
        <v>100</v>
      </c>
    </row>
    <row r="4" spans="1:6">
      <c r="A4">
        <v>3</v>
      </c>
      <c r="B4" s="2" t="s">
        <v>94</v>
      </c>
      <c r="C4" s="2" t="s">
        <v>96</v>
      </c>
      <c r="D4">
        <v>32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BDE6C-D73C-4138-9395-8AAE8EC3B680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42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25</v>
      </c>
      <c r="B4" s="1" t="s">
        <v>26</v>
      </c>
      <c r="C4">
        <f>IF(B4&lt;&gt;"",LEN(B4),"")</f>
        <v>1</v>
      </c>
      <c r="D4">
        <v>4</v>
      </c>
      <c r="E4">
        <v>4</v>
      </c>
      <c r="G4" t="s">
        <v>16</v>
      </c>
    </row>
    <row r="5" spans="1:7">
      <c r="A5" s="2" t="s">
        <v>27</v>
      </c>
      <c r="B5" s="1" t="s">
        <v>28</v>
      </c>
      <c r="C5">
        <f t="shared" ref="C5:C68" si="0">IF(B5&lt;&gt;"",LEN(B5),"")</f>
        <v>10</v>
      </c>
      <c r="D5">
        <v>4</v>
      </c>
      <c r="E5">
        <v>4</v>
      </c>
      <c r="G5" t="s">
        <v>19</v>
      </c>
    </row>
    <row r="6" spans="1:7">
      <c r="A6" s="2" t="s">
        <v>29</v>
      </c>
      <c r="B6" s="4" t="s">
        <v>30</v>
      </c>
      <c r="C6" s="5">
        <f t="shared" si="0"/>
        <v>23</v>
      </c>
      <c r="D6" s="5">
        <v>3</v>
      </c>
      <c r="E6" s="5">
        <v>6</v>
      </c>
      <c r="G6" t="s">
        <v>17</v>
      </c>
    </row>
    <row r="7" spans="1:7">
      <c r="A7" s="2" t="s">
        <v>31</v>
      </c>
      <c r="B7" s="4" t="s">
        <v>32</v>
      </c>
      <c r="C7" s="5">
        <f t="shared" si="0"/>
        <v>23</v>
      </c>
      <c r="D7" s="5">
        <v>0</v>
      </c>
      <c r="E7" s="5">
        <v>5</v>
      </c>
      <c r="G7" t="s">
        <v>18</v>
      </c>
    </row>
    <row r="8" spans="1:7">
      <c r="B8" s="1" t="s">
        <v>33</v>
      </c>
      <c r="C8">
        <f t="shared" si="0"/>
        <v>28</v>
      </c>
      <c r="D8">
        <v>5</v>
      </c>
      <c r="E8">
        <v>5</v>
      </c>
      <c r="G8" t="s">
        <v>20</v>
      </c>
    </row>
    <row r="9" spans="1:7">
      <c r="A9" s="2" t="s">
        <v>34</v>
      </c>
      <c r="B9" s="1" t="s">
        <v>36</v>
      </c>
      <c r="C9">
        <f t="shared" si="0"/>
        <v>3</v>
      </c>
      <c r="D9">
        <v>3</v>
      </c>
      <c r="E9">
        <v>3</v>
      </c>
      <c r="G9" t="s">
        <v>21</v>
      </c>
    </row>
    <row r="10" spans="1:7">
      <c r="B10" s="1" t="s">
        <v>35</v>
      </c>
      <c r="C10">
        <f t="shared" si="0"/>
        <v>3</v>
      </c>
      <c r="D10">
        <v>3</v>
      </c>
      <c r="E10">
        <v>3</v>
      </c>
    </row>
    <row r="11" spans="1:7">
      <c r="B11" s="1" t="s">
        <v>37</v>
      </c>
      <c r="C11">
        <f t="shared" si="0"/>
        <v>3</v>
      </c>
      <c r="D11">
        <v>3</v>
      </c>
      <c r="E11">
        <v>3</v>
      </c>
      <c r="G11" t="s">
        <v>22</v>
      </c>
    </row>
    <row r="12" spans="1:7">
      <c r="A12" s="2" t="s">
        <v>38</v>
      </c>
      <c r="B12" s="1" t="s">
        <v>39</v>
      </c>
      <c r="C12">
        <f t="shared" si="0"/>
        <v>27</v>
      </c>
      <c r="D12">
        <v>6</v>
      </c>
      <c r="E12">
        <v>6</v>
      </c>
      <c r="G12" t="s">
        <v>23</v>
      </c>
    </row>
    <row r="13" spans="1:7">
      <c r="A13" s="2" t="s">
        <v>40</v>
      </c>
      <c r="B13" s="1" t="s">
        <v>41</v>
      </c>
      <c r="C13">
        <f t="shared" si="0"/>
        <v>5</v>
      </c>
      <c r="D13">
        <v>5</v>
      </c>
      <c r="E13">
        <v>5</v>
      </c>
      <c r="G13" t="s">
        <v>24</v>
      </c>
    </row>
    <row r="14" spans="1:7">
      <c r="A14" s="2" t="s">
        <v>42</v>
      </c>
      <c r="B14" s="1" t="s">
        <v>43</v>
      </c>
      <c r="C14">
        <f t="shared" si="0"/>
        <v>20</v>
      </c>
      <c r="D14">
        <v>6</v>
      </c>
      <c r="E14">
        <v>6</v>
      </c>
    </row>
    <row r="15" spans="1:7">
      <c r="C15" t="str">
        <f t="shared" si="0"/>
        <v/>
      </c>
    </row>
    <row r="16" spans="1:7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484E2-E725-4862-9E8A-9CA8134231D0}">
  <sheetPr codeName="Sheet5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2" sqref="B2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10">
      <c r="A1" s="2" t="s">
        <v>0</v>
      </c>
      <c r="B1" s="1" t="s">
        <v>13</v>
      </c>
    </row>
    <row r="2" spans="1:10">
      <c r="A2" s="2" t="s">
        <v>2</v>
      </c>
      <c r="B2" s="3" t="s">
        <v>45</v>
      </c>
      <c r="D2">
        <f>SUM(D4:D1000)</f>
        <v>97</v>
      </c>
      <c r="E2">
        <f>SUM(E4:E1000)</f>
        <v>100</v>
      </c>
      <c r="J2" t="s">
        <v>70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  <c r="J3" t="s">
        <v>71</v>
      </c>
    </row>
    <row r="4" spans="1:10">
      <c r="A4" s="2" t="s">
        <v>58</v>
      </c>
      <c r="B4" s="1" t="s">
        <v>59</v>
      </c>
      <c r="C4">
        <f>IF(B4&lt;&gt;"",LEN(B4),"")</f>
        <v>1</v>
      </c>
      <c r="D4">
        <v>5</v>
      </c>
      <c r="E4">
        <v>5</v>
      </c>
    </row>
    <row r="5" spans="1:10">
      <c r="A5" s="2" t="s">
        <v>60</v>
      </c>
      <c r="B5" s="1" t="s">
        <v>61</v>
      </c>
      <c r="C5">
        <f t="shared" ref="C5:C68" si="0">IF(B5&lt;&gt;"",LEN(B5),"")</f>
        <v>28</v>
      </c>
      <c r="D5">
        <v>10</v>
      </c>
      <c r="E5">
        <v>10</v>
      </c>
      <c r="G5" t="s">
        <v>46</v>
      </c>
      <c r="J5" t="s">
        <v>63</v>
      </c>
    </row>
    <row r="6" spans="1:10">
      <c r="A6" s="2" t="s">
        <v>62</v>
      </c>
      <c r="B6" s="1" t="s">
        <v>65</v>
      </c>
      <c r="C6">
        <f t="shared" si="0"/>
        <v>3</v>
      </c>
      <c r="D6">
        <v>3</v>
      </c>
      <c r="E6">
        <v>3</v>
      </c>
      <c r="G6" t="s">
        <v>47</v>
      </c>
      <c r="J6" t="s">
        <v>64</v>
      </c>
    </row>
    <row r="7" spans="1:10">
      <c r="B7" s="1" t="s">
        <v>35</v>
      </c>
      <c r="C7">
        <f t="shared" si="0"/>
        <v>3</v>
      </c>
      <c r="D7">
        <v>3</v>
      </c>
      <c r="E7">
        <v>3</v>
      </c>
      <c r="G7" t="s">
        <v>48</v>
      </c>
    </row>
    <row r="8" spans="1:10">
      <c r="B8" s="1" t="s">
        <v>66</v>
      </c>
      <c r="C8">
        <f t="shared" si="0"/>
        <v>3</v>
      </c>
      <c r="D8">
        <v>3</v>
      </c>
      <c r="E8">
        <v>3</v>
      </c>
      <c r="G8" t="s">
        <v>49</v>
      </c>
      <c r="J8" t="s">
        <v>77</v>
      </c>
    </row>
    <row r="9" spans="1:10">
      <c r="B9" s="1" t="s">
        <v>67</v>
      </c>
      <c r="C9">
        <f t="shared" si="0"/>
        <v>3</v>
      </c>
      <c r="D9">
        <v>3</v>
      </c>
      <c r="E9">
        <v>3</v>
      </c>
      <c r="G9" t="s">
        <v>50</v>
      </c>
      <c r="J9" t="s">
        <v>78</v>
      </c>
    </row>
    <row r="10" spans="1:10">
      <c r="B10" s="1" t="s">
        <v>68</v>
      </c>
      <c r="C10">
        <f t="shared" si="0"/>
        <v>3</v>
      </c>
      <c r="D10">
        <v>3</v>
      </c>
      <c r="E10">
        <v>3</v>
      </c>
      <c r="G10" t="s">
        <v>51</v>
      </c>
      <c r="J10" t="s">
        <v>79</v>
      </c>
    </row>
    <row r="11" spans="1:10">
      <c r="B11" s="1" t="s">
        <v>69</v>
      </c>
      <c r="C11">
        <f t="shared" si="0"/>
        <v>3</v>
      </c>
      <c r="D11">
        <v>3</v>
      </c>
      <c r="E11">
        <v>3</v>
      </c>
      <c r="G11" t="s">
        <v>52</v>
      </c>
    </row>
    <row r="12" spans="1:10">
      <c r="A12" s="2" t="s">
        <v>72</v>
      </c>
      <c r="B12" s="1" t="s">
        <v>73</v>
      </c>
      <c r="C12">
        <f t="shared" si="0"/>
        <v>24</v>
      </c>
      <c r="D12">
        <v>8</v>
      </c>
      <c r="E12">
        <v>8</v>
      </c>
      <c r="G12" t="s">
        <v>53</v>
      </c>
    </row>
    <row r="13" spans="1:10">
      <c r="A13" s="2" t="s">
        <v>74</v>
      </c>
      <c r="B13" s="1" t="s">
        <v>76</v>
      </c>
      <c r="C13">
        <f t="shared" si="0"/>
        <v>29</v>
      </c>
      <c r="D13">
        <v>8</v>
      </c>
      <c r="E13">
        <v>8</v>
      </c>
      <c r="G13" t="s">
        <v>54</v>
      </c>
    </row>
    <row r="14" spans="1:10">
      <c r="A14" s="2" t="s">
        <v>75</v>
      </c>
      <c r="B14" s="1" t="s">
        <v>80</v>
      </c>
      <c r="C14">
        <f t="shared" si="0"/>
        <v>5</v>
      </c>
      <c r="D14">
        <v>9</v>
      </c>
      <c r="E14">
        <v>9</v>
      </c>
      <c r="G14" t="s">
        <v>55</v>
      </c>
    </row>
    <row r="15" spans="1:10">
      <c r="A15" s="2" t="s">
        <v>81</v>
      </c>
      <c r="B15" s="1" t="s">
        <v>82</v>
      </c>
      <c r="C15">
        <f t="shared" si="0"/>
        <v>25</v>
      </c>
      <c r="D15">
        <v>7</v>
      </c>
      <c r="E15">
        <v>10</v>
      </c>
      <c r="G15" t="s">
        <v>56</v>
      </c>
    </row>
    <row r="16" spans="1:10">
      <c r="B16" s="1" t="s">
        <v>83</v>
      </c>
      <c r="C16">
        <f t="shared" si="0"/>
        <v>29</v>
      </c>
    </row>
    <row r="17" spans="1:7">
      <c r="A17" s="2" t="s">
        <v>84</v>
      </c>
      <c r="B17" s="1" t="s">
        <v>88</v>
      </c>
      <c r="C17">
        <f t="shared" si="0"/>
        <v>24</v>
      </c>
      <c r="D17">
        <v>8</v>
      </c>
      <c r="E17">
        <v>8</v>
      </c>
      <c r="G17" t="s">
        <v>57</v>
      </c>
    </row>
    <row r="18" spans="1:7">
      <c r="A18" s="2" t="s">
        <v>89</v>
      </c>
      <c r="B18" s="1" t="s">
        <v>90</v>
      </c>
      <c r="C18">
        <f t="shared" si="0"/>
        <v>18</v>
      </c>
      <c r="D18">
        <v>8</v>
      </c>
      <c r="E18">
        <v>8</v>
      </c>
    </row>
    <row r="19" spans="1:7">
      <c r="A19" s="2" t="s">
        <v>91</v>
      </c>
      <c r="B19" s="1" t="s">
        <v>92</v>
      </c>
      <c r="C19">
        <f t="shared" si="0"/>
        <v>15</v>
      </c>
      <c r="D19">
        <v>8</v>
      </c>
      <c r="E19">
        <v>8</v>
      </c>
      <c r="G19" t="s">
        <v>85</v>
      </c>
    </row>
    <row r="20" spans="1:7">
      <c r="A20" s="2" t="s">
        <v>93</v>
      </c>
      <c r="B20" s="1" t="s">
        <v>88</v>
      </c>
      <c r="C20">
        <f t="shared" si="0"/>
        <v>24</v>
      </c>
      <c r="D20">
        <v>8</v>
      </c>
      <c r="E20">
        <v>8</v>
      </c>
      <c r="G20" t="s">
        <v>86</v>
      </c>
    </row>
    <row r="21" spans="1:7">
      <c r="C21" t="str">
        <f t="shared" si="0"/>
        <v/>
      </c>
      <c r="G21" t="s">
        <v>87</v>
      </c>
    </row>
    <row r="22" spans="1:7">
      <c r="C22" t="str">
        <f t="shared" si="0"/>
        <v/>
      </c>
    </row>
    <row r="23" spans="1:7">
      <c r="C23" t="str">
        <f t="shared" si="0"/>
        <v/>
      </c>
    </row>
    <row r="24" spans="1:7">
      <c r="C24" t="str">
        <f t="shared" si="0"/>
        <v/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C27" t="str">
        <f t="shared" si="0"/>
        <v/>
      </c>
    </row>
    <row r="28" spans="1:7">
      <c r="C28" t="str">
        <f t="shared" si="0"/>
        <v/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55198-8A18-4DA2-BFF1-7E99ABEE8C67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4" sqref="D14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1">
      <c r="A1" s="2" t="s">
        <v>0</v>
      </c>
      <c r="B1" s="1" t="s">
        <v>95</v>
      </c>
    </row>
    <row r="2" spans="1:11">
      <c r="A2" s="2" t="s">
        <v>2</v>
      </c>
      <c r="B2" s="3" t="s">
        <v>97</v>
      </c>
      <c r="D2">
        <f>SUM(D4:D1000)</f>
        <v>32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58</v>
      </c>
      <c r="B4" s="1" t="s">
        <v>110</v>
      </c>
      <c r="C4">
        <f>IF(B4&lt;&gt;"",LEN(B4),"")</f>
        <v>21</v>
      </c>
      <c r="D4">
        <v>6</v>
      </c>
      <c r="E4">
        <v>6</v>
      </c>
    </row>
    <row r="5" spans="1:11">
      <c r="A5" s="2" t="s">
        <v>60</v>
      </c>
      <c r="B5" s="1" t="s">
        <v>111</v>
      </c>
      <c r="C5">
        <f t="shared" ref="C5:C68" si="0">IF(B5&lt;&gt;"",LEN(B5),"")</f>
        <v>7</v>
      </c>
      <c r="D5">
        <v>0</v>
      </c>
      <c r="E5">
        <v>6</v>
      </c>
      <c r="G5" t="s">
        <v>98</v>
      </c>
      <c r="I5" t="s">
        <v>102</v>
      </c>
      <c r="K5" t="s">
        <v>107</v>
      </c>
    </row>
    <row r="6" spans="1:11">
      <c r="A6" s="2" t="s">
        <v>62</v>
      </c>
      <c r="B6" s="1" t="s">
        <v>112</v>
      </c>
      <c r="C6">
        <f t="shared" si="0"/>
        <v>1</v>
      </c>
      <c r="D6">
        <v>3</v>
      </c>
      <c r="E6">
        <v>3</v>
      </c>
      <c r="G6" t="s">
        <v>99</v>
      </c>
      <c r="I6" t="s">
        <v>103</v>
      </c>
      <c r="K6" t="s">
        <v>108</v>
      </c>
    </row>
    <row r="7" spans="1:11">
      <c r="A7" s="2" t="s">
        <v>27</v>
      </c>
      <c r="B7" s="1" t="s">
        <v>113</v>
      </c>
      <c r="C7">
        <f t="shared" si="0"/>
        <v>5</v>
      </c>
      <c r="D7">
        <v>3</v>
      </c>
      <c r="E7">
        <v>3</v>
      </c>
      <c r="G7" t="s">
        <v>100</v>
      </c>
      <c r="I7" t="s">
        <v>104</v>
      </c>
      <c r="K7" t="s">
        <v>109</v>
      </c>
    </row>
    <row r="8" spans="1:11">
      <c r="A8" s="2" t="s">
        <v>29</v>
      </c>
      <c r="B8" s="1" t="s">
        <v>114</v>
      </c>
      <c r="C8">
        <f t="shared" si="0"/>
        <v>17</v>
      </c>
      <c r="D8">
        <v>0</v>
      </c>
      <c r="E8">
        <v>6</v>
      </c>
      <c r="G8" t="s">
        <v>101</v>
      </c>
      <c r="I8" t="s">
        <v>105</v>
      </c>
    </row>
    <row r="9" spans="1:11">
      <c r="B9" s="1" t="s">
        <v>115</v>
      </c>
      <c r="C9">
        <f t="shared" si="0"/>
        <v>16</v>
      </c>
      <c r="D9">
        <v>6</v>
      </c>
      <c r="E9">
        <v>6</v>
      </c>
      <c r="I9" t="s">
        <v>106</v>
      </c>
    </row>
    <row r="10" spans="1:11">
      <c r="B10" s="1" t="s">
        <v>116</v>
      </c>
      <c r="C10">
        <f t="shared" si="0"/>
        <v>31</v>
      </c>
    </row>
    <row r="11" spans="1:11">
      <c r="A11" s="2" t="s">
        <v>74</v>
      </c>
      <c r="B11" s="1" t="s">
        <v>117</v>
      </c>
      <c r="C11">
        <f t="shared" si="0"/>
        <v>35</v>
      </c>
      <c r="D11">
        <v>8</v>
      </c>
      <c r="E11">
        <v>8</v>
      </c>
    </row>
    <row r="12" spans="1:11">
      <c r="A12" s="2" t="s">
        <v>75</v>
      </c>
      <c r="B12" s="1" t="s">
        <v>118</v>
      </c>
      <c r="C12">
        <f t="shared" si="0"/>
        <v>30</v>
      </c>
      <c r="D12">
        <v>0</v>
      </c>
      <c r="E12">
        <v>6</v>
      </c>
    </row>
    <row r="13" spans="1:11">
      <c r="A13" s="2" t="s">
        <v>119</v>
      </c>
      <c r="B13" s="1" t="s">
        <v>120</v>
      </c>
      <c r="C13">
        <f t="shared" si="0"/>
        <v>34</v>
      </c>
      <c r="D13">
        <v>6</v>
      </c>
      <c r="E13">
        <v>6</v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2025-02-08T08:33:01Z</dcterms:modified>
</cp:coreProperties>
</file>