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5-mail-security\"/>
    </mc:Choice>
  </mc:AlternateContent>
  <xr:revisionPtr revIDLastSave="0" documentId="13_ncr:1_{4A2F7172-8CD9-4309-89BB-FEDE2C648EEC}" xr6:coauthVersionLast="47" xr6:coauthVersionMax="47" xr10:uidLastSave="{00000000-0000-0000-0000-000000000000}"/>
  <bookViews>
    <workbookView xWindow="-108" yWindow="-108" windowWidth="23256" windowHeight="14856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8" l="1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2" i="8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<sst xmlns="http://schemas.openxmlformats.org/spreadsheetml/2006/main" count="209" uniqueCount="165">
  <si>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</si>
  <si>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</si>
  <si>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</si>
  <si>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</si>
  <si>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</si>
  <si>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</si>
  <si>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</si>
  <si>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</si>
  <si>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</si>
  <si>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</si>
  <si>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</si>
  <si>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</si>
  <si>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</si>
  <si>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重点対策</t>
    <rPh sb="0" eb="2">
      <t>ジュウテン</t>
    </rPh>
    <rPh sb="2" eb="4">
      <t>タイサク</t>
    </rPh>
    <phoneticPr fontId="1"/>
  </si>
  <si>
    <t>5-1</t>
  </si>
  <si>
    <t>5-1</t>
    <phoneticPr fontId="1"/>
  </si>
  <si>
    <t>N社情報サービス事業</t>
    <rPh sb="1" eb="2">
      <t>シャ</t>
    </rPh>
    <rPh sb="2" eb="4">
      <t>ジョウホウ</t>
    </rPh>
    <rPh sb="8" eb="10">
      <t>ジギョウ</t>
    </rPh>
    <phoneticPr fontId="1"/>
  </si>
  <si>
    <t>脆弱性パッチが自動適用</t>
    <rPh sb="0" eb="3">
      <t>ゼイジャクセイ</t>
    </rPh>
    <rPh sb="7" eb="11">
      <t>ジドウテキヨウ</t>
    </rPh>
    <phoneticPr fontId="1"/>
  </si>
  <si>
    <t>スパムフィルタ</t>
    <phoneticPr fontId="1"/>
  </si>
  <si>
    <t>1</t>
    <phoneticPr fontId="1"/>
  </si>
  <si>
    <t>MAIL FROM</t>
    <phoneticPr fontId="1"/>
  </si>
  <si>
    <t>2-(1)</t>
    <phoneticPr fontId="1"/>
  </si>
  <si>
    <t>送信ドメイン認証</t>
    <rPh sb="0" eb="2">
      <t>ソウシン</t>
    </rPh>
    <rPh sb="6" eb="8">
      <t>ニンショウ</t>
    </rPh>
    <phoneticPr fontId="1"/>
  </si>
  <si>
    <t>SPF：送信者と、headerの送信者が同じか確認できる</t>
    <rPh sb="4" eb="7">
      <t>ソウシンシャ</t>
    </rPh>
    <rPh sb="16" eb="18">
      <t>ソウシン</t>
    </rPh>
    <rPh sb="18" eb="19">
      <t>シャ</t>
    </rPh>
    <rPh sb="20" eb="21">
      <t>オナ</t>
    </rPh>
    <rPh sb="23" eb="25">
      <t>カクニン</t>
    </rPh>
    <phoneticPr fontId="1"/>
  </si>
  <si>
    <t>b×</t>
    <phoneticPr fontId="1"/>
  </si>
  <si>
    <t>c×</t>
    <phoneticPr fontId="1"/>
  </si>
  <si>
    <t>d×</t>
    <phoneticPr fontId="1"/>
  </si>
  <si>
    <t>e×</t>
    <phoneticPr fontId="1"/>
  </si>
  <si>
    <t>g〇</t>
    <phoneticPr fontId="1"/>
  </si>
  <si>
    <t>f×</t>
    <phoneticPr fontId="1"/>
  </si>
  <si>
    <t>h×</t>
    <phoneticPr fontId="1"/>
  </si>
  <si>
    <t>i×</t>
    <phoneticPr fontId="1"/>
  </si>
  <si>
    <t>2-(2)</t>
    <phoneticPr fontId="1"/>
  </si>
  <si>
    <t>j:x1.y1.z1.1</t>
    <phoneticPr fontId="1"/>
  </si>
  <si>
    <t>2-(3)</t>
    <phoneticPr fontId="1"/>
  </si>
  <si>
    <t>送信者のIPアドレスと、送信側DNSサーバーに登録されているSPFレコードに記載されているIPアドレスが異なるため</t>
    <rPh sb="0" eb="3">
      <t>ソウシンシャ</t>
    </rPh>
    <rPh sb="12" eb="14">
      <t>ソウシン</t>
    </rPh>
    <rPh sb="14" eb="15">
      <t>ガワ</t>
    </rPh>
    <rPh sb="23" eb="25">
      <t>トウロク</t>
    </rPh>
    <rPh sb="38" eb="40">
      <t>キサイ</t>
    </rPh>
    <rPh sb="52" eb="53">
      <t>コト</t>
    </rPh>
    <phoneticPr fontId="1"/>
  </si>
  <si>
    <t>2-(4)</t>
    <phoneticPr fontId="1"/>
  </si>
  <si>
    <t>メールが改ざんされていないか</t>
    <rPh sb="4" eb="5">
      <t>カイ</t>
    </rPh>
    <phoneticPr fontId="1"/>
  </si>
  <si>
    <t>3</t>
    <phoneticPr fontId="1"/>
  </si>
  <si>
    <t>k:mail.x-sha.co.jp</t>
    <phoneticPr fontId="1"/>
  </si>
  <si>
    <t>l:x2.y2.z2.1</t>
    <phoneticPr fontId="1"/>
  </si>
  <si>
    <t>n:r</t>
    <phoneticPr fontId="1"/>
  </si>
  <si>
    <t>m:quarantine</t>
    <phoneticPr fontId="1"/>
  </si>
  <si>
    <t>4</t>
    <phoneticPr fontId="1"/>
  </si>
  <si>
    <t>N社の組織ドメインと同じ組織ドメイン名でSPF、DKIMによる送信ドメイン認証技術を実装する</t>
    <rPh sb="1" eb="2">
      <t>シャ</t>
    </rPh>
    <rPh sb="3" eb="5">
      <t>ソシキ</t>
    </rPh>
    <rPh sb="10" eb="11">
      <t>オナ</t>
    </rPh>
    <rPh sb="12" eb="14">
      <t>ソシキ</t>
    </rPh>
    <rPh sb="18" eb="19">
      <t>メイ</t>
    </rPh>
    <rPh sb="31" eb="33">
      <t>ソウシン</t>
    </rPh>
    <rPh sb="37" eb="41">
      <t>ニンショウギジュツ</t>
    </rPh>
    <rPh sb="42" eb="44">
      <t>ジッソウ</t>
    </rPh>
    <phoneticPr fontId="1"/>
  </si>
  <si>
    <t>送信側のDNSにせていされたIPアドレスとSMTP接続元のIPアドレスが一致しないため</t>
    <rPh sb="0" eb="3">
      <t>ソウシンガワ</t>
    </rPh>
    <rPh sb="25" eb="27">
      <t>セツゾク</t>
    </rPh>
    <rPh sb="27" eb="28">
      <t>モト</t>
    </rPh>
    <rPh sb="36" eb="38">
      <t>イッチ</t>
    </rPh>
    <phoneticPr fontId="1"/>
  </si>
  <si>
    <t>メール本文とメールヘッダの改ざんの有無</t>
    <rPh sb="3" eb="5">
      <t>ホンブン</t>
    </rPh>
    <rPh sb="13" eb="14">
      <t>カイ</t>
    </rPh>
    <rPh sb="17" eb="19">
      <t>ウム</t>
    </rPh>
    <phoneticPr fontId="1"/>
  </si>
  <si>
    <t>5-2</t>
  </si>
  <si>
    <t>5-2</t>
    <phoneticPr fontId="1"/>
  </si>
  <si>
    <t>R社</t>
    <rPh sb="1" eb="2">
      <t>シャ</t>
    </rPh>
    <phoneticPr fontId="1"/>
  </si>
  <si>
    <t>R社ドメイン</t>
    <rPh sb="1" eb="2">
      <t>シャ</t>
    </rPh>
    <phoneticPr fontId="1"/>
  </si>
  <si>
    <t>Fサービス</t>
    <phoneticPr fontId="1"/>
  </si>
  <si>
    <t>GサービスにおるMLサービス</t>
    <phoneticPr fontId="1"/>
  </si>
  <si>
    <t>1-(1)</t>
    <phoneticPr fontId="1"/>
  </si>
  <si>
    <t>a:LDAP</t>
    <phoneticPr fontId="1"/>
  </si>
  <si>
    <t>1-(2)</t>
    <phoneticPr fontId="1"/>
  </si>
  <si>
    <t>R社内にCA</t>
    <rPh sb="1" eb="3">
      <t>シャナイ</t>
    </rPh>
    <phoneticPr fontId="1"/>
  </si>
  <si>
    <t>b:OCSP</t>
    <phoneticPr fontId="1"/>
  </si>
  <si>
    <t>メールボックスに保管する際に復号されるため。</t>
    <rPh sb="8" eb="10">
      <t>ホカン</t>
    </rPh>
    <rPh sb="12" eb="13">
      <t>サイ</t>
    </rPh>
    <rPh sb="14" eb="16">
      <t>フクゴウ</t>
    </rPh>
    <phoneticPr fontId="1"/>
  </si>
  <si>
    <t>c:メールサーバー</t>
    <phoneticPr fontId="1"/>
  </si>
  <si>
    <t>復号化のための秘密鍵を削除してしまう</t>
    <rPh sb="0" eb="3">
      <t>フクゴウカ</t>
    </rPh>
    <rPh sb="7" eb="10">
      <t>ヒミツカギ</t>
    </rPh>
    <rPh sb="11" eb="13">
      <t>サクジョ</t>
    </rPh>
    <phoneticPr fontId="1"/>
  </si>
  <si>
    <t>SMTPover TLSの通信は内部MSVで終端→復号化される</t>
    <rPh sb="13" eb="15">
      <t>ツウシン</t>
    </rPh>
    <rPh sb="16" eb="18">
      <t>ナイブ</t>
    </rPh>
    <rPh sb="22" eb="24">
      <t>シュウタン</t>
    </rPh>
    <rPh sb="25" eb="28">
      <t>フクゴウカ</t>
    </rPh>
    <phoneticPr fontId="1"/>
  </si>
  <si>
    <t>MSV上では暗号化されていない状態になる</t>
    <rPh sb="3" eb="4">
      <t>ウエ</t>
    </rPh>
    <rPh sb="6" eb="9">
      <t>アンゴウカ</t>
    </rPh>
    <rPh sb="15" eb="17">
      <t>ジョウタイ</t>
    </rPh>
    <phoneticPr fontId="1"/>
  </si>
  <si>
    <t>d:デジタル署名</t>
    <rPh sb="6" eb="8">
      <t>ショメイ</t>
    </rPh>
    <phoneticPr fontId="1"/>
  </si>
  <si>
    <t>e:検証</t>
    <rPh sb="2" eb="4">
      <t>ケンショウ</t>
    </rPh>
    <phoneticPr fontId="1"/>
  </si>
  <si>
    <t>g:ML</t>
    <phoneticPr fontId="1"/>
  </si>
  <si>
    <t>f:MLの登録メンバー</t>
    <rPh sb="5" eb="7">
      <t>トウロク</t>
    </rPh>
    <phoneticPr fontId="1"/>
  </si>
  <si>
    <t>極選分析</t>
  </si>
  <si>
    <t>6-2</t>
  </si>
  <si>
    <t>6-2</t>
    <phoneticPr fontId="1"/>
  </si>
  <si>
    <t>E電子機器の製造会社</t>
    <rPh sb="1" eb="5">
      <t>デンシキキ</t>
    </rPh>
    <rPh sb="6" eb="8">
      <t>セイゾウ</t>
    </rPh>
    <rPh sb="8" eb="10">
      <t>ガイシャ</t>
    </rPh>
    <phoneticPr fontId="1"/>
  </si>
  <si>
    <t>情報システムが企画</t>
    <rPh sb="0" eb="2">
      <t>ジョウホウ</t>
    </rPh>
    <rPh sb="7" eb="9">
      <t>キカク</t>
    </rPh>
    <phoneticPr fontId="1"/>
  </si>
  <si>
    <t>クラウドサービスを利用</t>
    <rPh sb="9" eb="11">
      <t>リヨウ</t>
    </rPh>
    <phoneticPr fontId="1"/>
  </si>
  <si>
    <t>a:オ</t>
    <phoneticPr fontId="1"/>
  </si>
  <si>
    <t>J,O</t>
    <phoneticPr fontId="1"/>
  </si>
  <si>
    <t>標的方やメールの脅威</t>
    <rPh sb="0" eb="3">
      <t>ヒョウテキカタ</t>
    </rPh>
    <rPh sb="8" eb="10">
      <t>キョウイ</t>
    </rPh>
    <phoneticPr fontId="1"/>
  </si>
  <si>
    <t>b:シ</t>
    <phoneticPr fontId="1"/>
  </si>
  <si>
    <t>c:ク</t>
    <phoneticPr fontId="1"/>
  </si>
  <si>
    <t>DMARCを導入</t>
    <rPh sb="6" eb="8">
      <t>ドウニュウ</t>
    </rPh>
    <phoneticPr fontId="1"/>
  </si>
  <si>
    <t>NPCやタブレットを標的</t>
    <rPh sb="10" eb="12">
      <t>ヒョウテキ</t>
    </rPh>
    <phoneticPr fontId="1"/>
  </si>
  <si>
    <t>無線LANに対する脆弱性</t>
    <rPh sb="0" eb="2">
      <t>ムセン</t>
    </rPh>
    <rPh sb="6" eb="7">
      <t>タイ</t>
    </rPh>
    <rPh sb="9" eb="12">
      <t>ゼイジャクセイ</t>
    </rPh>
    <phoneticPr fontId="1"/>
  </si>
  <si>
    <t>無線ALNの脆弱性</t>
    <rPh sb="0" eb="2">
      <t>ムセン</t>
    </rPh>
    <rPh sb="6" eb="9">
      <t>ゼイジャクセイ</t>
    </rPh>
    <phoneticPr fontId="1"/>
  </si>
  <si>
    <t>課題</t>
    <rPh sb="0" eb="2">
      <t>カダイ</t>
    </rPh>
    <phoneticPr fontId="1"/>
  </si>
  <si>
    <t>無線LANの導入のセキュリティ</t>
    <rPh sb="0" eb="2">
      <t>ムセン</t>
    </rPh>
    <rPh sb="6" eb="8">
      <t>ドウニュウ</t>
    </rPh>
    <phoneticPr fontId="1"/>
  </si>
  <si>
    <t>MSVはVIDC</t>
    <phoneticPr fontId="1"/>
  </si>
  <si>
    <t>メールの脅威</t>
    <rPh sb="4" eb="6">
      <t>キョウイ</t>
    </rPh>
    <phoneticPr fontId="1"/>
  </si>
  <si>
    <t>・時刻情報の送信した日時のにメールが存在していたという事実。</t>
    <rPh sb="1" eb="5">
      <t>ジコクジョウホウ</t>
    </rPh>
    <rPh sb="6" eb="8">
      <t>ソウシン</t>
    </rPh>
    <rPh sb="10" eb="12">
      <t>ニチジ</t>
    </rPh>
    <rPh sb="18" eb="20">
      <t>ソンザイ</t>
    </rPh>
    <rPh sb="27" eb="29">
      <t>ジジツ</t>
    </rPh>
    <phoneticPr fontId="1"/>
  </si>
  <si>
    <t>・メールがあとから編集されていないという事実。</t>
    <rPh sb="9" eb="11">
      <t>ヘンシュウ</t>
    </rPh>
    <rPh sb="20" eb="22">
      <t>ジジツ</t>
    </rPh>
    <phoneticPr fontId="1"/>
  </si>
  <si>
    <t>あらかじめ設定した検索条件に一致するメールに通知</t>
    <rPh sb="5" eb="7">
      <t>セッテイ</t>
    </rPh>
    <rPh sb="9" eb="11">
      <t>ケンサク</t>
    </rPh>
    <rPh sb="11" eb="13">
      <t>ジョウケン</t>
    </rPh>
    <rPh sb="14" eb="16">
      <t>イッチ</t>
    </rPh>
    <rPh sb="22" eb="24">
      <t>ツウチ</t>
    </rPh>
    <phoneticPr fontId="1"/>
  </si>
  <si>
    <t>MAシステムにはミラーリング</t>
    <phoneticPr fontId="1"/>
  </si>
  <si>
    <t>L2SW：暗号化されているため、通信内容の検証ができない。</t>
    <rPh sb="5" eb="8">
      <t>アンゴウカ</t>
    </rPh>
    <rPh sb="16" eb="18">
      <t>ツウシン</t>
    </rPh>
    <rPh sb="18" eb="20">
      <t>ナイヨウ</t>
    </rPh>
    <rPh sb="21" eb="23">
      <t>ケンショウ</t>
    </rPh>
    <phoneticPr fontId="1"/>
  </si>
  <si>
    <t>外部MSV:従業員同士のメールを取得できない。</t>
    <rPh sb="0" eb="2">
      <t>ガイブ</t>
    </rPh>
    <rPh sb="6" eb="11">
      <t>ジュウギョウインドウシ</t>
    </rPh>
    <rPh sb="16" eb="18">
      <t>シュトク</t>
    </rPh>
    <phoneticPr fontId="1"/>
  </si>
  <si>
    <t>3-(1)</t>
    <phoneticPr fontId="1"/>
  </si>
  <si>
    <t>SPF憲章に失敗したメールを破棄しても影響なし</t>
    <rPh sb="3" eb="5">
      <t>ケンショウ</t>
    </rPh>
    <rPh sb="6" eb="8">
      <t>シッパイ</t>
    </rPh>
    <rPh sb="14" eb="16">
      <t>ハキ</t>
    </rPh>
    <rPh sb="19" eb="21">
      <t>エイキョウ</t>
    </rPh>
    <phoneticPr fontId="1"/>
  </si>
  <si>
    <t>正当なメールならば、SPFが成功する</t>
    <rPh sb="0" eb="2">
      <t>セイトウ</t>
    </rPh>
    <rPh sb="14" eb="16">
      <t>セイコウ</t>
    </rPh>
    <phoneticPr fontId="1"/>
  </si>
  <si>
    <t>失敗したメールを破棄しても問題ないことをったえられる</t>
    <rPh sb="0" eb="2">
      <t>シッパイ</t>
    </rPh>
    <rPh sb="8" eb="10">
      <t>ハキ</t>
    </rPh>
    <rPh sb="13" eb="15">
      <t>モンダイ</t>
    </rPh>
    <phoneticPr fontId="1"/>
  </si>
  <si>
    <t>送信ドメインからのメールは、送信側がSPFへの対応を保証しているため。</t>
    <rPh sb="0" eb="2">
      <t>ソウシン</t>
    </rPh>
    <rPh sb="14" eb="17">
      <t>ソウシンガワ</t>
    </rPh>
    <rPh sb="23" eb="25">
      <t>タイオウ</t>
    </rPh>
    <rPh sb="26" eb="28">
      <t>ホショウ</t>
    </rPh>
    <phoneticPr fontId="1"/>
  </si>
  <si>
    <t>3-(2)</t>
    <phoneticPr fontId="1"/>
  </si>
  <si>
    <t>DMARCにおける特徴より状況を把握できるようになった</t>
    <rPh sb="9" eb="11">
      <t>トクチョウ</t>
    </rPh>
    <rPh sb="13" eb="15">
      <t>ジョウキョウ</t>
    </rPh>
    <rPh sb="16" eb="18">
      <t>ハアク</t>
    </rPh>
    <phoneticPr fontId="1"/>
  </si>
  <si>
    <t>SPFの検証に失敗したメールがあったこと</t>
    <rPh sb="4" eb="6">
      <t>ケンショウ</t>
    </rPh>
    <rPh sb="7" eb="9">
      <t>シッパイ</t>
    </rPh>
    <phoneticPr fontId="1"/>
  </si>
  <si>
    <t>4-(1)</t>
    <phoneticPr fontId="1"/>
  </si>
  <si>
    <t>登録済みと確認できない端末は、管理サーバが当該端末のネットワーク接続を遮断するため。</t>
    <rPh sb="0" eb="3">
      <t>トウロクズ</t>
    </rPh>
    <rPh sb="5" eb="7">
      <t>カクニン</t>
    </rPh>
    <rPh sb="11" eb="13">
      <t>タンマツ</t>
    </rPh>
    <rPh sb="15" eb="17">
      <t>カンリ</t>
    </rPh>
    <rPh sb="21" eb="23">
      <t>トウガイ</t>
    </rPh>
    <rPh sb="23" eb="25">
      <t>タンマツ</t>
    </rPh>
    <rPh sb="32" eb="34">
      <t>セツゾク</t>
    </rPh>
    <rPh sb="35" eb="37">
      <t>シャダン</t>
    </rPh>
    <phoneticPr fontId="1"/>
  </si>
  <si>
    <t>4-(2)</t>
    <phoneticPr fontId="1"/>
  </si>
  <si>
    <t>プログラム名、実行ファイルのハッシュ値</t>
    <rPh sb="5" eb="6">
      <t>メイ</t>
    </rPh>
    <rPh sb="7" eb="9">
      <t>ジッコウ</t>
    </rPh>
    <rPh sb="18" eb="19">
      <t>アタイ</t>
    </rPh>
    <phoneticPr fontId="1"/>
  </si>
  <si>
    <t>要件に従って許可したソフトウェアだけを実行させる</t>
    <rPh sb="0" eb="2">
      <t>ヨウケン</t>
    </rPh>
    <rPh sb="3" eb="4">
      <t>シタガ</t>
    </rPh>
    <rPh sb="6" eb="8">
      <t>キョカ</t>
    </rPh>
    <rPh sb="19" eb="21">
      <t>ジッコウ</t>
    </rPh>
    <phoneticPr fontId="1"/>
  </si>
  <si>
    <t>4-(3)</t>
    <phoneticPr fontId="1"/>
  </si>
  <si>
    <t>脆弱性のSWが実行されないようにする</t>
    <rPh sb="0" eb="3">
      <t>ゼイジャクセイ</t>
    </rPh>
    <rPh sb="7" eb="9">
      <t>ジッコウ</t>
    </rPh>
    <phoneticPr fontId="1"/>
  </si>
  <si>
    <t>未登録なソフトウェアについて、パッチが適用されていないため。</t>
    <rPh sb="0" eb="3">
      <t>ミトウロク</t>
    </rPh>
    <rPh sb="19" eb="21">
      <t>テキヨウ</t>
    </rPh>
    <phoneticPr fontId="1"/>
  </si>
  <si>
    <t>4-(4)</t>
    <phoneticPr fontId="1"/>
  </si>
  <si>
    <t>スマホをモバイルルータとして接続する</t>
    <rPh sb="14" eb="16">
      <t>セツゾク</t>
    </rPh>
    <phoneticPr fontId="1"/>
  </si>
  <si>
    <t>社内LANの内部であれば、適用されるFWなどの機器の防御が適用されないため。</t>
    <rPh sb="0" eb="2">
      <t>シャナイ</t>
    </rPh>
    <rPh sb="6" eb="8">
      <t>ナイブ</t>
    </rPh>
    <rPh sb="13" eb="15">
      <t>テキヨウ</t>
    </rPh>
    <rPh sb="23" eb="25">
      <t>キキ</t>
    </rPh>
    <rPh sb="26" eb="28">
      <t>ボウギョ</t>
    </rPh>
    <rPh sb="29" eb="31">
      <t>テキヨウ</t>
    </rPh>
    <phoneticPr fontId="1"/>
  </si>
  <si>
    <t>5-(1)</t>
    <phoneticPr fontId="1"/>
  </si>
  <si>
    <t>f:サ</t>
    <phoneticPr fontId="1"/>
  </si>
  <si>
    <t>g:ア</t>
    <phoneticPr fontId="1"/>
  </si>
  <si>
    <t>e:キ</t>
    <phoneticPr fontId="1"/>
  </si>
  <si>
    <t>5-(2)</t>
    <phoneticPr fontId="1"/>
  </si>
  <si>
    <t>CCMP</t>
    <phoneticPr fontId="1"/>
  </si>
  <si>
    <t>不正なアクセスポイントに接続してしまう</t>
    <rPh sb="0" eb="2">
      <t>フセイ</t>
    </rPh>
    <rPh sb="12" eb="14">
      <t>セツゾク</t>
    </rPh>
    <phoneticPr fontId="1"/>
  </si>
  <si>
    <t>サーバー認証とは、無線LANの認証のこと</t>
    <rPh sb="4" eb="6">
      <t>ニンショウ</t>
    </rPh>
    <rPh sb="9" eb="11">
      <t>ムセン</t>
    </rPh>
    <rPh sb="15" eb="17">
      <t>ニンショウ</t>
    </rPh>
    <phoneticPr fontId="1"/>
  </si>
  <si>
    <t>偽のアクセスポイントに接続しても正当性が確認されてない</t>
    <rPh sb="0" eb="1">
      <t>ニセ</t>
    </rPh>
    <rPh sb="11" eb="13">
      <t>セツゾク</t>
    </rPh>
    <rPh sb="16" eb="19">
      <t>セイトウセイ</t>
    </rPh>
    <rPh sb="20" eb="22">
      <t>カクニン</t>
    </rPh>
    <phoneticPr fontId="1"/>
  </si>
  <si>
    <t>5-(3)</t>
    <phoneticPr fontId="1"/>
  </si>
  <si>
    <t>セキュリティ規格：WPA2</t>
    <rPh sb="6" eb="8">
      <t>キカク</t>
    </rPh>
    <phoneticPr fontId="1"/>
  </si>
  <si>
    <t>認証方式：PEAP</t>
    <rPh sb="0" eb="4">
      <t>ニンショウホウシキ</t>
    </rPh>
    <phoneticPr fontId="1"/>
  </si>
  <si>
    <t>5-(4)</t>
    <phoneticPr fontId="1"/>
  </si>
  <si>
    <t>WPA3でリスク</t>
    <phoneticPr fontId="1"/>
  </si>
  <si>
    <t>APにログインして設定を「変更できる</t>
    <rPh sb="9" eb="11">
      <t>セッテイ</t>
    </rPh>
    <rPh sb="13" eb="15">
      <t>ヘンコウ</t>
    </rPh>
    <phoneticPr fontId="1"/>
  </si>
  <si>
    <t>WEBブラウザ自体は正規のURLでアクセスを行い、名前解決により攻撃サーバーのIPアドレスとなっているため。</t>
    <rPh sb="7" eb="9">
      <t>ジタイ</t>
    </rPh>
    <rPh sb="10" eb="12">
      <t>セイキ</t>
    </rPh>
    <rPh sb="22" eb="23">
      <t>オコナ</t>
    </rPh>
    <rPh sb="25" eb="29">
      <t>ナマエカイケツ</t>
    </rPh>
    <rPh sb="32" eb="34">
      <t>コウゲキ</t>
    </rPh>
    <phoneticPr fontId="1"/>
  </si>
  <si>
    <t>6-(1)</t>
    <phoneticPr fontId="1"/>
  </si>
  <si>
    <t>i:CVE</t>
    <phoneticPr fontId="1"/>
  </si>
  <si>
    <t>CVE</t>
    <phoneticPr fontId="1"/>
  </si>
  <si>
    <t>特定の製品に対する個々の脆弱性の識別子がCVEとなる</t>
    <rPh sb="0" eb="2">
      <t>トクテイ</t>
    </rPh>
    <rPh sb="3" eb="5">
      <t>セイヒン</t>
    </rPh>
    <rPh sb="6" eb="7">
      <t>タイ</t>
    </rPh>
    <rPh sb="9" eb="11">
      <t>ココ</t>
    </rPh>
    <rPh sb="12" eb="15">
      <t>ゼイジャクセイ</t>
    </rPh>
    <rPh sb="16" eb="19">
      <t>シキベツシ</t>
    </rPh>
    <phoneticPr fontId="1"/>
  </si>
  <si>
    <t>6-(2)</t>
    <phoneticPr fontId="1"/>
  </si>
  <si>
    <t>Nシステムにより、パッチを強制適用を行うことができるため。</t>
    <rPh sb="13" eb="17">
      <t>キョウセイテキヨウ</t>
    </rPh>
    <rPh sb="18" eb="19">
      <t>オコナ</t>
    </rPh>
    <phoneticPr fontId="1"/>
  </si>
  <si>
    <t>6-(3)</t>
    <phoneticPr fontId="1"/>
  </si>
  <si>
    <t>Eシステム固有の脆弱性を見つけるため</t>
    <rPh sb="5" eb="7">
      <t>コユウ</t>
    </rPh>
    <rPh sb="8" eb="11">
      <t>ゼイジャクセイ</t>
    </rPh>
    <rPh sb="12" eb="13">
      <t>ミ</t>
    </rPh>
    <phoneticPr fontId="1"/>
  </si>
  <si>
    <t>極選</t>
  </si>
  <si>
    <t>極選</t>
    <rPh sb="0" eb="1">
      <t>キワ</t>
    </rPh>
    <rPh sb="1" eb="2">
      <t>エラ</t>
    </rPh>
    <phoneticPr fontId="1"/>
  </si>
  <si>
    <t>6-1</t>
  </si>
  <si>
    <t>6-1</t>
    <phoneticPr fontId="1"/>
  </si>
  <si>
    <t>Z社</t>
    <rPh sb="1" eb="2">
      <t>シャ</t>
    </rPh>
    <phoneticPr fontId="1"/>
  </si>
  <si>
    <t>家具卸売り</t>
    <rPh sb="0" eb="2">
      <t>カグ</t>
    </rPh>
    <rPh sb="2" eb="4">
      <t>オロシウ</t>
    </rPh>
    <phoneticPr fontId="1"/>
  </si>
  <si>
    <t>ドメインを取得</t>
    <rPh sb="5" eb="7">
      <t>シュトク</t>
    </rPh>
    <phoneticPr fontId="1"/>
  </si>
  <si>
    <t>ゾーン→DNS</t>
    <phoneticPr fontId="1"/>
  </si>
  <si>
    <t>AUTディレクトリを保有う</t>
    <rPh sb="10" eb="12">
      <t>ホユウ</t>
    </rPh>
    <phoneticPr fontId="1"/>
  </si>
  <si>
    <t>MX2社内向け</t>
    <rPh sb="3" eb="5">
      <t>シャナイ</t>
    </rPh>
    <rPh sb="5" eb="6">
      <t>ム</t>
    </rPh>
    <phoneticPr fontId="1"/>
  </si>
  <si>
    <t>MX1社外ウイルス</t>
    <rPh sb="3" eb="5">
      <t>シャガイ</t>
    </rPh>
    <phoneticPr fontId="1"/>
  </si>
  <si>
    <t>FW</t>
    <phoneticPr fontId="1"/>
  </si>
  <si>
    <t xml:space="preserve">shanai </t>
    <phoneticPr fontId="1"/>
  </si>
  <si>
    <t>to</t>
    <phoneticPr fontId="1"/>
  </si>
  <si>
    <t>Inet</t>
    <phoneticPr fontId="1"/>
  </si>
  <si>
    <t>NAT</t>
    <phoneticPr fontId="1"/>
  </si>
  <si>
    <t>a:ウ</t>
    <phoneticPr fontId="1"/>
  </si>
  <si>
    <t>b:ア</t>
    <phoneticPr fontId="1"/>
  </si>
  <si>
    <t>メールの詐称</t>
    <rPh sb="4" eb="6">
      <t>サショウ</t>
    </rPh>
    <phoneticPr fontId="1"/>
  </si>
  <si>
    <t>c:オ</t>
    <phoneticPr fontId="1"/>
  </si>
  <si>
    <t>d:イ</t>
    <phoneticPr fontId="1"/>
  </si>
  <si>
    <t>z.y.x.1</t>
    <phoneticPr fontId="1"/>
  </si>
  <si>
    <t>不信な外部サイトへアクセスしたこと。</t>
    <rPh sb="0" eb="2">
      <t>フシン</t>
    </rPh>
    <rPh sb="3" eb="5">
      <t>ガイブ</t>
    </rPh>
    <phoneticPr fontId="1"/>
  </si>
  <si>
    <t>ネットワークモニタ</t>
    <phoneticPr fontId="1"/>
  </si>
  <si>
    <t>L3SW</t>
    <phoneticPr fontId="1"/>
  </si>
  <si>
    <t>社内の特定の通信量が非常に多くなる</t>
    <rPh sb="0" eb="2">
      <t>シャナイ</t>
    </rPh>
    <rPh sb="3" eb="5">
      <t>トクテイ</t>
    </rPh>
    <rPh sb="6" eb="8">
      <t>ツウシン</t>
    </rPh>
    <rPh sb="8" eb="9">
      <t>リョウ</t>
    </rPh>
    <rPh sb="10" eb="12">
      <t>ヒジョウ</t>
    </rPh>
    <rPh sb="13" eb="14">
      <t>オオ</t>
    </rPh>
    <phoneticPr fontId="1"/>
  </si>
  <si>
    <t>3-(3)</t>
    <phoneticPr fontId="1"/>
  </si>
  <si>
    <t>PRXとMX1以外のインターネットへの通信を遮断する設定</t>
    <rPh sb="7" eb="9">
      <t>イガイ</t>
    </rPh>
    <rPh sb="19" eb="21">
      <t>ツウシン</t>
    </rPh>
    <rPh sb="22" eb="24">
      <t>シャダン</t>
    </rPh>
    <rPh sb="26" eb="28">
      <t>セッテイ</t>
    </rPh>
    <phoneticPr fontId="1"/>
  </si>
  <si>
    <t>3-(4)</t>
    <phoneticPr fontId="1"/>
  </si>
  <si>
    <t>FWで不審なサイトのURLをブラックリストとして登録する。</t>
    <rPh sb="3" eb="5">
      <t>フシン</t>
    </rPh>
    <rPh sb="24" eb="26">
      <t>トウロク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</si>
</sst>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2" borderId="0" xfId="0" applyFill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tabSelected="1" workbookViewId="0">
      <selection activeCell="G10" sqref="G10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44</v>
      </c>
      <c r="E2">
        <v>50</v>
      </c>
    </row>
    <row r="3" spans="1:6">
      <c r="A3">
        <v>2</v>
      </c>
      <c r="B3" s="2" t="s">
        <v>12</v>
      </c>
      <c r="C3" s="2" t="s">
        <v>47</v>
      </c>
      <c r="D3">
        <v>50</v>
      </c>
      <c r="E3">
        <v>50</v>
      </c>
    </row>
    <row r="4" spans="1:6">
      <c r="A4">
        <v>3</v>
      </c>
      <c r="B4" s="2" t="s">
        <v>67</v>
      </c>
      <c r="C4" s="2" t="s">
        <v>68</v>
      </c>
      <c r="D4">
        <v>77</v>
      </c>
      <c r="E4">
        <v>100</v>
      </c>
    </row>
    <row r="5" spans="1:6">
      <c r="A5">
        <v>4</v>
      </c>
      <c r="B5" s="2" t="s">
        <v>135</v>
      </c>
      <c r="C5" s="2" t="s">
        <v>137</v>
      </c>
      <c r="D5">
        <v>42</v>
      </c>
      <c r="E5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DCF6D-9C9A-4169-B398-9797E5419391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15</v>
      </c>
      <c r="D2">
        <f>SUM(D4:D1000)</f>
        <v>44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19</v>
      </c>
      <c r="B4" s="1" t="s">
        <v>20</v>
      </c>
      <c r="C4">
        <f>IF(B4&lt;&gt;"",LEN(B4),"")</f>
        <v>9</v>
      </c>
      <c r="D4">
        <v>4</v>
      </c>
      <c r="E4">
        <v>4</v>
      </c>
    </row>
    <row r="5" spans="1:7">
      <c r="A5" s="2" t="s">
        <v>21</v>
      </c>
      <c r="B5" s="1" t="s">
        <v>24</v>
      </c>
      <c r="C5">
        <f t="shared" ref="C5:C68" si="0">IF(B5&lt;&gt;"",LEN(B5),"")</f>
        <v>2</v>
      </c>
      <c r="D5">
        <v>2</v>
      </c>
      <c r="E5">
        <v>2</v>
      </c>
      <c r="G5" t="s">
        <v>16</v>
      </c>
    </row>
    <row r="6" spans="1:7">
      <c r="B6" s="1" t="s">
        <v>25</v>
      </c>
      <c r="C6">
        <f t="shared" si="0"/>
        <v>2</v>
      </c>
      <c r="D6">
        <v>2</v>
      </c>
      <c r="E6">
        <v>2</v>
      </c>
      <c r="G6" t="s">
        <v>17</v>
      </c>
    </row>
    <row r="7" spans="1:7">
      <c r="B7" s="1" t="s">
        <v>26</v>
      </c>
      <c r="C7">
        <f t="shared" si="0"/>
        <v>2</v>
      </c>
      <c r="D7">
        <v>2</v>
      </c>
      <c r="E7">
        <v>2</v>
      </c>
    </row>
    <row r="8" spans="1:7">
      <c r="B8" s="1" t="s">
        <v>27</v>
      </c>
      <c r="C8">
        <f t="shared" si="0"/>
        <v>2</v>
      </c>
      <c r="D8">
        <v>2</v>
      </c>
      <c r="E8">
        <v>2</v>
      </c>
      <c r="G8" t="s">
        <v>18</v>
      </c>
    </row>
    <row r="9" spans="1:7">
      <c r="B9" s="1" t="s">
        <v>29</v>
      </c>
      <c r="C9">
        <f t="shared" si="0"/>
        <v>2</v>
      </c>
      <c r="D9">
        <v>2</v>
      </c>
      <c r="E9">
        <v>2</v>
      </c>
      <c r="G9" t="s">
        <v>22</v>
      </c>
    </row>
    <row r="10" spans="1:7">
      <c r="B10" s="1" t="s">
        <v>28</v>
      </c>
      <c r="C10">
        <f t="shared" si="0"/>
        <v>2</v>
      </c>
      <c r="D10">
        <v>2</v>
      </c>
      <c r="E10">
        <v>2</v>
      </c>
    </row>
    <row r="11" spans="1:7">
      <c r="B11" s="1" t="s">
        <v>30</v>
      </c>
      <c r="C11">
        <f t="shared" si="0"/>
        <v>2</v>
      </c>
      <c r="D11">
        <v>2</v>
      </c>
      <c r="E11">
        <v>2</v>
      </c>
      <c r="G11" t="s">
        <v>23</v>
      </c>
    </row>
    <row r="12" spans="1:7">
      <c r="B12" s="1" t="s">
        <v>31</v>
      </c>
      <c r="C12">
        <f t="shared" si="0"/>
        <v>2</v>
      </c>
      <c r="D12">
        <v>2</v>
      </c>
      <c r="E12">
        <v>2</v>
      </c>
    </row>
    <row r="13" spans="1:7">
      <c r="A13" s="2" t="s">
        <v>32</v>
      </c>
      <c r="B13" s="1" t="s">
        <v>33</v>
      </c>
      <c r="C13">
        <f t="shared" si="0"/>
        <v>12</v>
      </c>
      <c r="D13">
        <v>2</v>
      </c>
      <c r="E13">
        <v>2</v>
      </c>
    </row>
    <row r="14" spans="1:7" ht="43.2" customHeight="1">
      <c r="A14" s="2" t="s">
        <v>34</v>
      </c>
      <c r="B14" s="4" t="s">
        <v>35</v>
      </c>
      <c r="C14" s="5">
        <f t="shared" si="0"/>
        <v>57</v>
      </c>
      <c r="D14" s="5">
        <v>3</v>
      </c>
      <c r="E14" s="5">
        <v>6</v>
      </c>
    </row>
    <row r="15" spans="1:7">
      <c r="A15" s="2" t="s">
        <v>36</v>
      </c>
      <c r="B15" s="4" t="s">
        <v>37</v>
      </c>
      <c r="C15" s="5">
        <f t="shared" si="0"/>
        <v>14</v>
      </c>
      <c r="D15" s="5">
        <v>3</v>
      </c>
      <c r="E15" s="5">
        <v>6</v>
      </c>
    </row>
    <row r="16" spans="1:7">
      <c r="A16" s="2" t="s">
        <v>38</v>
      </c>
      <c r="B16" s="1" t="s">
        <v>39</v>
      </c>
      <c r="C16">
        <f t="shared" si="0"/>
        <v>18</v>
      </c>
      <c r="D16">
        <v>2</v>
      </c>
      <c r="E16">
        <v>2</v>
      </c>
    </row>
    <row r="17" spans="1:5">
      <c r="B17" s="1" t="s">
        <v>40</v>
      </c>
      <c r="C17">
        <f t="shared" si="0"/>
        <v>12</v>
      </c>
      <c r="D17">
        <v>2</v>
      </c>
      <c r="E17">
        <v>2</v>
      </c>
    </row>
    <row r="18" spans="1:5">
      <c r="B18" s="1" t="s">
        <v>42</v>
      </c>
      <c r="C18">
        <f t="shared" si="0"/>
        <v>12</v>
      </c>
      <c r="D18">
        <v>2</v>
      </c>
      <c r="E18">
        <v>2</v>
      </c>
    </row>
    <row r="19" spans="1:5">
      <c r="B19" s="1" t="s">
        <v>41</v>
      </c>
      <c r="C19">
        <f t="shared" si="0"/>
        <v>3</v>
      </c>
      <c r="D19">
        <v>2</v>
      </c>
      <c r="E19">
        <v>2</v>
      </c>
    </row>
    <row r="20" spans="1:5">
      <c r="A20" s="2" t="s">
        <v>43</v>
      </c>
      <c r="B20" s="1" t="s">
        <v>44</v>
      </c>
      <c r="C20">
        <f t="shared" si="0"/>
        <v>46</v>
      </c>
      <c r="D20">
        <v>8</v>
      </c>
      <c r="E20">
        <v>8</v>
      </c>
    </row>
    <row r="21" spans="1:5">
      <c r="C21" t="str">
        <f t="shared" si="0"/>
        <v/>
      </c>
    </row>
    <row r="22" spans="1:5">
      <c r="B22" s="1" t="s">
        <v>45</v>
      </c>
      <c r="C22">
        <f t="shared" si="0"/>
        <v>43</v>
      </c>
    </row>
    <row r="23" spans="1:5">
      <c r="B23" s="1" t="s">
        <v>46</v>
      </c>
      <c r="C23">
        <f t="shared" si="0"/>
        <v>19</v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9A987-CA06-435E-B6E9-911BF9C733D4}">
  <sheetPr codeName="Sheet5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48</v>
      </c>
      <c r="D2">
        <f>SUM(D4:D1000)</f>
        <v>50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53</v>
      </c>
      <c r="B4" s="1" t="s">
        <v>54</v>
      </c>
      <c r="C4">
        <f>IF(B4&lt;&gt;"",LEN(B4),"")</f>
        <v>6</v>
      </c>
      <c r="D4">
        <v>4</v>
      </c>
      <c r="E4">
        <v>4</v>
      </c>
    </row>
    <row r="5" spans="1:7">
      <c r="A5" s="2" t="s">
        <v>55</v>
      </c>
      <c r="B5" s="1" t="s">
        <v>57</v>
      </c>
      <c r="C5">
        <f t="shared" ref="C5:C68" si="0">IF(B5&lt;&gt;"",LEN(B5),"")</f>
        <v>6</v>
      </c>
      <c r="D5">
        <v>4</v>
      </c>
      <c r="E5">
        <v>4</v>
      </c>
      <c r="G5" t="s">
        <v>49</v>
      </c>
    </row>
    <row r="6" spans="1:7">
      <c r="A6" s="2" t="s">
        <v>21</v>
      </c>
      <c r="B6" s="1" t="s">
        <v>58</v>
      </c>
      <c r="C6">
        <f t="shared" si="0"/>
        <v>22</v>
      </c>
      <c r="D6">
        <v>8</v>
      </c>
      <c r="E6">
        <v>8</v>
      </c>
      <c r="G6" t="s">
        <v>50</v>
      </c>
    </row>
    <row r="7" spans="1:7">
      <c r="A7" s="2" t="s">
        <v>32</v>
      </c>
      <c r="B7" s="1" t="s">
        <v>59</v>
      </c>
      <c r="C7">
        <f t="shared" si="0"/>
        <v>9</v>
      </c>
      <c r="D7">
        <v>6</v>
      </c>
      <c r="E7">
        <v>6</v>
      </c>
      <c r="G7" t="s">
        <v>51</v>
      </c>
    </row>
    <row r="8" spans="1:7">
      <c r="A8" s="2" t="s">
        <v>34</v>
      </c>
      <c r="B8" s="1" t="s">
        <v>60</v>
      </c>
      <c r="C8">
        <f t="shared" si="0"/>
        <v>18</v>
      </c>
      <c r="D8">
        <v>8</v>
      </c>
      <c r="E8">
        <v>8</v>
      </c>
      <c r="G8" t="s">
        <v>52</v>
      </c>
    </row>
    <row r="9" spans="1:7">
      <c r="A9" s="2" t="s">
        <v>38</v>
      </c>
      <c r="B9" s="1" t="s">
        <v>63</v>
      </c>
      <c r="C9">
        <f t="shared" si="0"/>
        <v>8</v>
      </c>
      <c r="D9">
        <v>5</v>
      </c>
      <c r="E9">
        <v>5</v>
      </c>
    </row>
    <row r="10" spans="1:7">
      <c r="B10" s="1" t="s">
        <v>64</v>
      </c>
      <c r="C10">
        <f t="shared" si="0"/>
        <v>4</v>
      </c>
      <c r="D10">
        <v>5</v>
      </c>
      <c r="E10">
        <v>5</v>
      </c>
      <c r="G10" t="s">
        <v>56</v>
      </c>
    </row>
    <row r="11" spans="1:7">
      <c r="B11" s="1" t="s">
        <v>66</v>
      </c>
      <c r="C11">
        <f t="shared" si="0"/>
        <v>11</v>
      </c>
      <c r="D11">
        <v>5</v>
      </c>
      <c r="E11">
        <v>5</v>
      </c>
    </row>
    <row r="12" spans="1:7">
      <c r="B12" s="1" t="s">
        <v>65</v>
      </c>
      <c r="C12">
        <f t="shared" si="0"/>
        <v>4</v>
      </c>
      <c r="D12">
        <v>5</v>
      </c>
      <c r="E12">
        <v>5</v>
      </c>
    </row>
    <row r="13" spans="1:7">
      <c r="C13" t="str">
        <f t="shared" si="0"/>
        <v/>
      </c>
    </row>
    <row r="14" spans="1:7">
      <c r="C14" t="str">
        <f t="shared" si="0"/>
        <v/>
      </c>
    </row>
    <row r="15" spans="1:7">
      <c r="C15" t="str">
        <f t="shared" si="0"/>
        <v/>
      </c>
    </row>
    <row r="16" spans="1:7">
      <c r="C16" t="str">
        <f t="shared" si="0"/>
        <v/>
      </c>
    </row>
    <row r="17" spans="2:3">
      <c r="C17" t="str">
        <f t="shared" si="0"/>
        <v/>
      </c>
    </row>
    <row r="18" spans="2:3">
      <c r="C18" t="str">
        <f t="shared" si="0"/>
        <v/>
      </c>
    </row>
    <row r="19" spans="2:3">
      <c r="C19" t="str">
        <f t="shared" si="0"/>
        <v/>
      </c>
    </row>
    <row r="20" spans="2:3">
      <c r="C20" t="str">
        <f t="shared" si="0"/>
        <v/>
      </c>
    </row>
    <row r="21" spans="2:3">
      <c r="C21" t="str">
        <f t="shared" si="0"/>
        <v/>
      </c>
    </row>
    <row r="22" spans="2:3">
      <c r="C22" t="str">
        <f t="shared" si="0"/>
        <v/>
      </c>
    </row>
    <row r="23" spans="2:3">
      <c r="B23" s="1" t="s">
        <v>61</v>
      </c>
      <c r="C23">
        <f t="shared" si="0"/>
        <v>31</v>
      </c>
    </row>
    <row r="24" spans="2:3">
      <c r="B24" s="1" t="s">
        <v>62</v>
      </c>
      <c r="C24">
        <f t="shared" si="0"/>
        <v>20</v>
      </c>
    </row>
    <row r="25" spans="2:3">
      <c r="C25" t="str">
        <f t="shared" si="0"/>
        <v/>
      </c>
    </row>
    <row r="26" spans="2:3">
      <c r="C26" t="str">
        <f t="shared" si="0"/>
        <v/>
      </c>
    </row>
    <row r="27" spans="2:3">
      <c r="C27" t="str">
        <f t="shared" si="0"/>
        <v/>
      </c>
    </row>
    <row r="28" spans="2:3">
      <c r="C28" t="str">
        <f t="shared" si="0"/>
        <v/>
      </c>
    </row>
    <row r="29" spans="2:3">
      <c r="C29" t="str">
        <f t="shared" si="0"/>
        <v/>
      </c>
    </row>
    <row r="30" spans="2:3">
      <c r="C30" t="str">
        <f t="shared" si="0"/>
        <v/>
      </c>
    </row>
    <row r="31" spans="2:3">
      <c r="C31" t="str">
        <f t="shared" si="0"/>
        <v/>
      </c>
    </row>
    <row r="32" spans="2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D1C86-C08A-47C0-8654-3FA40D8E6E9E}">
  <sheetPr codeName="Sheet6"/>
  <dimension ref="A1:L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12">
      <c r="A1" s="2" t="s">
        <v>0</v>
      </c>
      <c r="B1" s="1" t="s">
        <v>136</v>
      </c>
    </row>
    <row r="2" spans="1:12">
      <c r="A2" s="2" t="s">
        <v>2</v>
      </c>
      <c r="B2" s="3" t="s">
        <v>69</v>
      </c>
      <c r="D2">
        <f>SUM(D4:D1000)</f>
        <v>77</v>
      </c>
      <c r="E2">
        <f>SUM(E4:E1000)</f>
        <v>100</v>
      </c>
      <c r="J2" s="5" t="s">
        <v>116</v>
      </c>
    </row>
    <row r="3" spans="1:12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2">
      <c r="A4" s="2" t="s">
        <v>19</v>
      </c>
      <c r="B4" s="1" t="s">
        <v>73</v>
      </c>
      <c r="C4">
        <f>IF(B4&lt;&gt;"",LEN(B4),"")</f>
        <v>3</v>
      </c>
      <c r="D4">
        <v>2</v>
      </c>
      <c r="E4">
        <v>2</v>
      </c>
    </row>
    <row r="5" spans="1:12">
      <c r="B5" s="1" t="s">
        <v>76</v>
      </c>
      <c r="C5">
        <f t="shared" ref="C5:C68" si="0">IF(B5&lt;&gt;"",LEN(B5),"")</f>
        <v>3</v>
      </c>
      <c r="D5">
        <v>2</v>
      </c>
      <c r="E5">
        <v>2</v>
      </c>
      <c r="G5" t="s">
        <v>70</v>
      </c>
      <c r="J5" t="s">
        <v>74</v>
      </c>
      <c r="L5" t="s">
        <v>78</v>
      </c>
    </row>
    <row r="6" spans="1:12">
      <c r="B6" s="1" t="s">
        <v>77</v>
      </c>
      <c r="C6">
        <f t="shared" si="0"/>
        <v>3</v>
      </c>
      <c r="D6">
        <v>2</v>
      </c>
      <c r="E6">
        <v>2</v>
      </c>
      <c r="G6" t="s">
        <v>71</v>
      </c>
      <c r="J6" t="s">
        <v>75</v>
      </c>
      <c r="L6" t="s">
        <v>79</v>
      </c>
    </row>
    <row r="7" spans="1:12">
      <c r="A7" s="2" t="s">
        <v>21</v>
      </c>
      <c r="B7" s="1" t="s">
        <v>86</v>
      </c>
      <c r="C7">
        <f t="shared" si="0"/>
        <v>30</v>
      </c>
      <c r="D7">
        <v>4</v>
      </c>
      <c r="E7">
        <v>4</v>
      </c>
      <c r="G7" t="s">
        <v>72</v>
      </c>
      <c r="J7" t="s">
        <v>80</v>
      </c>
      <c r="L7" t="s">
        <v>81</v>
      </c>
    </row>
    <row r="8" spans="1:12">
      <c r="B8" s="1" t="s">
        <v>87</v>
      </c>
      <c r="C8">
        <f t="shared" si="0"/>
        <v>23</v>
      </c>
      <c r="D8">
        <v>4</v>
      </c>
      <c r="E8">
        <v>4</v>
      </c>
      <c r="G8" t="s">
        <v>82</v>
      </c>
      <c r="J8" t="s">
        <v>84</v>
      </c>
      <c r="L8" t="s">
        <v>88</v>
      </c>
    </row>
    <row r="9" spans="1:12">
      <c r="A9" s="2" t="s">
        <v>32</v>
      </c>
      <c r="B9" s="1" t="s">
        <v>90</v>
      </c>
      <c r="C9">
        <f t="shared" si="0"/>
        <v>29</v>
      </c>
      <c r="D9">
        <v>4</v>
      </c>
      <c r="E9">
        <v>4</v>
      </c>
      <c r="G9" t="s">
        <v>83</v>
      </c>
      <c r="J9" t="s">
        <v>85</v>
      </c>
      <c r="L9" t="s">
        <v>89</v>
      </c>
    </row>
    <row r="10" spans="1:12">
      <c r="B10" s="1" t="s">
        <v>91</v>
      </c>
      <c r="C10">
        <f t="shared" si="0"/>
        <v>23</v>
      </c>
      <c r="D10">
        <v>2</v>
      </c>
      <c r="E10">
        <v>4</v>
      </c>
      <c r="G10" t="s">
        <v>93</v>
      </c>
    </row>
    <row r="11" spans="1:12">
      <c r="A11" s="2" t="s">
        <v>92</v>
      </c>
      <c r="B11" s="1" t="s">
        <v>96</v>
      </c>
      <c r="C11">
        <f t="shared" si="0"/>
        <v>35</v>
      </c>
      <c r="D11">
        <v>0</v>
      </c>
      <c r="E11">
        <v>6</v>
      </c>
      <c r="G11" t="s">
        <v>94</v>
      </c>
      <c r="J11" t="s">
        <v>98</v>
      </c>
    </row>
    <row r="12" spans="1:12">
      <c r="A12" s="2" t="s">
        <v>97</v>
      </c>
      <c r="B12" s="1" t="s">
        <v>99</v>
      </c>
      <c r="C12">
        <f t="shared" si="0"/>
        <v>20</v>
      </c>
      <c r="D12">
        <v>6</v>
      </c>
      <c r="E12">
        <v>6</v>
      </c>
      <c r="G12" t="s">
        <v>95</v>
      </c>
      <c r="J12" t="s">
        <v>106</v>
      </c>
    </row>
    <row r="13" spans="1:12">
      <c r="A13" s="2" t="s">
        <v>100</v>
      </c>
      <c r="B13" s="1" t="s">
        <v>101</v>
      </c>
      <c r="C13">
        <f t="shared" si="0"/>
        <v>42</v>
      </c>
      <c r="D13">
        <v>8</v>
      </c>
      <c r="E13">
        <v>8</v>
      </c>
      <c r="G13" t="s">
        <v>109</v>
      </c>
    </row>
    <row r="14" spans="1:12">
      <c r="A14" s="2" t="s">
        <v>102</v>
      </c>
      <c r="B14" s="1" t="s">
        <v>103</v>
      </c>
      <c r="C14">
        <f t="shared" si="0"/>
        <v>19</v>
      </c>
      <c r="D14">
        <v>0</v>
      </c>
      <c r="E14">
        <v>4</v>
      </c>
    </row>
    <row r="15" spans="1:12">
      <c r="B15" s="1" t="s">
        <v>104</v>
      </c>
      <c r="C15">
        <f t="shared" si="0"/>
        <v>24</v>
      </c>
      <c r="D15">
        <v>0</v>
      </c>
      <c r="E15">
        <v>4</v>
      </c>
      <c r="G15" t="s">
        <v>118</v>
      </c>
    </row>
    <row r="16" spans="1:12">
      <c r="A16" s="2" t="s">
        <v>105</v>
      </c>
      <c r="B16" s="1" t="s">
        <v>107</v>
      </c>
      <c r="C16">
        <f t="shared" si="0"/>
        <v>30</v>
      </c>
      <c r="D16">
        <v>6</v>
      </c>
      <c r="E16">
        <v>6</v>
      </c>
      <c r="G16" t="s">
        <v>119</v>
      </c>
    </row>
    <row r="17" spans="1:7">
      <c r="A17" s="2" t="s">
        <v>108</v>
      </c>
      <c r="B17" s="1" t="s">
        <v>110</v>
      </c>
      <c r="C17">
        <f t="shared" si="0"/>
        <v>38</v>
      </c>
      <c r="D17">
        <v>3</v>
      </c>
      <c r="E17">
        <v>6</v>
      </c>
    </row>
    <row r="18" spans="1:7">
      <c r="A18" s="2" t="s">
        <v>111</v>
      </c>
      <c r="B18" s="1" t="s">
        <v>114</v>
      </c>
      <c r="C18">
        <f t="shared" si="0"/>
        <v>3</v>
      </c>
      <c r="D18">
        <v>2</v>
      </c>
      <c r="E18">
        <v>2</v>
      </c>
      <c r="G18" t="s">
        <v>124</v>
      </c>
    </row>
    <row r="19" spans="1:7">
      <c r="B19" s="1" t="s">
        <v>112</v>
      </c>
      <c r="C19">
        <f t="shared" si="0"/>
        <v>3</v>
      </c>
      <c r="D19">
        <v>2</v>
      </c>
      <c r="E19">
        <v>2</v>
      </c>
      <c r="G19" t="s">
        <v>125</v>
      </c>
    </row>
    <row r="20" spans="1:7">
      <c r="B20" s="1" t="s">
        <v>113</v>
      </c>
      <c r="C20">
        <f t="shared" si="0"/>
        <v>3</v>
      </c>
      <c r="D20">
        <v>2</v>
      </c>
      <c r="E20">
        <v>2</v>
      </c>
    </row>
    <row r="21" spans="1:7">
      <c r="A21" s="2" t="s">
        <v>115</v>
      </c>
      <c r="B21" s="1" t="s">
        <v>117</v>
      </c>
      <c r="C21">
        <f t="shared" si="0"/>
        <v>19</v>
      </c>
      <c r="D21">
        <v>6</v>
      </c>
      <c r="E21">
        <v>6</v>
      </c>
      <c r="G21" t="s">
        <v>129</v>
      </c>
    </row>
    <row r="22" spans="1:7">
      <c r="A22" s="2" t="s">
        <v>120</v>
      </c>
      <c r="B22" s="1" t="s">
        <v>121</v>
      </c>
      <c r="C22">
        <f t="shared" si="0"/>
        <v>13</v>
      </c>
      <c r="D22">
        <v>2</v>
      </c>
      <c r="E22">
        <v>2</v>
      </c>
      <c r="G22" t="s">
        <v>130</v>
      </c>
    </row>
    <row r="23" spans="1:7">
      <c r="B23" s="1" t="s">
        <v>122</v>
      </c>
      <c r="C23">
        <f t="shared" si="0"/>
        <v>9</v>
      </c>
      <c r="D23">
        <v>2</v>
      </c>
      <c r="E23">
        <v>2</v>
      </c>
    </row>
    <row r="24" spans="1:7" ht="34.200000000000003" customHeight="1">
      <c r="A24" s="2" t="s">
        <v>123</v>
      </c>
      <c r="B24" s="1" t="s">
        <v>126</v>
      </c>
      <c r="C24">
        <f t="shared" si="0"/>
        <v>54</v>
      </c>
      <c r="D24">
        <v>6</v>
      </c>
      <c r="E24">
        <v>6</v>
      </c>
    </row>
    <row r="25" spans="1:7">
      <c r="A25" s="2" t="s">
        <v>127</v>
      </c>
      <c r="B25" s="1" t="s">
        <v>128</v>
      </c>
      <c r="C25">
        <f t="shared" si="0"/>
        <v>5</v>
      </c>
      <c r="D25">
        <v>4</v>
      </c>
      <c r="E25">
        <v>4</v>
      </c>
    </row>
    <row r="26" spans="1:7">
      <c r="A26" s="2" t="s">
        <v>131</v>
      </c>
      <c r="B26" s="1" t="s">
        <v>132</v>
      </c>
      <c r="C26">
        <f t="shared" si="0"/>
        <v>29</v>
      </c>
      <c r="D26">
        <v>6</v>
      </c>
      <c r="E26">
        <v>6</v>
      </c>
    </row>
    <row r="27" spans="1:7">
      <c r="A27" s="2" t="s">
        <v>133</v>
      </c>
      <c r="B27" s="1" t="s">
        <v>134</v>
      </c>
      <c r="C27">
        <f t="shared" si="0"/>
        <v>18</v>
      </c>
      <c r="D27">
        <v>2</v>
      </c>
      <c r="E27">
        <v>6</v>
      </c>
    </row>
    <row r="28" spans="1:7">
      <c r="C28" t="str">
        <f t="shared" si="0"/>
        <v/>
      </c>
    </row>
    <row r="29" spans="1:7">
      <c r="C29" t="str">
        <f t="shared" si="0"/>
        <v/>
      </c>
    </row>
    <row r="30" spans="1:7">
      <c r="C30" t="str">
        <f t="shared" si="0"/>
        <v/>
      </c>
    </row>
    <row r="31" spans="1:7">
      <c r="C31" t="str">
        <f t="shared" si="0"/>
        <v/>
      </c>
    </row>
    <row r="32" spans="1:7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52F2B-9ADF-4441-A81A-7B3F79363DF0}">
  <sheetPr codeName="Sheet7"/>
  <dimension ref="A1:L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5" sqref="D15"/>
    </sheetView>
  </sheetViews>
  <sheetFormatPr defaultRowHeight="18"/>
  <cols>
    <col min="1" max="1" width="8.796875" style="2"/>
    <col min="2" max="2" width="96.8984375" style="1" customWidth="1"/>
    <col min="3" max="3" width="9.69921875" customWidth="1"/>
  </cols>
  <sheetData>
    <row r="1" spans="1:12">
      <c r="A1" s="2" t="s">
        <v>0</v>
      </c>
      <c r="B1" s="1" t="s">
        <v>136</v>
      </c>
    </row>
    <row r="2" spans="1:12">
      <c r="A2" s="2" t="s">
        <v>2</v>
      </c>
      <c r="B2" s="3" t="s">
        <v>138</v>
      </c>
      <c r="D2">
        <f>SUM(D4:D1000)</f>
        <v>42</v>
      </c>
      <c r="E2">
        <f>SUM(E4:E1000)</f>
        <v>50</v>
      </c>
    </row>
    <row r="3" spans="1:12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2">
      <c r="A4" s="2" t="s">
        <v>19</v>
      </c>
      <c r="B4" s="1" t="s">
        <v>151</v>
      </c>
      <c r="C4">
        <f>IF(B4&lt;&gt;"",LEN(B4),"")</f>
        <v>3</v>
      </c>
      <c r="D4">
        <v>3</v>
      </c>
      <c r="E4">
        <v>3</v>
      </c>
      <c r="G4" t="s">
        <v>139</v>
      </c>
      <c r="I4" t="s">
        <v>143</v>
      </c>
      <c r="K4" t="s">
        <v>147</v>
      </c>
      <c r="L4" t="s">
        <v>153</v>
      </c>
    </row>
    <row r="5" spans="1:12">
      <c r="B5" s="1" t="s">
        <v>152</v>
      </c>
      <c r="C5">
        <f t="shared" ref="C5:C68" si="0">IF(B5&lt;&gt;"",LEN(B5),"")</f>
        <v>3</v>
      </c>
      <c r="D5">
        <v>3</v>
      </c>
      <c r="E5">
        <v>3</v>
      </c>
      <c r="G5" t="s">
        <v>140</v>
      </c>
      <c r="I5" t="s">
        <v>144</v>
      </c>
      <c r="K5" t="s">
        <v>148</v>
      </c>
    </row>
    <row r="6" spans="1:12">
      <c r="A6" s="2" t="s">
        <v>21</v>
      </c>
      <c r="B6" s="1" t="s">
        <v>154</v>
      </c>
      <c r="C6">
        <f t="shared" si="0"/>
        <v>3</v>
      </c>
      <c r="D6">
        <v>3</v>
      </c>
      <c r="E6">
        <v>3</v>
      </c>
      <c r="G6" t="s">
        <v>141</v>
      </c>
      <c r="I6" t="s">
        <v>145</v>
      </c>
      <c r="K6" t="s">
        <v>149</v>
      </c>
    </row>
    <row r="7" spans="1:12">
      <c r="B7" s="1" t="s">
        <v>155</v>
      </c>
      <c r="C7">
        <f t="shared" si="0"/>
        <v>3</v>
      </c>
      <c r="D7">
        <v>3</v>
      </c>
      <c r="E7">
        <v>3</v>
      </c>
      <c r="G7" t="s">
        <v>142</v>
      </c>
      <c r="I7" t="s">
        <v>146</v>
      </c>
      <c r="K7" t="s">
        <v>150</v>
      </c>
    </row>
    <row r="8" spans="1:12">
      <c r="A8" s="2" t="s">
        <v>32</v>
      </c>
      <c r="B8" s="1" t="s">
        <v>156</v>
      </c>
      <c r="C8">
        <f t="shared" si="0"/>
        <v>7</v>
      </c>
      <c r="D8">
        <v>5</v>
      </c>
      <c r="E8">
        <v>5</v>
      </c>
    </row>
    <row r="9" spans="1:12">
      <c r="A9" s="2" t="s">
        <v>92</v>
      </c>
      <c r="B9" s="1" t="s">
        <v>157</v>
      </c>
      <c r="C9">
        <f t="shared" si="0"/>
        <v>18</v>
      </c>
      <c r="D9">
        <v>6</v>
      </c>
      <c r="E9">
        <v>6</v>
      </c>
    </row>
    <row r="10" spans="1:12">
      <c r="A10" s="2" t="s">
        <v>97</v>
      </c>
      <c r="B10" s="1" t="s">
        <v>158</v>
      </c>
      <c r="C10">
        <f t="shared" si="0"/>
        <v>9</v>
      </c>
      <c r="D10">
        <v>3</v>
      </c>
      <c r="E10">
        <v>3</v>
      </c>
    </row>
    <row r="11" spans="1:12">
      <c r="B11" s="1" t="s">
        <v>159</v>
      </c>
      <c r="C11">
        <f t="shared" si="0"/>
        <v>4</v>
      </c>
      <c r="D11">
        <v>0</v>
      </c>
      <c r="E11">
        <v>4</v>
      </c>
    </row>
    <row r="12" spans="1:12">
      <c r="B12" s="1" t="s">
        <v>160</v>
      </c>
      <c r="C12">
        <f t="shared" si="0"/>
        <v>17</v>
      </c>
      <c r="D12">
        <v>4</v>
      </c>
      <c r="E12">
        <v>4</v>
      </c>
    </row>
    <row r="13" spans="1:12">
      <c r="A13" s="2" t="s">
        <v>161</v>
      </c>
      <c r="B13" s="1" t="s">
        <v>162</v>
      </c>
      <c r="C13">
        <f t="shared" si="0"/>
        <v>28</v>
      </c>
      <c r="D13">
        <v>8</v>
      </c>
      <c r="E13">
        <v>8</v>
      </c>
    </row>
    <row r="14" spans="1:12">
      <c r="A14" s="2" t="s">
        <v>163</v>
      </c>
      <c r="B14" s="1" t="s">
        <v>164</v>
      </c>
      <c r="C14">
        <f t="shared" si="0"/>
        <v>29</v>
      </c>
      <c r="D14">
        <v>4</v>
      </c>
      <c r="E14">
        <v>8</v>
      </c>
    </row>
    <row r="15" spans="1:12">
      <c r="C15" t="str">
        <f t="shared" si="0"/>
        <v/>
      </c>
    </row>
    <row r="16" spans="1:12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2025-02-08T11:04:02Z</dcterms:modified>
</cp:coreProperties>
</file>