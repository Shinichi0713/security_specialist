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DC05BD20-4804-7139-695A-D245BE01A294}"/>
  <workbookPr codeName="ThisWorkbook"/>
  <mc:AlternateContent xmlns:mc="http://schemas.openxmlformats.org/markup-compatibility/2006">
    <mc:Choice Requires="x15">
      <x15ac:absPath xmlns:x15ac="http://schemas.microsoft.com/office/spreadsheetml/2010/11/ac" url="C:\Users\yoshinsh\Documents\python project\personal-trials\security_specialist\2025\past_problems\"/>
    </mc:Choice>
  </mc:AlternateContent>
  <xr:revisionPtr revIDLastSave="0" documentId="13_ncr:1_{AAFBC7AA-155E-43EE-A31F-A1F3C92F7218}" xr6:coauthVersionLast="47" xr6:coauthVersionMax="47" xr10:uidLastSave="{00000000-0000-0000-0000-000000000000}"/>
  <bookViews>
    <workbookView xWindow="885" yWindow="1725" windowWidth="21600" windowHeight="13545" activeTab="9" xr2:uid="{00000000-000D-0000-FFFF-FFFF00000000}"/>
  </bookViews>
  <sheets>
    <sheet name="レビュー" sheetId="2" r:id="rId1"/>
    <sheet name="format" sheetId="4" r:id="rId2"/>
    <sheet name="1" sheetId="5" r:id="rId3"/>
    <sheet name="2" sheetId="6" r:id="rId4"/>
    <sheet name="3" sheetId="7" r:id="rId5"/>
    <sheet name="4" sheetId="8" r:id="rId6"/>
    <sheet name="5" sheetId="9" r:id="rId7"/>
    <sheet name="6" sheetId="10" r:id="rId8"/>
    <sheet name="7" sheetId="11" r:id="rId9"/>
    <sheet name="8" sheetId="12" r:id="rId10"/>
  </sheets>
  <functionGroups builtInGroupCount="19"/>
  <definedNames>
    <definedName name="_xlnm._FilterDatabase" localSheetId="2" hidden="1">'1'!$A$3:$G$167</definedName>
    <definedName name="_xlnm._FilterDatabase" localSheetId="3" hidden="1">'2'!$A$3:$F$168</definedName>
    <definedName name="_xlnm._FilterDatabase" localSheetId="4" hidden="1">'3'!$A$3:$K$168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6" i="12" l="1"/>
  <c r="D15" i="12"/>
  <c r="D14" i="12"/>
  <c r="D13" i="12"/>
  <c r="D12" i="12"/>
  <c r="D11" i="12"/>
  <c r="D10" i="12"/>
  <c r="D9" i="12"/>
  <c r="D8" i="12"/>
  <c r="D7" i="12"/>
  <c r="D6" i="12"/>
  <c r="D5" i="12"/>
  <c r="D4" i="12"/>
  <c r="C167" i="12"/>
  <c r="C166" i="12"/>
  <c r="C165" i="12"/>
  <c r="C164" i="12"/>
  <c r="C163" i="12"/>
  <c r="C162" i="12"/>
  <c r="C161" i="12"/>
  <c r="C160" i="12"/>
  <c r="C159" i="12"/>
  <c r="C158" i="12"/>
  <c r="C157" i="12"/>
  <c r="C156" i="12"/>
  <c r="C155" i="12"/>
  <c r="C154" i="12"/>
  <c r="C153" i="12"/>
  <c r="C152" i="12"/>
  <c r="C151" i="12"/>
  <c r="C150" i="12"/>
  <c r="C149" i="12"/>
  <c r="C148" i="12"/>
  <c r="C147" i="12"/>
  <c r="C146" i="12"/>
  <c r="C145" i="12"/>
  <c r="C144" i="12"/>
  <c r="C143" i="12"/>
  <c r="C142" i="12"/>
  <c r="C141" i="12"/>
  <c r="C140" i="12"/>
  <c r="C139" i="12"/>
  <c r="C138" i="12"/>
  <c r="C137" i="12"/>
  <c r="C136" i="12"/>
  <c r="C135" i="12"/>
  <c r="C134" i="12"/>
  <c r="C133" i="12"/>
  <c r="C132" i="12"/>
  <c r="C131" i="12"/>
  <c r="C130" i="12"/>
  <c r="C129" i="12"/>
  <c r="C128" i="12"/>
  <c r="C127" i="12"/>
  <c r="C126" i="12"/>
  <c r="C125" i="12"/>
  <c r="C124" i="12"/>
  <c r="C123" i="12"/>
  <c r="C122" i="12"/>
  <c r="C121" i="12"/>
  <c r="C120" i="12"/>
  <c r="C119" i="12"/>
  <c r="C118" i="12"/>
  <c r="C117" i="12"/>
  <c r="C116" i="12"/>
  <c r="C115" i="12"/>
  <c r="C114" i="12"/>
  <c r="C113" i="12"/>
  <c r="C112" i="12"/>
  <c r="C111" i="12"/>
  <c r="C110" i="12"/>
  <c r="C109" i="12"/>
  <c r="C108" i="12"/>
  <c r="C107" i="12"/>
  <c r="C106" i="12"/>
  <c r="C105" i="12"/>
  <c r="C104" i="12"/>
  <c r="C103" i="12"/>
  <c r="C102" i="12"/>
  <c r="C101" i="12"/>
  <c r="C100" i="12"/>
  <c r="C99" i="12"/>
  <c r="C98" i="12"/>
  <c r="C97" i="12"/>
  <c r="C96" i="12"/>
  <c r="C95" i="12"/>
  <c r="C94" i="12"/>
  <c r="C93" i="12"/>
  <c r="C92" i="12"/>
  <c r="C91" i="12"/>
  <c r="C90" i="12"/>
  <c r="C89" i="12"/>
  <c r="C88" i="12"/>
  <c r="C87" i="12"/>
  <c r="C86" i="12"/>
  <c r="C85" i="12"/>
  <c r="C84" i="12"/>
  <c r="C83" i="12"/>
  <c r="C82" i="12"/>
  <c r="C81" i="12"/>
  <c r="C80" i="12"/>
  <c r="C79" i="12"/>
  <c r="C78" i="12"/>
  <c r="C77" i="12"/>
  <c r="C76" i="12"/>
  <c r="C75" i="12"/>
  <c r="C74" i="12"/>
  <c r="C73" i="12"/>
  <c r="C72" i="12"/>
  <c r="C71" i="12"/>
  <c r="C70" i="12"/>
  <c r="C69" i="12"/>
  <c r="C68" i="12"/>
  <c r="C67" i="12"/>
  <c r="C66" i="12"/>
  <c r="C65" i="12"/>
  <c r="C64" i="12"/>
  <c r="C63" i="12"/>
  <c r="C62" i="12"/>
  <c r="C61" i="12"/>
  <c r="C60" i="12"/>
  <c r="C59" i="12"/>
  <c r="C58" i="12"/>
  <c r="C57" i="12"/>
  <c r="C56" i="12"/>
  <c r="C55" i="12"/>
  <c r="C54" i="12"/>
  <c r="C53" i="12"/>
  <c r="C52" i="12"/>
  <c r="C51" i="12"/>
  <c r="C50" i="12"/>
  <c r="C49" i="12"/>
  <c r="C48" i="12"/>
  <c r="C47" i="12"/>
  <c r="C46" i="12"/>
  <c r="C45" i="12"/>
  <c r="C44" i="12"/>
  <c r="C43" i="12"/>
  <c r="C42" i="12"/>
  <c r="C41" i="12"/>
  <c r="C40" i="12"/>
  <c r="C39" i="12"/>
  <c r="C38" i="12"/>
  <c r="C37" i="12"/>
  <c r="C36" i="12"/>
  <c r="C35" i="12"/>
  <c r="C34" i="12"/>
  <c r="C33" i="12"/>
  <c r="C32" i="12"/>
  <c r="C31" i="12"/>
  <c r="C30" i="12"/>
  <c r="C29" i="12"/>
  <c r="C28" i="12"/>
  <c r="C27" i="12"/>
  <c r="C26" i="12"/>
  <c r="C25" i="12"/>
  <c r="C17" i="12"/>
  <c r="C16" i="12"/>
  <c r="C15" i="12"/>
  <c r="C14" i="12"/>
  <c r="C13" i="12"/>
  <c r="C12" i="12"/>
  <c r="C11" i="12"/>
  <c r="C10" i="12"/>
  <c r="C9" i="12"/>
  <c r="C8" i="12"/>
  <c r="C7" i="12"/>
  <c r="C6" i="12"/>
  <c r="C5" i="12"/>
  <c r="C4" i="12"/>
  <c r="E2" i="12"/>
  <c r="E2" i="11"/>
  <c r="D2" i="11"/>
  <c r="E2" i="10"/>
  <c r="D2" i="10"/>
  <c r="D15" i="11"/>
  <c r="D14" i="11"/>
  <c r="D13" i="11"/>
  <c r="D12" i="11"/>
  <c r="D11" i="11"/>
  <c r="D10" i="11"/>
  <c r="D9" i="11"/>
  <c r="D8" i="11"/>
  <c r="D7" i="11"/>
  <c r="D6" i="11"/>
  <c r="D5" i="11"/>
  <c r="D4" i="11"/>
  <c r="C167" i="11"/>
  <c r="C166" i="11"/>
  <c r="C165" i="11"/>
  <c r="C164" i="11"/>
  <c r="C163" i="11"/>
  <c r="C162" i="11"/>
  <c r="C161" i="11"/>
  <c r="C160" i="11"/>
  <c r="C159" i="11"/>
  <c r="C158" i="11"/>
  <c r="C157" i="11"/>
  <c r="C156" i="11"/>
  <c r="C155" i="11"/>
  <c r="C154" i="11"/>
  <c r="C153" i="11"/>
  <c r="C152" i="11"/>
  <c r="C151" i="11"/>
  <c r="C150" i="11"/>
  <c r="C149" i="11"/>
  <c r="C148" i="11"/>
  <c r="C147" i="11"/>
  <c r="C146" i="11"/>
  <c r="C145" i="11"/>
  <c r="C144" i="11"/>
  <c r="C143" i="11"/>
  <c r="C142" i="11"/>
  <c r="C141" i="11"/>
  <c r="C140" i="11"/>
  <c r="C139" i="11"/>
  <c r="C138" i="11"/>
  <c r="C137" i="11"/>
  <c r="C136" i="11"/>
  <c r="C135" i="11"/>
  <c r="C134" i="11"/>
  <c r="C133" i="11"/>
  <c r="C132" i="11"/>
  <c r="C131" i="11"/>
  <c r="C130" i="11"/>
  <c r="C129" i="11"/>
  <c r="C128" i="11"/>
  <c r="C127" i="11"/>
  <c r="C126" i="11"/>
  <c r="C125" i="11"/>
  <c r="C124" i="11"/>
  <c r="C123" i="11"/>
  <c r="C122" i="11"/>
  <c r="C121" i="11"/>
  <c r="C120" i="11"/>
  <c r="C119" i="11"/>
  <c r="C118" i="11"/>
  <c r="C117" i="11"/>
  <c r="C116" i="11"/>
  <c r="C115" i="11"/>
  <c r="C114" i="11"/>
  <c r="C113" i="11"/>
  <c r="C112" i="11"/>
  <c r="C111" i="11"/>
  <c r="C110" i="11"/>
  <c r="C109" i="11"/>
  <c r="C108" i="11"/>
  <c r="C107" i="11"/>
  <c r="C106" i="11"/>
  <c r="C105" i="11"/>
  <c r="C104" i="11"/>
  <c r="C103" i="11"/>
  <c r="C102" i="11"/>
  <c r="C101" i="11"/>
  <c r="C100" i="11"/>
  <c r="C99" i="11"/>
  <c r="C98" i="11"/>
  <c r="C97" i="11"/>
  <c r="C96" i="11"/>
  <c r="C95" i="11"/>
  <c r="C94" i="11"/>
  <c r="C93" i="11"/>
  <c r="C92" i="11"/>
  <c r="C91" i="11"/>
  <c r="C90" i="11"/>
  <c r="C89" i="11"/>
  <c r="C88" i="11"/>
  <c r="C87" i="11"/>
  <c r="C86" i="11"/>
  <c r="C85" i="11"/>
  <c r="C84" i="11"/>
  <c r="C83" i="11"/>
  <c r="C82" i="11"/>
  <c r="C81" i="11"/>
  <c r="C80" i="11"/>
  <c r="C79" i="11"/>
  <c r="C78" i="11"/>
  <c r="C77" i="11"/>
  <c r="C76" i="11"/>
  <c r="C75" i="11"/>
  <c r="C74" i="11"/>
  <c r="C73" i="11"/>
  <c r="C72" i="11"/>
  <c r="C71" i="11"/>
  <c r="C70" i="11"/>
  <c r="C69" i="11"/>
  <c r="C68" i="11"/>
  <c r="C67" i="11"/>
  <c r="C66" i="11"/>
  <c r="C65" i="11"/>
  <c r="C64" i="11"/>
  <c r="C63" i="11"/>
  <c r="C62" i="11"/>
  <c r="C61" i="11"/>
  <c r="C60" i="11"/>
  <c r="C59" i="11"/>
  <c r="C58" i="11"/>
  <c r="C57" i="11"/>
  <c r="C56" i="11"/>
  <c r="C55" i="11"/>
  <c r="C54" i="11"/>
  <c r="C53" i="11"/>
  <c r="C52" i="11"/>
  <c r="C51" i="11"/>
  <c r="C50" i="11"/>
  <c r="C49" i="11"/>
  <c r="C48" i="11"/>
  <c r="C47" i="11"/>
  <c r="C46" i="11"/>
  <c r="C45" i="11"/>
  <c r="C44" i="11"/>
  <c r="C43" i="11"/>
  <c r="C42" i="11"/>
  <c r="C41" i="11"/>
  <c r="C40" i="11"/>
  <c r="C39" i="11"/>
  <c r="C38" i="11"/>
  <c r="C37" i="11"/>
  <c r="C36" i="11"/>
  <c r="C35" i="11"/>
  <c r="C34" i="11"/>
  <c r="C33" i="11"/>
  <c r="C32" i="11"/>
  <c r="C31" i="11"/>
  <c r="C30" i="11"/>
  <c r="C29" i="11"/>
  <c r="C28" i="11"/>
  <c r="C27" i="11"/>
  <c r="C26" i="11"/>
  <c r="C25" i="11"/>
  <c r="C24" i="11"/>
  <c r="C23" i="11"/>
  <c r="C22" i="11"/>
  <c r="C21" i="11"/>
  <c r="C20" i="11"/>
  <c r="C19" i="11"/>
  <c r="C18" i="11"/>
  <c r="C17" i="11"/>
  <c r="C16" i="11"/>
  <c r="C15" i="11"/>
  <c r="C14" i="11"/>
  <c r="C13" i="11"/>
  <c r="C12" i="11"/>
  <c r="C11" i="11"/>
  <c r="C10" i="11"/>
  <c r="C9" i="11"/>
  <c r="C8" i="11"/>
  <c r="C7" i="11"/>
  <c r="C6" i="11"/>
  <c r="C5" i="11"/>
  <c r="C4" i="11"/>
  <c r="D11" i="10"/>
  <c r="D10" i="10"/>
  <c r="D9" i="10"/>
  <c r="D8" i="10"/>
  <c r="D7" i="10"/>
  <c r="D6" i="10"/>
  <c r="D5" i="10"/>
  <c r="D4" i="10"/>
  <c r="C167" i="10"/>
  <c r="C166" i="10"/>
  <c r="C165" i="10"/>
  <c r="C164" i="10"/>
  <c r="C163" i="10"/>
  <c r="C162" i="10"/>
  <c r="C161" i="10"/>
  <c r="C160" i="10"/>
  <c r="C159" i="10"/>
  <c r="C158" i="10"/>
  <c r="C157" i="10"/>
  <c r="C156" i="10"/>
  <c r="C155" i="10"/>
  <c r="C154" i="10"/>
  <c r="C153" i="10"/>
  <c r="C152" i="10"/>
  <c r="C151" i="10"/>
  <c r="C150" i="10"/>
  <c r="C149" i="10"/>
  <c r="C148" i="10"/>
  <c r="C147" i="10"/>
  <c r="C146" i="10"/>
  <c r="C145" i="10"/>
  <c r="C144" i="10"/>
  <c r="C143" i="10"/>
  <c r="C142" i="10"/>
  <c r="C141" i="10"/>
  <c r="C140" i="10"/>
  <c r="C139" i="10"/>
  <c r="C138" i="10"/>
  <c r="C137" i="10"/>
  <c r="C136" i="10"/>
  <c r="C135" i="10"/>
  <c r="C134" i="10"/>
  <c r="C133" i="10"/>
  <c r="C132" i="10"/>
  <c r="C131" i="10"/>
  <c r="C130" i="10"/>
  <c r="C129" i="10"/>
  <c r="C128" i="10"/>
  <c r="C127" i="10"/>
  <c r="C126" i="10"/>
  <c r="C125" i="10"/>
  <c r="C124" i="10"/>
  <c r="C123" i="10"/>
  <c r="C122" i="10"/>
  <c r="C121" i="10"/>
  <c r="C120" i="10"/>
  <c r="C119" i="10"/>
  <c r="C118" i="10"/>
  <c r="C117" i="10"/>
  <c r="C116" i="10"/>
  <c r="C115" i="10"/>
  <c r="C114" i="10"/>
  <c r="C113" i="10"/>
  <c r="C112" i="10"/>
  <c r="C111" i="10"/>
  <c r="C110" i="10"/>
  <c r="C109" i="10"/>
  <c r="C108" i="10"/>
  <c r="C107" i="10"/>
  <c r="C106" i="10"/>
  <c r="C105" i="10"/>
  <c r="C104" i="10"/>
  <c r="C103" i="10"/>
  <c r="C102" i="10"/>
  <c r="C101" i="10"/>
  <c r="C100" i="10"/>
  <c r="C99" i="10"/>
  <c r="C98" i="10"/>
  <c r="C97" i="10"/>
  <c r="C96" i="10"/>
  <c r="C95" i="10"/>
  <c r="C94" i="10"/>
  <c r="C93" i="10"/>
  <c r="C92" i="10"/>
  <c r="C91" i="10"/>
  <c r="C90" i="10"/>
  <c r="C89" i="10"/>
  <c r="C88" i="10"/>
  <c r="C87" i="10"/>
  <c r="C86" i="10"/>
  <c r="C85" i="10"/>
  <c r="C84" i="10"/>
  <c r="C83" i="10"/>
  <c r="C82" i="10"/>
  <c r="C81" i="10"/>
  <c r="C80" i="10"/>
  <c r="C79" i="10"/>
  <c r="C78" i="10"/>
  <c r="C77" i="10"/>
  <c r="C76" i="10"/>
  <c r="C75" i="10"/>
  <c r="C74" i="10"/>
  <c r="C73" i="10"/>
  <c r="C72" i="10"/>
  <c r="C71" i="10"/>
  <c r="C70" i="10"/>
  <c r="C69" i="10"/>
  <c r="C68" i="10"/>
  <c r="C67" i="10"/>
  <c r="C66" i="10"/>
  <c r="C65" i="10"/>
  <c r="C64" i="10"/>
  <c r="C63" i="10"/>
  <c r="C62" i="10"/>
  <c r="C61" i="10"/>
  <c r="C60" i="10"/>
  <c r="C59" i="10"/>
  <c r="C58" i="10"/>
  <c r="C57" i="10"/>
  <c r="C56" i="10"/>
  <c r="C55" i="10"/>
  <c r="C54" i="10"/>
  <c r="C53" i="10"/>
  <c r="C52" i="10"/>
  <c r="C51" i="10"/>
  <c r="C50" i="10"/>
  <c r="C49" i="10"/>
  <c r="C48" i="10"/>
  <c r="C47" i="10"/>
  <c r="C46" i="10"/>
  <c r="C45" i="10"/>
  <c r="C44" i="10"/>
  <c r="C43" i="10"/>
  <c r="C42" i="10"/>
  <c r="C41" i="10"/>
  <c r="C40" i="10"/>
  <c r="C39" i="10"/>
  <c r="C38" i="10"/>
  <c r="C37" i="10"/>
  <c r="C36" i="10"/>
  <c r="C35" i="10"/>
  <c r="C34" i="10"/>
  <c r="C33" i="10"/>
  <c r="C32" i="10"/>
  <c r="C31" i="10"/>
  <c r="C30" i="10"/>
  <c r="C29" i="10"/>
  <c r="C28" i="10"/>
  <c r="C27" i="10"/>
  <c r="C26" i="10"/>
  <c r="C25" i="10"/>
  <c r="C24" i="10"/>
  <c r="C23" i="10"/>
  <c r="C22" i="10"/>
  <c r="C21" i="10"/>
  <c r="C20" i="10"/>
  <c r="C19" i="10"/>
  <c r="C18" i="10"/>
  <c r="C17" i="10"/>
  <c r="C16" i="10"/>
  <c r="C15" i="10"/>
  <c r="C14" i="10"/>
  <c r="C13" i="10"/>
  <c r="C12" i="10"/>
  <c r="C11" i="10"/>
  <c r="C10" i="10"/>
  <c r="C9" i="10"/>
  <c r="C8" i="10"/>
  <c r="C7" i="10"/>
  <c r="C6" i="10"/>
  <c r="C5" i="10"/>
  <c r="C4" i="10"/>
  <c r="C22" i="8"/>
  <c r="C21" i="8"/>
  <c r="D17" i="9"/>
  <c r="D16" i="9"/>
  <c r="D15" i="9"/>
  <c r="D14" i="9"/>
  <c r="D13" i="9"/>
  <c r="D12" i="9"/>
  <c r="D11" i="9"/>
  <c r="D10" i="9"/>
  <c r="D9" i="9"/>
  <c r="D8" i="9"/>
  <c r="D7" i="9"/>
  <c r="D6" i="9"/>
  <c r="D5" i="9"/>
  <c r="D4" i="9"/>
  <c r="D2" i="9" s="1"/>
  <c r="C167" i="9"/>
  <c r="C166" i="9"/>
  <c r="C165" i="9"/>
  <c r="C164" i="9"/>
  <c r="C163" i="9"/>
  <c r="C162" i="9"/>
  <c r="C161" i="9"/>
  <c r="C160" i="9"/>
  <c r="C159" i="9"/>
  <c r="C158" i="9"/>
  <c r="C157" i="9"/>
  <c r="C156" i="9"/>
  <c r="C155" i="9"/>
  <c r="C154" i="9"/>
  <c r="C153" i="9"/>
  <c r="C152" i="9"/>
  <c r="C151" i="9"/>
  <c r="C150" i="9"/>
  <c r="C149" i="9"/>
  <c r="C148" i="9"/>
  <c r="C147" i="9"/>
  <c r="C146" i="9"/>
  <c r="C145" i="9"/>
  <c r="C144" i="9"/>
  <c r="C143" i="9"/>
  <c r="C142" i="9"/>
  <c r="C141" i="9"/>
  <c r="C140" i="9"/>
  <c r="C139" i="9"/>
  <c r="C138" i="9"/>
  <c r="C137" i="9"/>
  <c r="C136" i="9"/>
  <c r="C135" i="9"/>
  <c r="C134" i="9"/>
  <c r="C133" i="9"/>
  <c r="C132" i="9"/>
  <c r="C131" i="9"/>
  <c r="C130" i="9"/>
  <c r="C129" i="9"/>
  <c r="C128" i="9"/>
  <c r="C127" i="9"/>
  <c r="C126" i="9"/>
  <c r="C125" i="9"/>
  <c r="C124" i="9"/>
  <c r="C123" i="9"/>
  <c r="C122" i="9"/>
  <c r="C121" i="9"/>
  <c r="C120" i="9"/>
  <c r="C119" i="9"/>
  <c r="C118" i="9"/>
  <c r="C117" i="9"/>
  <c r="C116" i="9"/>
  <c r="C115" i="9"/>
  <c r="C114" i="9"/>
  <c r="C113" i="9"/>
  <c r="C112" i="9"/>
  <c r="C111" i="9"/>
  <c r="C110" i="9"/>
  <c r="C109" i="9"/>
  <c r="C108" i="9"/>
  <c r="C107" i="9"/>
  <c r="C106" i="9"/>
  <c r="C105" i="9"/>
  <c r="C104" i="9"/>
  <c r="C103" i="9"/>
  <c r="C102" i="9"/>
  <c r="C101" i="9"/>
  <c r="C100" i="9"/>
  <c r="C99" i="9"/>
  <c r="C98" i="9"/>
  <c r="C97" i="9"/>
  <c r="C96" i="9"/>
  <c r="C95" i="9"/>
  <c r="C94" i="9"/>
  <c r="C93" i="9"/>
  <c r="C92" i="9"/>
  <c r="C91" i="9"/>
  <c r="C90" i="9"/>
  <c r="C89" i="9"/>
  <c r="C88" i="9"/>
  <c r="C87" i="9"/>
  <c r="C86" i="9"/>
  <c r="C85" i="9"/>
  <c r="C84" i="9"/>
  <c r="C83" i="9"/>
  <c r="C82" i="9"/>
  <c r="C81" i="9"/>
  <c r="C80" i="9"/>
  <c r="C79" i="9"/>
  <c r="C78" i="9"/>
  <c r="C77" i="9"/>
  <c r="C76" i="9"/>
  <c r="C75" i="9"/>
  <c r="C74" i="9"/>
  <c r="C73" i="9"/>
  <c r="C72" i="9"/>
  <c r="C71" i="9"/>
  <c r="C70" i="9"/>
  <c r="C69" i="9"/>
  <c r="C68" i="9"/>
  <c r="C67" i="9"/>
  <c r="C66" i="9"/>
  <c r="C65" i="9"/>
  <c r="C64" i="9"/>
  <c r="C63" i="9"/>
  <c r="C62" i="9"/>
  <c r="C61" i="9"/>
  <c r="C60" i="9"/>
  <c r="C59" i="9"/>
  <c r="C58" i="9"/>
  <c r="C57" i="9"/>
  <c r="C56" i="9"/>
  <c r="C55" i="9"/>
  <c r="C54" i="9"/>
  <c r="C53" i="9"/>
  <c r="C52" i="9"/>
  <c r="C51" i="9"/>
  <c r="C50" i="9"/>
  <c r="C49" i="9"/>
  <c r="C48" i="9"/>
  <c r="C47" i="9"/>
  <c r="C46" i="9"/>
  <c r="C45" i="9"/>
  <c r="C44" i="9"/>
  <c r="C43" i="9"/>
  <c r="C42" i="9"/>
  <c r="C41" i="9"/>
  <c r="C40" i="9"/>
  <c r="C39" i="9"/>
  <c r="C38" i="9"/>
  <c r="C37" i="9"/>
  <c r="C36" i="9"/>
  <c r="C35" i="9"/>
  <c r="C34" i="9"/>
  <c r="C33" i="9"/>
  <c r="C32" i="9"/>
  <c r="C31" i="9"/>
  <c r="C30" i="9"/>
  <c r="C29" i="9"/>
  <c r="C28" i="9"/>
  <c r="C27" i="9"/>
  <c r="C26" i="9"/>
  <c r="C25" i="9"/>
  <c r="C24" i="9"/>
  <c r="C23" i="9"/>
  <c r="C22" i="9"/>
  <c r="C21" i="9"/>
  <c r="C20" i="9"/>
  <c r="C19" i="9"/>
  <c r="C18" i="9"/>
  <c r="C17" i="9"/>
  <c r="C16" i="9"/>
  <c r="C15" i="9"/>
  <c r="C14" i="9"/>
  <c r="C13" i="9"/>
  <c r="C12" i="9"/>
  <c r="C11" i="9"/>
  <c r="C10" i="9"/>
  <c r="C9" i="9"/>
  <c r="C8" i="9"/>
  <c r="C7" i="9"/>
  <c r="C6" i="9"/>
  <c r="C5" i="9"/>
  <c r="C4" i="9"/>
  <c r="E2" i="9"/>
  <c r="D16" i="8"/>
  <c r="D15" i="8"/>
  <c r="D14" i="8"/>
  <c r="D13" i="8"/>
  <c r="D12" i="8"/>
  <c r="D11" i="8"/>
  <c r="D10" i="8"/>
  <c r="D9" i="8"/>
  <c r="D8" i="8"/>
  <c r="D7" i="8"/>
  <c r="D6" i="8"/>
  <c r="D2" i="8" s="1"/>
  <c r="D5" i="8"/>
  <c r="D4" i="8"/>
  <c r="C168" i="8"/>
  <c r="C167" i="8"/>
  <c r="C166" i="8"/>
  <c r="C165" i="8"/>
  <c r="C164" i="8"/>
  <c r="C163" i="8"/>
  <c r="C162" i="8"/>
  <c r="C161" i="8"/>
  <c r="C160" i="8"/>
  <c r="C159" i="8"/>
  <c r="C158" i="8"/>
  <c r="C157" i="8"/>
  <c r="C156" i="8"/>
  <c r="C155" i="8"/>
  <c r="C154" i="8"/>
  <c r="C153" i="8"/>
  <c r="C152" i="8"/>
  <c r="C151" i="8"/>
  <c r="C150" i="8"/>
  <c r="C149" i="8"/>
  <c r="C148" i="8"/>
  <c r="C147" i="8"/>
  <c r="C146" i="8"/>
  <c r="C145" i="8"/>
  <c r="C144" i="8"/>
  <c r="C143" i="8"/>
  <c r="C142" i="8"/>
  <c r="C141" i="8"/>
  <c r="C140" i="8"/>
  <c r="C139" i="8"/>
  <c r="C138" i="8"/>
  <c r="C137" i="8"/>
  <c r="C136" i="8"/>
  <c r="C135" i="8"/>
  <c r="C134" i="8"/>
  <c r="C133" i="8"/>
  <c r="C132" i="8"/>
  <c r="C131" i="8"/>
  <c r="C130" i="8"/>
  <c r="C129" i="8"/>
  <c r="C128" i="8"/>
  <c r="C127" i="8"/>
  <c r="C126" i="8"/>
  <c r="C125" i="8"/>
  <c r="C124" i="8"/>
  <c r="C123" i="8"/>
  <c r="C122" i="8"/>
  <c r="C121" i="8"/>
  <c r="C120" i="8"/>
  <c r="C119" i="8"/>
  <c r="C118" i="8"/>
  <c r="C117" i="8"/>
  <c r="C116" i="8"/>
  <c r="C115" i="8"/>
  <c r="C114" i="8"/>
  <c r="C113" i="8"/>
  <c r="C112" i="8"/>
  <c r="C111" i="8"/>
  <c r="C110" i="8"/>
  <c r="C109" i="8"/>
  <c r="C108" i="8"/>
  <c r="C107" i="8"/>
  <c r="C106" i="8"/>
  <c r="C105" i="8"/>
  <c r="C104" i="8"/>
  <c r="C103" i="8"/>
  <c r="C102" i="8"/>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0" i="8"/>
  <c r="C19" i="8"/>
  <c r="C18" i="8"/>
  <c r="C17" i="8"/>
  <c r="C16" i="8"/>
  <c r="C15" i="8"/>
  <c r="C14" i="8"/>
  <c r="C13" i="8"/>
  <c r="C12" i="8"/>
  <c r="C11" i="8"/>
  <c r="C10" i="8"/>
  <c r="C9" i="8"/>
  <c r="C8" i="8"/>
  <c r="C7" i="8"/>
  <c r="C6" i="8"/>
  <c r="C5" i="8"/>
  <c r="C4" i="8"/>
  <c r="E2" i="8"/>
  <c r="C38" i="5"/>
  <c r="C37" i="5"/>
  <c r="C36" i="5"/>
  <c r="C35" i="5"/>
  <c r="C34" i="5"/>
  <c r="C33" i="5"/>
  <c r="C32" i="5"/>
  <c r="C31" i="5"/>
  <c r="C30" i="7"/>
  <c r="C20" i="6"/>
  <c r="D24" i="7"/>
  <c r="D23" i="7"/>
  <c r="D22" i="7"/>
  <c r="D21" i="7"/>
  <c r="D20" i="7"/>
  <c r="D19" i="7"/>
  <c r="D18" i="7"/>
  <c r="D17" i="7"/>
  <c r="D16" i="7"/>
  <c r="D15" i="7"/>
  <c r="D14" i="7"/>
  <c r="D13" i="7"/>
  <c r="D12" i="7"/>
  <c r="D11" i="7"/>
  <c r="D10" i="7"/>
  <c r="D9" i="7"/>
  <c r="D8" i="7"/>
  <c r="D7" i="7"/>
  <c r="D6" i="7"/>
  <c r="D5" i="7"/>
  <c r="D4" i="7"/>
  <c r="C168" i="7"/>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29" i="7"/>
  <c r="C28" i="7"/>
  <c r="C27" i="7"/>
  <c r="C26" i="7"/>
  <c r="C25" i="7"/>
  <c r="C24" i="7"/>
  <c r="C23" i="7"/>
  <c r="C22" i="7"/>
  <c r="C21" i="7"/>
  <c r="C20" i="7"/>
  <c r="C19" i="7"/>
  <c r="C18" i="7"/>
  <c r="C17" i="7"/>
  <c r="C16" i="7"/>
  <c r="C15" i="7"/>
  <c r="C14" i="7"/>
  <c r="C13" i="7"/>
  <c r="C12" i="7"/>
  <c r="C11" i="7"/>
  <c r="C10" i="7"/>
  <c r="C9" i="7"/>
  <c r="C8" i="7"/>
  <c r="C7" i="7"/>
  <c r="C6" i="7"/>
  <c r="C5" i="7"/>
  <c r="C4" i="7"/>
  <c r="E2" i="7"/>
  <c r="D13" i="6"/>
  <c r="D12" i="6"/>
  <c r="D11" i="6"/>
  <c r="D10" i="6"/>
  <c r="D9" i="6"/>
  <c r="D8" i="6"/>
  <c r="D7" i="6"/>
  <c r="D6" i="6"/>
  <c r="D5" i="6"/>
  <c r="D4" i="6"/>
  <c r="D2" i="12" l="1"/>
  <c r="D2" i="7"/>
  <c r="C168" i="6"/>
  <c r="C167" i="6"/>
  <c r="C166" i="6"/>
  <c r="C165" i="6"/>
  <c r="C164" i="6"/>
  <c r="C163" i="6"/>
  <c r="C162" i="6"/>
  <c r="C161" i="6"/>
  <c r="C160" i="6"/>
  <c r="C159" i="6"/>
  <c r="C158" i="6"/>
  <c r="C157" i="6"/>
  <c r="C156" i="6"/>
  <c r="C155" i="6"/>
  <c r="C154" i="6"/>
  <c r="C153" i="6"/>
  <c r="C152" i="6"/>
  <c r="C151" i="6"/>
  <c r="C150" i="6"/>
  <c r="C149" i="6"/>
  <c r="C148" i="6"/>
  <c r="C147" i="6"/>
  <c r="C146" i="6"/>
  <c r="C145" i="6"/>
  <c r="C144" i="6"/>
  <c r="C143" i="6"/>
  <c r="C142" i="6"/>
  <c r="C141" i="6"/>
  <c r="C140" i="6"/>
  <c r="C139" i="6"/>
  <c r="C138" i="6"/>
  <c r="C137" i="6"/>
  <c r="C136" i="6"/>
  <c r="C135" i="6"/>
  <c r="C134" i="6"/>
  <c r="C133" i="6"/>
  <c r="C132" i="6"/>
  <c r="C131" i="6"/>
  <c r="C130" i="6"/>
  <c r="C129" i="6"/>
  <c r="C128" i="6"/>
  <c r="C127" i="6"/>
  <c r="C126" i="6"/>
  <c r="C125" i="6"/>
  <c r="C124" i="6"/>
  <c r="C123" i="6"/>
  <c r="C122" i="6"/>
  <c r="C121" i="6"/>
  <c r="C120" i="6"/>
  <c r="C119" i="6"/>
  <c r="C118" i="6"/>
  <c r="C117" i="6"/>
  <c r="C116" i="6"/>
  <c r="C115" i="6"/>
  <c r="C114" i="6"/>
  <c r="C113" i="6"/>
  <c r="C112" i="6"/>
  <c r="C111" i="6"/>
  <c r="C110" i="6"/>
  <c r="C109" i="6"/>
  <c r="C108" i="6"/>
  <c r="C107" i="6"/>
  <c r="C106" i="6"/>
  <c r="C105" i="6"/>
  <c r="C104" i="6"/>
  <c r="C103" i="6"/>
  <c r="C102" i="6"/>
  <c r="C101" i="6"/>
  <c r="C100" i="6"/>
  <c r="C99" i="6"/>
  <c r="C98" i="6"/>
  <c r="C97" i="6"/>
  <c r="C96" i="6"/>
  <c r="C95" i="6"/>
  <c r="C94" i="6"/>
  <c r="C93" i="6"/>
  <c r="C92"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21" i="6"/>
  <c r="C19" i="6"/>
  <c r="C18" i="6"/>
  <c r="C17" i="6"/>
  <c r="C16" i="6"/>
  <c r="C15" i="6"/>
  <c r="C14" i="6"/>
  <c r="C13" i="6"/>
  <c r="C12" i="6"/>
  <c r="C11" i="6"/>
  <c r="C10" i="6"/>
  <c r="C9" i="6"/>
  <c r="C8" i="6"/>
  <c r="C7" i="6"/>
  <c r="C6" i="6"/>
  <c r="C5" i="6"/>
  <c r="C4" i="6"/>
  <c r="E2" i="6"/>
  <c r="D2" i="6"/>
  <c r="D27" i="5"/>
  <c r="D26" i="5"/>
  <c r="D25" i="5"/>
  <c r="D24" i="5"/>
  <c r="D23" i="5"/>
  <c r="D22" i="5"/>
  <c r="D21" i="5"/>
  <c r="D20" i="5"/>
  <c r="D19" i="5"/>
  <c r="D18" i="5"/>
  <c r="D17" i="5"/>
  <c r="D16" i="5"/>
  <c r="D15" i="5"/>
  <c r="D14" i="5"/>
  <c r="D13" i="5"/>
  <c r="D12" i="5"/>
  <c r="D11" i="5"/>
  <c r="D10" i="5"/>
  <c r="D9" i="5"/>
  <c r="D8" i="5"/>
  <c r="D7" i="5"/>
  <c r="D6" i="5"/>
  <c r="D5" i="5"/>
  <c r="D4"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29" i="5"/>
  <c r="C28" i="5"/>
  <c r="C27" i="5"/>
  <c r="C26" i="5"/>
  <c r="C25" i="5"/>
  <c r="C24" i="5"/>
  <c r="C23" i="5"/>
  <c r="C22" i="5"/>
  <c r="C21" i="5"/>
  <c r="C20" i="5"/>
  <c r="C19" i="5"/>
  <c r="C18" i="5"/>
  <c r="C17" i="5"/>
  <c r="C16" i="5"/>
  <c r="C15" i="5"/>
  <c r="C14" i="5"/>
  <c r="C13" i="5"/>
  <c r="C12" i="5"/>
  <c r="C11" i="5"/>
  <c r="C10" i="5"/>
  <c r="C9" i="5"/>
  <c r="C8" i="5"/>
  <c r="C7" i="5"/>
  <c r="C6" i="5"/>
  <c r="C5" i="5"/>
  <c r="C4" i="5"/>
  <c r="E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 r="D2" i="5" l="1"/>
</calcChain>
</file>

<file path=xl/sharedStrings.xml><?xml version="1.0" encoding="utf-8"?>
<sst xmlns="http://schemas.openxmlformats.org/spreadsheetml/2006/main" count="496" uniqueCount="330">
  <si>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</si>
  <si>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</si>
  <si>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</si>
  <si>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</si>
  <si>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</si>
  <si>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</si>
  <si>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</si>
  <si>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</si>
  <si>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</si>
  <si>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</si>
  <si>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</si>
  <si>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</si>
  <si>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2023春</t>
  </si>
  <si>
    <t>2023春</t>
    <rPh sb="4" eb="5">
      <t>ハル</t>
    </rPh>
    <phoneticPr fontId="1"/>
  </si>
  <si>
    <t>webサイト沢山</t>
    <rPh sb="6" eb="8">
      <t>タクサン</t>
    </rPh>
    <phoneticPr fontId="1"/>
  </si>
  <si>
    <t>CISOが率いるセキュリティ</t>
    <rPh sb="5" eb="6">
      <t>ヒキ</t>
    </rPh>
    <phoneticPr fontId="1"/>
  </si>
  <si>
    <t>脆弱性診断</t>
    <rPh sb="0" eb="3">
      <t>ゼイジャクセイ</t>
    </rPh>
    <rPh sb="3" eb="5">
      <t>シンダン</t>
    </rPh>
    <phoneticPr fontId="1"/>
  </si>
  <si>
    <t>新規リリース</t>
    <rPh sb="0" eb="2">
      <t>シンキ</t>
    </rPh>
    <phoneticPr fontId="1"/>
  </si>
  <si>
    <t>セキュリティが競技して診断管理</t>
    <rPh sb="7" eb="9">
      <t>キョウギ</t>
    </rPh>
    <rPh sb="11" eb="13">
      <t>シンダン</t>
    </rPh>
    <rPh sb="13" eb="15">
      <t>カンリ</t>
    </rPh>
    <phoneticPr fontId="1"/>
  </si>
  <si>
    <t>PM2-2</t>
  </si>
  <si>
    <t>PM2-2</t>
    <phoneticPr fontId="1"/>
  </si>
  <si>
    <t>1</t>
    <phoneticPr fontId="1"/>
  </si>
  <si>
    <t>i:〇</t>
    <phoneticPr fontId="1"/>
  </si>
  <si>
    <t>h:〇</t>
    <phoneticPr fontId="1"/>
  </si>
  <si>
    <t>g:〇</t>
    <phoneticPr fontId="1"/>
  </si>
  <si>
    <t>f:×</t>
    <phoneticPr fontId="1"/>
  </si>
  <si>
    <t>e:〇</t>
    <phoneticPr fontId="1"/>
  </si>
  <si>
    <t>d:〇</t>
    <phoneticPr fontId="1"/>
  </si>
  <si>
    <t>c:×</t>
    <phoneticPr fontId="1"/>
  </si>
  <si>
    <t>b:×</t>
    <phoneticPr fontId="1"/>
  </si>
  <si>
    <t>a:〇</t>
    <phoneticPr fontId="1"/>
  </si>
  <si>
    <t>2-1</t>
    <phoneticPr fontId="1"/>
  </si>
  <si>
    <t>j:ウ</t>
    <phoneticPr fontId="1"/>
  </si>
  <si>
    <t>k:エ</t>
    <phoneticPr fontId="1"/>
  </si>
  <si>
    <t>l:ウ</t>
    <phoneticPr fontId="1"/>
  </si>
  <si>
    <t>2-2</t>
    <phoneticPr fontId="1"/>
  </si>
  <si>
    <t>{
       system: 4000,
       account: 11[1-9][0-9],
       service: オブジェクトストレージサービス,
       event: オブジェクトの削除
}</t>
    <rPh sb="107" eb="109">
      <t>サクジョ</t>
    </rPh>
    <phoneticPr fontId="1"/>
  </si>
  <si>
    <t>3-1</t>
    <phoneticPr fontId="1"/>
  </si>
  <si>
    <t>m: 新日記サービス</t>
    <rPh sb="3" eb="6">
      <t>シンニッキ</t>
    </rPh>
    <phoneticPr fontId="1"/>
  </si>
  <si>
    <t>n: サービスT</t>
    <phoneticPr fontId="1"/>
  </si>
  <si>
    <t>o: サービスT</t>
    <phoneticPr fontId="1"/>
  </si>
  <si>
    <t>3-2</t>
    <phoneticPr fontId="1"/>
  </si>
  <si>
    <t>p: 3</t>
    <phoneticPr fontId="1"/>
  </si>
  <si>
    <t>q: 6</t>
    <phoneticPr fontId="1"/>
  </si>
  <si>
    <t>3-3</t>
    <phoneticPr fontId="1"/>
  </si>
  <si>
    <t>ウ、エ</t>
    <phoneticPr fontId="1"/>
  </si>
  <si>
    <t>4-1</t>
    <phoneticPr fontId="1"/>
  </si>
  <si>
    <t>実在する会員のクライアントシークレットを推測することは困難であるため</t>
    <rPh sb="0" eb="2">
      <t>ジツザイ</t>
    </rPh>
    <rPh sb="4" eb="6">
      <t>カイイン</t>
    </rPh>
    <rPh sb="20" eb="22">
      <t>スイソク</t>
    </rPh>
    <rPh sb="27" eb="29">
      <t>コンナン</t>
    </rPh>
    <phoneticPr fontId="1"/>
  </si>
  <si>
    <t>4-2</t>
    <phoneticPr fontId="1"/>
  </si>
  <si>
    <t>懸賞コードのSHA-256のハッシュ値をbase64urlエンコードした値と、チャレンジコードの値が一致するか検証する</t>
    <rPh sb="0" eb="2">
      <t>ケンショウ</t>
    </rPh>
    <rPh sb="18" eb="19">
      <t>アタイ</t>
    </rPh>
    <rPh sb="36" eb="37">
      <t>アタイ</t>
    </rPh>
    <rPh sb="48" eb="49">
      <t>アタイ</t>
    </rPh>
    <rPh sb="50" eb="52">
      <t>イッチ</t>
    </rPh>
    <rPh sb="55" eb="57">
      <t>ケンショウ</t>
    </rPh>
    <phoneticPr fontId="1"/>
  </si>
  <si>
    <t>5-1</t>
    <phoneticPr fontId="1"/>
  </si>
  <si>
    <t>sauceコードの変更履歴よりZファイルの差分情報より取得した</t>
    <rPh sb="9" eb="11">
      <t>ヘンコウ</t>
    </rPh>
    <rPh sb="11" eb="13">
      <t>リレキ</t>
    </rPh>
    <rPh sb="21" eb="25">
      <t>サブンジョウホウ</t>
    </rPh>
    <rPh sb="27" eb="29">
      <t>シュトク</t>
    </rPh>
    <phoneticPr fontId="1"/>
  </si>
  <si>
    <t>5-2</t>
    <phoneticPr fontId="1"/>
  </si>
  <si>
    <t>開発者が、自分のアップロードしたファイルを承認する権限を削除する</t>
    <rPh sb="0" eb="2">
      <t>カイハツ</t>
    </rPh>
    <rPh sb="2" eb="3">
      <t>シャ</t>
    </rPh>
    <rPh sb="5" eb="7">
      <t>ジブン</t>
    </rPh>
    <rPh sb="21" eb="23">
      <t>ショウニン</t>
    </rPh>
    <rPh sb="25" eb="27">
      <t>ケンゲン</t>
    </rPh>
    <rPh sb="28" eb="30">
      <t>サクジョ</t>
    </rPh>
    <phoneticPr fontId="1"/>
  </si>
  <si>
    <t>5-3</t>
    <phoneticPr fontId="1"/>
  </si>
  <si>
    <t>X社CIにはダウンロードする権限のみを付与する</t>
    <rPh sb="1" eb="2">
      <t>シャ</t>
    </rPh>
    <rPh sb="14" eb="16">
      <t>ケンゲン</t>
    </rPh>
    <rPh sb="19" eb="21">
      <t>フヨ</t>
    </rPh>
    <phoneticPr fontId="1"/>
  </si>
  <si>
    <t>PM1-2</t>
  </si>
  <si>
    <t>PM1-2</t>
    <phoneticPr fontId="1"/>
  </si>
  <si>
    <t>パッシブ</t>
    <phoneticPr fontId="1"/>
  </si>
  <si>
    <t>修飾</t>
    <rPh sb="0" eb="2">
      <t>シュウショク</t>
    </rPh>
    <phoneticPr fontId="1"/>
  </si>
  <si>
    <t>コネクト</t>
    <phoneticPr fontId="1"/>
  </si>
  <si>
    <t>バインド</t>
    <phoneticPr fontId="1"/>
  </si>
  <si>
    <t>2-3により起動した3-3のポートへの通信が1-3で拒否されているため</t>
    <rPh sb="6" eb="8">
      <t>キドウ</t>
    </rPh>
    <rPh sb="19" eb="21">
      <t>ツウシン</t>
    </rPh>
    <rPh sb="26" eb="28">
      <t>キョヒ</t>
    </rPh>
    <phoneticPr fontId="1"/>
  </si>
  <si>
    <t>2-3</t>
    <phoneticPr fontId="1"/>
  </si>
  <si>
    <t>2-4により起動した3-4のポートへの通信が1-4で許可されているため</t>
    <rPh sb="6" eb="8">
      <t>キドウ</t>
    </rPh>
    <rPh sb="19" eb="21">
      <t>ツウシン</t>
    </rPh>
    <rPh sb="26" eb="28">
      <t>キョカ</t>
    </rPh>
    <phoneticPr fontId="1"/>
  </si>
  <si>
    <t>2-4</t>
    <phoneticPr fontId="1"/>
  </si>
  <si>
    <t>e: 1365</t>
    <phoneticPr fontId="1"/>
  </si>
  <si>
    <t>TXTレコードには、自由な文字列を指定することが出来るため</t>
    <rPh sb="10" eb="12">
      <t>ジユウ</t>
    </rPh>
    <rPh sb="13" eb="16">
      <t>モジレツ</t>
    </rPh>
    <rPh sb="17" eb="19">
      <t>シテイ</t>
    </rPh>
    <rPh sb="24" eb="26">
      <t>デキ</t>
    </rPh>
    <phoneticPr fontId="1"/>
  </si>
  <si>
    <t>攻撃者から内容の変更されている可能性があるため</t>
    <rPh sb="0" eb="3">
      <t>コウゲキシャ</t>
    </rPh>
    <rPh sb="5" eb="7">
      <t>ナイヨウ</t>
    </rPh>
    <rPh sb="8" eb="10">
      <t>ヘンコウ</t>
    </rPh>
    <rPh sb="15" eb="18">
      <t>カノウセイ</t>
    </rPh>
    <phoneticPr fontId="1"/>
  </si>
  <si>
    <t>受付サーバー</t>
    <rPh sb="0" eb="2">
      <t>ウケツケ</t>
    </rPh>
    <phoneticPr fontId="1"/>
  </si>
  <si>
    <t>PM1-3</t>
  </si>
  <si>
    <t>PM1-3</t>
    <phoneticPr fontId="1"/>
  </si>
  <si>
    <t>ネットワークは６名運用</t>
    <rPh sb="8" eb="9">
      <t>メイ</t>
    </rPh>
    <rPh sb="9" eb="11">
      <t>ウンヨウ</t>
    </rPh>
    <phoneticPr fontId="1"/>
  </si>
  <si>
    <t>a: ストレージ</t>
    <phoneticPr fontId="1"/>
  </si>
  <si>
    <t>b: 営業支援</t>
    <rPh sb="3" eb="7">
      <t>エイギョウシエン</t>
    </rPh>
    <phoneticPr fontId="1"/>
  </si>
  <si>
    <t>c: 経営支援</t>
    <rPh sb="3" eb="7">
      <t>ケイエイシエン</t>
    </rPh>
    <phoneticPr fontId="1"/>
  </si>
  <si>
    <t>d: web会議</t>
    <rPh sb="6" eb="8">
      <t>カイギ</t>
    </rPh>
    <phoneticPr fontId="1"/>
  </si>
  <si>
    <t>Lサービス；IDaaS</t>
    <phoneticPr fontId="1"/>
  </si>
  <si>
    <t>UTM</t>
    <phoneticPr fontId="1"/>
  </si>
  <si>
    <t>IpsecのVPN</t>
    <phoneticPr fontId="1"/>
  </si>
  <si>
    <t>1-1</t>
    <phoneticPr fontId="1"/>
  </si>
  <si>
    <t>b: イ</t>
    <phoneticPr fontId="1"/>
  </si>
  <si>
    <t>a: ア</t>
    <phoneticPr fontId="1"/>
  </si>
  <si>
    <t>c: ウ</t>
    <phoneticPr fontId="1"/>
  </si>
  <si>
    <t>1-2</t>
    <phoneticPr fontId="1"/>
  </si>
  <si>
    <t>Lサービスによって、本社UTMからの通信のみ許可されているため</t>
    <rPh sb="10" eb="12">
      <t>ホンシャ</t>
    </rPh>
    <rPh sb="18" eb="20">
      <t>ツウシン</t>
    </rPh>
    <rPh sb="22" eb="24">
      <t>キョカ</t>
    </rPh>
    <phoneticPr fontId="1"/>
  </si>
  <si>
    <t>R-PCを貸与</t>
    <rPh sb="5" eb="7">
      <t>タイヨ</t>
    </rPh>
    <phoneticPr fontId="1"/>
  </si>
  <si>
    <t>ネットワーク逼迫</t>
    <rPh sb="6" eb="8">
      <t>ヒッパク</t>
    </rPh>
    <phoneticPr fontId="1"/>
  </si>
  <si>
    <t>d: ア</t>
    <phoneticPr fontId="1"/>
  </si>
  <si>
    <t>e: ウ</t>
    <phoneticPr fontId="1"/>
  </si>
  <si>
    <t>f: イ</t>
    <phoneticPr fontId="1"/>
  </si>
  <si>
    <t>URLカテゴリと利用者IDでフィルタ</t>
    <rPh sb="8" eb="11">
      <t>リヨウシャ</t>
    </rPh>
    <phoneticPr fontId="1"/>
  </si>
  <si>
    <t>イ</t>
    <phoneticPr fontId="1"/>
  </si>
  <si>
    <t>CHAP: 認証する側がチャレンジコード、認証される側はハッシュ化して、認証</t>
    <rPh sb="6" eb="8">
      <t>ニンショウ</t>
    </rPh>
    <rPh sb="10" eb="11">
      <t>ガワ</t>
    </rPh>
    <rPh sb="21" eb="23">
      <t>ニンショウ</t>
    </rPh>
    <rPh sb="26" eb="27">
      <t>ガワ</t>
    </rPh>
    <rPh sb="32" eb="33">
      <t>カ</t>
    </rPh>
    <rPh sb="36" eb="38">
      <t>ニンショウ</t>
    </rPh>
    <phoneticPr fontId="1"/>
  </si>
  <si>
    <t>Pサービス導入後</t>
    <rPh sb="5" eb="8">
      <t>ドウニュウゴ</t>
    </rPh>
    <phoneticPr fontId="1"/>
  </si>
  <si>
    <t>プロキシサーバーではなくPサービスを経由させる</t>
    <rPh sb="18" eb="20">
      <t>ケイユ</t>
    </rPh>
    <phoneticPr fontId="1"/>
  </si>
  <si>
    <t>Lサービスに設定</t>
    <rPh sb="6" eb="8">
      <t>セッテイ</t>
    </rPh>
    <phoneticPr fontId="1"/>
  </si>
  <si>
    <t>送信元制限機能で、営業所UTMのグローバルIPアドレスを設定する</t>
    <rPh sb="0" eb="3">
      <t>ソウシンモト</t>
    </rPh>
    <rPh sb="3" eb="5">
      <t>セイゲン</t>
    </rPh>
    <rPh sb="5" eb="7">
      <t>キノウ</t>
    </rPh>
    <rPh sb="9" eb="12">
      <t>エイギョウショ</t>
    </rPh>
    <rPh sb="28" eb="30">
      <t>セッテイ</t>
    </rPh>
    <phoneticPr fontId="1"/>
  </si>
  <si>
    <t>ア</t>
    <phoneticPr fontId="1"/>
  </si>
  <si>
    <t>3-4</t>
    <phoneticPr fontId="1"/>
  </si>
  <si>
    <t>h: 4</t>
    <phoneticPr fontId="1"/>
  </si>
  <si>
    <t>i: 2</t>
    <phoneticPr fontId="1"/>
  </si>
  <si>
    <t>3-5</t>
    <phoneticPr fontId="1"/>
  </si>
  <si>
    <t>あ：4</t>
    <phoneticPr fontId="1"/>
  </si>
  <si>
    <t>い：3</t>
    <phoneticPr fontId="1"/>
  </si>
  <si>
    <t>j: https://△△△-a.jp/</t>
    <phoneticPr fontId="1"/>
  </si>
  <si>
    <t>2研究開発の従業員</t>
    <rPh sb="1" eb="5">
      <t>ケンキュウカイハツ</t>
    </rPh>
    <rPh sb="6" eb="9">
      <t>ジュウギョウイン</t>
    </rPh>
    <phoneticPr fontId="1"/>
  </si>
  <si>
    <t>l: 許可</t>
    <rPh sb="3" eb="5">
      <t>キョカ</t>
    </rPh>
    <phoneticPr fontId="1"/>
  </si>
  <si>
    <t>m: 外部ストレージサービス</t>
    <rPh sb="3" eb="5">
      <t>ガイブ</t>
    </rPh>
    <phoneticPr fontId="1"/>
  </si>
  <si>
    <t>n: すべて</t>
    <phoneticPr fontId="1"/>
  </si>
  <si>
    <t>o: 禁止</t>
    <rPh sb="3" eb="5">
      <t>キンシ</t>
    </rPh>
    <phoneticPr fontId="1"/>
  </si>
  <si>
    <t>コミュニティ名</t>
    <rPh sb="6" eb="7">
      <t>メイ</t>
    </rPh>
    <phoneticPr fontId="1"/>
  </si>
  <si>
    <t>2-3のコマンドが3-3のポートへの通信がFWの1-3によって拒否されているため</t>
    <rPh sb="18" eb="20">
      <t>ツウシン</t>
    </rPh>
    <rPh sb="31" eb="33">
      <t>キョヒ</t>
    </rPh>
    <phoneticPr fontId="1"/>
  </si>
  <si>
    <t>TXTレコードは任意の文字列を指定することが出来るため</t>
    <rPh sb="8" eb="10">
      <t>ニンイ</t>
    </rPh>
    <rPh sb="11" eb="14">
      <t>モジレツ</t>
    </rPh>
    <rPh sb="15" eb="17">
      <t>シテイ</t>
    </rPh>
    <rPh sb="22" eb="24">
      <t>デキ</t>
    </rPh>
    <phoneticPr fontId="1"/>
  </si>
  <si>
    <t>ダウンロードしたファイルの中身が異なる可能性があるため</t>
    <rPh sb="13" eb="15">
      <t>ナカミ</t>
    </rPh>
    <rPh sb="16" eb="17">
      <t>コト</t>
    </rPh>
    <rPh sb="19" eb="22">
      <t>カノウセイ</t>
    </rPh>
    <phoneticPr fontId="1"/>
  </si>
  <si>
    <t>cronコマンドは、Unix系システムで定期的にコマンドやスクリプトを実行するためのデーモンです。</t>
    <phoneticPr fontId="1"/>
  </si>
  <si>
    <t>受付サーバーで稼働しているファイルとことなる可能性があるため</t>
    <rPh sb="0" eb="2">
      <t>ウケツケ</t>
    </rPh>
    <rPh sb="7" eb="9">
      <t>カドウ</t>
    </rPh>
    <rPh sb="22" eb="25">
      <t>カノウセイ</t>
    </rPh>
    <phoneticPr fontId="1"/>
  </si>
  <si>
    <t>3-1</t>
  </si>
  <si>
    <t>3-2</t>
  </si>
  <si>
    <t>3-3</t>
  </si>
  <si>
    <t>3-4</t>
  </si>
  <si>
    <t>プロキシサーバーを介さず、Pサービスを経由する。</t>
    <rPh sb="9" eb="10">
      <t>カイ</t>
    </rPh>
    <rPh sb="19" eb="21">
      <t>ケイユ</t>
    </rPh>
    <phoneticPr fontId="1"/>
  </si>
  <si>
    <t>Pサービスはぷろきしとして機能している</t>
    <rPh sb="13" eb="15">
      <t>キノウ</t>
    </rPh>
    <phoneticPr fontId="1"/>
  </si>
  <si>
    <t>送信元制限機能に営業所のUTMのグローバルIPアドレスを設定する</t>
    <rPh sb="0" eb="3">
      <t>ソウシンモト</t>
    </rPh>
    <rPh sb="3" eb="5">
      <t>セイゲン</t>
    </rPh>
    <rPh sb="5" eb="7">
      <t>キノウ</t>
    </rPh>
    <rPh sb="8" eb="11">
      <t>エイギョウショ</t>
    </rPh>
    <rPh sb="28" eb="30">
      <t>セッテイ</t>
    </rPh>
    <phoneticPr fontId="1"/>
  </si>
  <si>
    <t>R-PCにせいげんする</t>
    <phoneticPr fontId="1"/>
  </si>
  <si>
    <t>い</t>
    <phoneticPr fontId="1"/>
  </si>
  <si>
    <t>h: 6</t>
    <phoneticPr fontId="1"/>
  </si>
  <si>
    <t>l:イ</t>
    <phoneticPr fontId="1"/>
  </si>
  <si>
    <t>q: 7</t>
    <phoneticPr fontId="1"/>
  </si>
  <si>
    <t>ウ、エ</t>
    <phoneticPr fontId="1"/>
  </si>
  <si>
    <t>認可コードの値を取得できていないため、アクセストークンを取得することができない</t>
    <rPh sb="0" eb="2">
      <t>ニンカ</t>
    </rPh>
    <rPh sb="6" eb="7">
      <t>アタイ</t>
    </rPh>
    <rPh sb="8" eb="10">
      <t>シュトク</t>
    </rPh>
    <rPh sb="28" eb="30">
      <t>シュトク</t>
    </rPh>
    <phoneticPr fontId="1"/>
  </si>
  <si>
    <t>検証コードのSHA-256によるハッシュ値をbase64urlエンコードした値とチャレンジコードとの一致を確認する</t>
    <rPh sb="0" eb="2">
      <t>ケンショウ</t>
    </rPh>
    <rPh sb="20" eb="21">
      <t>アタイ</t>
    </rPh>
    <rPh sb="38" eb="39">
      <t>アタイ</t>
    </rPh>
    <rPh sb="50" eb="52">
      <t>イッチ</t>
    </rPh>
    <rPh sb="53" eb="55">
      <t>カクニン</t>
    </rPh>
    <phoneticPr fontId="1"/>
  </si>
  <si>
    <t>2023秋</t>
    <rPh sb="4" eb="5">
      <t>アキ</t>
    </rPh>
    <phoneticPr fontId="1"/>
  </si>
  <si>
    <t>PM-3</t>
    <phoneticPr fontId="1"/>
  </si>
  <si>
    <t>Nサービス</t>
    <phoneticPr fontId="1"/>
  </si>
  <si>
    <t>CI</t>
    <phoneticPr fontId="1"/>
  </si>
  <si>
    <t>HTTPSでコミット</t>
    <phoneticPr fontId="1"/>
  </si>
  <si>
    <t>ビルドスクリプト</t>
    <phoneticPr fontId="1"/>
  </si>
  <si>
    <t>シークレット</t>
    <phoneticPr fontId="1"/>
  </si>
  <si>
    <t>フロントエンド</t>
    <phoneticPr fontId="1"/>
  </si>
  <si>
    <t>UDB</t>
    <phoneticPr fontId="1"/>
  </si>
  <si>
    <t>BE</t>
    <phoneticPr fontId="1"/>
  </si>
  <si>
    <t>仮想ネットワーク</t>
    <rPh sb="0" eb="2">
      <t>カソウ</t>
    </rPh>
    <phoneticPr fontId="1"/>
  </si>
  <si>
    <t>コンテナ上で実行するコマンドはリソースの操作が制限されることになる</t>
    <rPh sb="4" eb="5">
      <t>ウエ</t>
    </rPh>
    <rPh sb="6" eb="8">
      <t>ジッコウ</t>
    </rPh>
    <rPh sb="20" eb="22">
      <t>ソウサ</t>
    </rPh>
    <rPh sb="23" eb="25">
      <t>セイゲン</t>
    </rPh>
    <phoneticPr fontId="1"/>
  </si>
  <si>
    <t>ビルドスクリプトは任意のコマンドを実行可能</t>
    <rPh sb="9" eb="11">
      <t>ニンイ</t>
    </rPh>
    <rPh sb="17" eb="19">
      <t>ジッコウ</t>
    </rPh>
    <rPh sb="19" eb="21">
      <t>カノウ</t>
    </rPh>
    <phoneticPr fontId="1"/>
  </si>
  <si>
    <t>偽サイトに入力されたログイン情報を用いて、正規ユーザーになりすましてログインした</t>
    <rPh sb="0" eb="1">
      <t>ニセ</t>
    </rPh>
    <rPh sb="5" eb="7">
      <t>ニュウリョク</t>
    </rPh>
    <rPh sb="14" eb="16">
      <t>ジョウホウ</t>
    </rPh>
    <rPh sb="17" eb="18">
      <t>モチ</t>
    </rPh>
    <rPh sb="21" eb="23">
      <t>セイキ</t>
    </rPh>
    <phoneticPr fontId="1"/>
  </si>
  <si>
    <t>プロセスYのTLS</t>
    <phoneticPr fontId="1"/>
  </si>
  <si>
    <t>ヘッダーに別ドメインが指定</t>
    <rPh sb="5" eb="6">
      <t>ベツ</t>
    </rPh>
    <rPh sb="11" eb="13">
      <t>シテイ</t>
    </rPh>
    <phoneticPr fontId="1"/>
  </si>
  <si>
    <t>/procファイルシステムにアクセスして、情報を読み取った。</t>
    <rPh sb="21" eb="23">
      <t>ジョウホウ</t>
    </rPh>
    <rPh sb="24" eb="25">
      <t>ヨ</t>
    </rPh>
    <rPh sb="26" eb="27">
      <t>ト</t>
    </rPh>
    <phoneticPr fontId="1"/>
  </si>
  <si>
    <t>不正に発行されたサーバー証明書の利用を抑制する手段</t>
    <rPh sb="0" eb="2">
      <t>フセイ</t>
    </rPh>
    <rPh sb="3" eb="5">
      <t>ハッコウ</t>
    </rPh>
    <rPh sb="12" eb="15">
      <t>ショウメイショ</t>
    </rPh>
    <rPh sb="16" eb="18">
      <t>リヨウ</t>
    </rPh>
    <rPh sb="19" eb="21">
      <t>ヨクセイ</t>
    </rPh>
    <rPh sb="23" eb="25">
      <t>シュダン</t>
    </rPh>
    <phoneticPr fontId="1"/>
  </si>
  <si>
    <t>2-5</t>
    <phoneticPr fontId="1"/>
  </si>
  <si>
    <t>別途登録されたデバイスに対して、ワンタイムの認証情報を送付し、入力された情報を検証し本人認証する。</t>
    <rPh sb="0" eb="2">
      <t>ベット</t>
    </rPh>
    <rPh sb="2" eb="4">
      <t>トウロク</t>
    </rPh>
    <rPh sb="12" eb="13">
      <t>タイ</t>
    </rPh>
    <rPh sb="22" eb="24">
      <t>ニンショウ</t>
    </rPh>
    <rPh sb="24" eb="26">
      <t>ジョウホウ</t>
    </rPh>
    <rPh sb="27" eb="29">
      <t>ソウフ</t>
    </rPh>
    <rPh sb="31" eb="33">
      <t>ニュウリョク</t>
    </rPh>
    <rPh sb="36" eb="38">
      <t>ジョウホウ</t>
    </rPh>
    <rPh sb="39" eb="41">
      <t>ケンショウ</t>
    </rPh>
    <rPh sb="42" eb="46">
      <t>ホンニンニンショウ</t>
    </rPh>
    <phoneticPr fontId="1"/>
  </si>
  <si>
    <t>認証に用いる情報に含まれるオリジンおよび署名をサーバが確認する仕組み</t>
    <rPh sb="0" eb="2">
      <t>ニンショウ</t>
    </rPh>
    <rPh sb="3" eb="4">
      <t>モチ</t>
    </rPh>
    <rPh sb="6" eb="8">
      <t>ジョウホウ</t>
    </rPh>
    <rPh sb="9" eb="10">
      <t>フク</t>
    </rPh>
    <rPh sb="20" eb="22">
      <t>ショメイ</t>
    </rPh>
    <rPh sb="27" eb="29">
      <t>カクニン</t>
    </rPh>
    <rPh sb="31" eb="33">
      <t>シク</t>
    </rPh>
    <phoneticPr fontId="1"/>
  </si>
  <si>
    <t>2-6</t>
    <phoneticPr fontId="1"/>
  </si>
  <si>
    <t>P</t>
    <phoneticPr fontId="1"/>
  </si>
  <si>
    <t>Jストアにアップロードに使う</t>
    <rPh sb="12" eb="13">
      <t>ツカ</t>
    </rPh>
    <phoneticPr fontId="1"/>
  </si>
  <si>
    <t>有効なコード署名が負よされた不正なPアプリをJストアにアップロードする攻撃</t>
    <rPh sb="0" eb="2">
      <t>ユウコウ</t>
    </rPh>
    <rPh sb="6" eb="8">
      <t>ショメイ</t>
    </rPh>
    <rPh sb="9" eb="10">
      <t>フ</t>
    </rPh>
    <rPh sb="14" eb="16">
      <t>フセイ</t>
    </rPh>
    <rPh sb="35" eb="37">
      <t>コウゲキ</t>
    </rPh>
    <phoneticPr fontId="1"/>
  </si>
  <si>
    <t>STORE_API_KEYを無効化する</t>
    <rPh sb="14" eb="17">
      <t>ムコウカ</t>
    </rPh>
    <phoneticPr fontId="1"/>
  </si>
  <si>
    <t>攻撃者によるなりすましが困難となる</t>
    <rPh sb="0" eb="3">
      <t>コウゲキシャ</t>
    </rPh>
    <rPh sb="12" eb="14">
      <t>コンナン</t>
    </rPh>
    <phoneticPr fontId="1"/>
  </si>
  <si>
    <t>Pアプリを起動できない</t>
    <rPh sb="5" eb="7">
      <t>キドウ</t>
    </rPh>
    <phoneticPr fontId="1"/>
  </si>
  <si>
    <t>Pアプリをアップデートする</t>
    <phoneticPr fontId="1"/>
  </si>
  <si>
    <t>2023秋</t>
  </si>
  <si>
    <t>PM-3</t>
  </si>
  <si>
    <t>PM-4</t>
  </si>
  <si>
    <t>PM-4</t>
    <phoneticPr fontId="1"/>
  </si>
  <si>
    <t>リスクアセスメント</t>
    <phoneticPr fontId="1"/>
  </si>
  <si>
    <t>W社は運送会社</t>
    <rPh sb="1" eb="2">
      <t>シャ</t>
    </rPh>
    <rPh sb="3" eb="7">
      <t>ウンソウカイシャ</t>
    </rPh>
    <phoneticPr fontId="1"/>
  </si>
  <si>
    <t>Sサービスに受注j方法</t>
    <rPh sb="6" eb="8">
      <t>ジュチュウ</t>
    </rPh>
    <rPh sb="9" eb="11">
      <t>ホウホウ</t>
    </rPh>
    <phoneticPr fontId="1"/>
  </si>
  <si>
    <t>受注情報＝Z情報</t>
    <rPh sb="0" eb="4">
      <t>ジュチュウジョウホウ</t>
    </rPh>
    <rPh sb="6" eb="8">
      <t>ジョウホウ</t>
    </rPh>
    <phoneticPr fontId="1"/>
  </si>
  <si>
    <t>１日のZ情報は10～50</t>
    <rPh sb="1" eb="2">
      <t>ニチ</t>
    </rPh>
    <rPh sb="4" eb="6">
      <t>ジョウホウ</t>
    </rPh>
    <phoneticPr fontId="1"/>
  </si>
  <si>
    <t>2重の脅迫</t>
    <rPh sb="1" eb="2">
      <t>ジュウ</t>
    </rPh>
    <rPh sb="3" eb="5">
      <t>キョウハク</t>
    </rPh>
    <phoneticPr fontId="1"/>
  </si>
  <si>
    <t>時刻同期</t>
    <rPh sb="0" eb="2">
      <t>ジコク</t>
    </rPh>
    <rPh sb="2" eb="4">
      <t>ドウキ</t>
    </rPh>
    <phoneticPr fontId="1"/>
  </si>
  <si>
    <t>一括出力機能</t>
    <rPh sb="0" eb="2">
      <t>イッカツ</t>
    </rPh>
    <rPh sb="2" eb="4">
      <t>シュツリョク</t>
    </rPh>
    <rPh sb="4" eb="6">
      <t>キノウ</t>
    </rPh>
    <phoneticPr fontId="1"/>
  </si>
  <si>
    <t>E社にアセスメント</t>
    <rPh sb="1" eb="2">
      <t>シャ</t>
    </rPh>
    <phoneticPr fontId="1"/>
  </si>
  <si>
    <t>デバイスパッチはOK</t>
    <phoneticPr fontId="1"/>
  </si>
  <si>
    <t>FWはインターネット通信NG</t>
    <rPh sb="10" eb="12">
      <t>ツウシン</t>
    </rPh>
    <phoneticPr fontId="1"/>
  </si>
  <si>
    <t>メールマルウェア</t>
    <phoneticPr fontId="1"/>
  </si>
  <si>
    <t>USBダメ</t>
    <phoneticPr fontId="1"/>
  </si>
  <si>
    <t>論理意識は高い</t>
    <rPh sb="0" eb="2">
      <t>ロンリ</t>
    </rPh>
    <rPh sb="2" eb="4">
      <t>イシキ</t>
    </rPh>
    <rPh sb="5" eb="6">
      <t>タカ</t>
    </rPh>
    <phoneticPr fontId="1"/>
  </si>
  <si>
    <t>ID＋PWで周知</t>
    <rPh sb="6" eb="8">
      <t>シュウチ</t>
    </rPh>
    <phoneticPr fontId="1"/>
  </si>
  <si>
    <t>PWのメモがある</t>
    <phoneticPr fontId="1"/>
  </si>
  <si>
    <t>ア：10，１１，１２，１３</t>
    <phoneticPr fontId="1"/>
  </si>
  <si>
    <t>イ：大</t>
    <rPh sb="2" eb="3">
      <t>オオ</t>
    </rPh>
    <phoneticPr fontId="1"/>
  </si>
  <si>
    <t>ウ：C</t>
    <phoneticPr fontId="1"/>
  </si>
  <si>
    <t>エ：ログイン可能なIpアドレスをW社に制限する</t>
    <rPh sb="6" eb="8">
      <t>カノウ</t>
    </rPh>
    <rPh sb="17" eb="18">
      <t>シャ</t>
    </rPh>
    <rPh sb="19" eb="21">
      <t>セイゲン</t>
    </rPh>
    <phoneticPr fontId="1"/>
  </si>
  <si>
    <t>配送管理員が閲覧するWebサイトで、脆弱性を利用して、アクセスした際に未知のマルウェアダウンロードするようにサイトのページを改ざんする</t>
    <rPh sb="0" eb="4">
      <t>ハイソウカンリ</t>
    </rPh>
    <rPh sb="4" eb="5">
      <t>イン</t>
    </rPh>
    <rPh sb="6" eb="8">
      <t>エツラン</t>
    </rPh>
    <rPh sb="18" eb="21">
      <t>ゼイジャクセイ</t>
    </rPh>
    <rPh sb="22" eb="24">
      <t>リヨウ</t>
    </rPh>
    <rPh sb="33" eb="34">
      <t>サイ</t>
    </rPh>
    <rPh sb="35" eb="37">
      <t>ミチ</t>
    </rPh>
    <rPh sb="62" eb="63">
      <t>カイ</t>
    </rPh>
    <phoneticPr fontId="1"/>
  </si>
  <si>
    <t>い：ダウンロードしたマルウェアがPC内を探索し、情報を攻撃者に対して送出する</t>
    <rPh sb="18" eb="19">
      <t>ナイ</t>
    </rPh>
    <rPh sb="20" eb="22">
      <t>タンサク</t>
    </rPh>
    <rPh sb="24" eb="26">
      <t>ジョウホウ</t>
    </rPh>
    <rPh sb="27" eb="30">
      <t>コウゲキシャ</t>
    </rPh>
    <rPh sb="31" eb="32">
      <t>タイ</t>
    </rPh>
    <rPh sb="34" eb="36">
      <t>ソウシュツ</t>
    </rPh>
    <phoneticPr fontId="1"/>
  </si>
  <si>
    <t>う：2、3、6、9、10</t>
    <phoneticPr fontId="1"/>
  </si>
  <si>
    <t>え：中</t>
    <rPh sb="2" eb="3">
      <t>ナカ</t>
    </rPh>
    <phoneticPr fontId="1"/>
  </si>
  <si>
    <t>お：低</t>
    <rPh sb="2" eb="3">
      <t>ヒク</t>
    </rPh>
    <phoneticPr fontId="1"/>
  </si>
  <si>
    <t>か：D</t>
    <phoneticPr fontId="1"/>
  </si>
  <si>
    <t>き：ローカルPCにZ情報を保持しないようにする</t>
    <rPh sb="10" eb="12">
      <t>ジョウホウ</t>
    </rPh>
    <rPh sb="13" eb="15">
      <t>ホジ</t>
    </rPh>
    <phoneticPr fontId="1"/>
  </si>
  <si>
    <t>プロキシサーバーURLフィルタリングを利用して必要なサイトへのアクセスに制限する</t>
    <rPh sb="19" eb="21">
      <t>リヨウ</t>
    </rPh>
    <rPh sb="23" eb="25">
      <t>ヒツヨウ</t>
    </rPh>
    <rPh sb="36" eb="38">
      <t>セイゲン</t>
    </rPh>
    <phoneticPr fontId="1"/>
  </si>
  <si>
    <t>3</t>
    <phoneticPr fontId="1"/>
  </si>
  <si>
    <t>a: 5, 10, 12</t>
    <phoneticPr fontId="1"/>
  </si>
  <si>
    <t>b: 2, 3, 4, 6</t>
    <phoneticPr fontId="1"/>
  </si>
  <si>
    <t>間違い直し</t>
    <rPh sb="0" eb="2">
      <t>マチガ</t>
    </rPh>
    <rPh sb="3" eb="4">
      <t>ナオ</t>
    </rPh>
    <phoneticPr fontId="1"/>
  </si>
  <si>
    <t>百貨店</t>
    <rPh sb="0" eb="3">
      <t>ヒャッカテン</t>
    </rPh>
    <phoneticPr fontId="1"/>
  </si>
  <si>
    <t>Z情報を参照する</t>
    <rPh sb="1" eb="3">
      <t>ジョウホウ</t>
    </rPh>
    <rPh sb="4" eb="6">
      <t>サンショウ</t>
    </rPh>
    <phoneticPr fontId="1"/>
  </si>
  <si>
    <t>Z情報＝受注情報</t>
    <rPh sb="1" eb="3">
      <t>ジョウホウ</t>
    </rPh>
    <rPh sb="4" eb="8">
      <t>ジュチュウジョウホウ</t>
    </rPh>
    <phoneticPr fontId="1"/>
  </si>
  <si>
    <t>IDとPWで認証</t>
    <rPh sb="6" eb="8">
      <t>ニンショウ</t>
    </rPh>
    <phoneticPr fontId="1"/>
  </si>
  <si>
    <t>ウェアんタイムパスワード</t>
    <phoneticPr fontId="1"/>
  </si>
  <si>
    <t>エ：G百貨店で、Sサービスへのログイン可能なIPアドレスをW社プロキシだけに設定する</t>
    <rPh sb="3" eb="6">
      <t>ヒャッカテン</t>
    </rPh>
    <rPh sb="19" eb="21">
      <t>カノウ</t>
    </rPh>
    <rPh sb="30" eb="31">
      <t>シャ</t>
    </rPh>
    <rPh sb="38" eb="40">
      <t>セッテイ</t>
    </rPh>
    <phoneticPr fontId="1"/>
  </si>
  <si>
    <t>W社の社員がアクセスするサイトをサイトの脆弱性を利用して、アクセス時に未知のマルウェアがダウンロード出来るように改ざんする。</t>
    <rPh sb="1" eb="2">
      <t>シャ</t>
    </rPh>
    <rPh sb="3" eb="5">
      <t>シャイン</t>
    </rPh>
    <rPh sb="20" eb="23">
      <t>ゼイジャクセイ</t>
    </rPh>
    <rPh sb="24" eb="26">
      <t>リヨウ</t>
    </rPh>
    <rPh sb="33" eb="34">
      <t>ジ</t>
    </rPh>
    <rPh sb="35" eb="37">
      <t>ミチ</t>
    </rPh>
    <rPh sb="50" eb="52">
      <t>デキ</t>
    </rPh>
    <rPh sb="56" eb="57">
      <t>カイ</t>
    </rPh>
    <phoneticPr fontId="1"/>
  </si>
  <si>
    <t>イ：W社社員のPCにマルウェアをダウンロードして、キー入力を監視して、配送管理課員がSサービスにログインされ、Z情報がPCに保存される。</t>
    <rPh sb="3" eb="4">
      <t>シャ</t>
    </rPh>
    <rPh sb="4" eb="6">
      <t>シャイン</t>
    </rPh>
    <rPh sb="27" eb="29">
      <t>ニュウリョク</t>
    </rPh>
    <rPh sb="30" eb="32">
      <t>カンシ</t>
    </rPh>
    <rPh sb="35" eb="39">
      <t>ハイソウカンリ</t>
    </rPh>
    <rPh sb="39" eb="41">
      <t>カイン</t>
    </rPh>
    <rPh sb="56" eb="58">
      <t>ジョウホウ</t>
    </rPh>
    <rPh sb="62" eb="64">
      <t>ホゾン</t>
    </rPh>
    <phoneticPr fontId="1"/>
  </si>
  <si>
    <t>う：2, 3, 6</t>
    <phoneticPr fontId="1"/>
  </si>
  <si>
    <t>え：大</t>
    <rPh sb="2" eb="3">
      <t>オオ</t>
    </rPh>
    <phoneticPr fontId="1"/>
  </si>
  <si>
    <t>か：C</t>
    <phoneticPr fontId="1"/>
  </si>
  <si>
    <t>き：プロキシサーバーのURLフィルタリング機能の設定を変更して、配送管理PCからアクセスを制限する</t>
    <rPh sb="21" eb="23">
      <t>キノウ</t>
    </rPh>
    <rPh sb="24" eb="26">
      <t>セッテイ</t>
    </rPh>
    <rPh sb="27" eb="29">
      <t>ヘンコウ</t>
    </rPh>
    <rPh sb="32" eb="36">
      <t>ハイソウカンリ</t>
    </rPh>
    <rPh sb="45" eb="47">
      <t>セイゲン</t>
    </rPh>
    <phoneticPr fontId="1"/>
  </si>
  <si>
    <t>見直し</t>
    <rPh sb="0" eb="2">
      <t>ミナオ</t>
    </rPh>
    <phoneticPr fontId="1"/>
  </si>
  <si>
    <t>N社CIサービス提供</t>
    <rPh sb="1" eb="2">
      <t>シャ</t>
    </rPh>
    <rPh sb="8" eb="10">
      <t>テイキョウ</t>
    </rPh>
    <phoneticPr fontId="1"/>
  </si>
  <si>
    <t>シークレット機能</t>
    <rPh sb="6" eb="8">
      <t>キノウ</t>
    </rPh>
    <phoneticPr fontId="1"/>
  </si>
  <si>
    <t>WEBサーバにAPIキー登録</t>
    <rPh sb="12" eb="14">
      <t>トウロク</t>
    </rPh>
    <phoneticPr fontId="1"/>
  </si>
  <si>
    <t>コミット通知</t>
    <rPh sb="4" eb="6">
      <t>ツウチ</t>
    </rPh>
    <phoneticPr fontId="1"/>
  </si>
  <si>
    <t>リポジトリ特定してVCSホストやSSH鍵から取得</t>
    <rPh sb="5" eb="7">
      <t>トクテイ</t>
    </rPh>
    <rPh sb="19" eb="20">
      <t>カギ</t>
    </rPh>
    <rPh sb="22" eb="24">
      <t>シュトク</t>
    </rPh>
    <phoneticPr fontId="1"/>
  </si>
  <si>
    <t>バックエンドを選択</t>
    <rPh sb="7" eb="9">
      <t>センタク</t>
    </rPh>
    <phoneticPr fontId="1"/>
  </si>
  <si>
    <t>CIデーモンに情報送信</t>
    <rPh sb="7" eb="9">
      <t>ジョウホウ</t>
    </rPh>
    <rPh sb="9" eb="11">
      <t>ソウシン</t>
    </rPh>
    <phoneticPr fontId="1"/>
  </si>
  <si>
    <t>ウ, エ</t>
    <phoneticPr fontId="1"/>
  </si>
  <si>
    <t>Uさんが入力したTOTPを取得して、クラウド管理者サイトに入力してログインした。</t>
    <rPh sb="4" eb="6">
      <t>ニュウリョク</t>
    </rPh>
    <rPh sb="13" eb="15">
      <t>シュトク</t>
    </rPh>
    <rPh sb="22" eb="25">
      <t>カンリシャ</t>
    </rPh>
    <rPh sb="29" eb="31">
      <t>ニュウリョク</t>
    </rPh>
    <phoneticPr fontId="1"/>
  </si>
  <si>
    <t>認証に用いる情報にふくまれるオリジンと署名をサーバーが確認する仕組み</t>
    <rPh sb="0" eb="2">
      <t>ニンショウ</t>
    </rPh>
    <rPh sb="3" eb="4">
      <t>モチ</t>
    </rPh>
    <rPh sb="6" eb="8">
      <t>ジョウホウ</t>
    </rPh>
    <rPh sb="19" eb="21">
      <t>ショメイ</t>
    </rPh>
    <rPh sb="27" eb="29">
      <t>カクニン</t>
    </rPh>
    <rPh sb="31" eb="33">
      <t>シク</t>
    </rPh>
    <phoneticPr fontId="1"/>
  </si>
  <si>
    <t>NサービスよりSTORE_API_KEYを削除する。</t>
    <rPh sb="21" eb="23">
      <t>サクジョ</t>
    </rPh>
    <phoneticPr fontId="1"/>
  </si>
  <si>
    <t>秘密鍵が漏れないという利点</t>
    <rPh sb="0" eb="3">
      <t>ヒミツカギ</t>
    </rPh>
    <rPh sb="4" eb="5">
      <t>モ</t>
    </rPh>
    <rPh sb="11" eb="13">
      <t>リテン</t>
    </rPh>
    <phoneticPr fontId="1"/>
  </si>
  <si>
    <t>認証に用いる情報に含まれるオリジンおよび署名をサーバーが確認する仕組み</t>
    <rPh sb="0" eb="2">
      <t>ニンショウ</t>
    </rPh>
    <rPh sb="3" eb="4">
      <t>モチ</t>
    </rPh>
    <rPh sb="6" eb="8">
      <t>ジョウホウ</t>
    </rPh>
    <rPh sb="9" eb="10">
      <t>フク</t>
    </rPh>
    <rPh sb="20" eb="22">
      <t>ショメイ</t>
    </rPh>
    <rPh sb="28" eb="30">
      <t>カクニン</t>
    </rPh>
    <rPh sb="32" eb="34">
      <t>シク</t>
    </rPh>
    <phoneticPr fontId="1"/>
  </si>
  <si>
    <t>ECサイト</t>
    <phoneticPr fontId="1"/>
  </si>
  <si>
    <t>アプリQHTTPS</t>
    <phoneticPr fontId="1"/>
  </si>
  <si>
    <t>セッションID</t>
    <phoneticPr fontId="1"/>
  </si>
  <si>
    <t>レビュータイトルを出力する前にエスケープ処理を行う</t>
    <rPh sb="9" eb="11">
      <t>シュツリョク</t>
    </rPh>
    <rPh sb="13" eb="14">
      <t>マエ</t>
    </rPh>
    <rPh sb="20" eb="22">
      <t>ショリ</t>
    </rPh>
    <rPh sb="23" eb="24">
      <t>オコナ</t>
    </rPh>
    <phoneticPr fontId="1"/>
  </si>
  <si>
    <t>2</t>
    <phoneticPr fontId="1"/>
  </si>
  <si>
    <t>HTMLがコメントアウトされてスクリプトがひとつづつ送信されるような文字列の送出を繰り返し行った</t>
    <rPh sb="26" eb="28">
      <t>ソウシン</t>
    </rPh>
    <rPh sb="34" eb="37">
      <t>モジレツ</t>
    </rPh>
    <rPh sb="38" eb="40">
      <t>ソウシュツ</t>
    </rPh>
    <rPh sb="41" eb="42">
      <t>ク</t>
    </rPh>
    <rPh sb="43" eb="44">
      <t>カエ</t>
    </rPh>
    <rPh sb="45" eb="46">
      <t>オコナ</t>
    </rPh>
    <phoneticPr fontId="1"/>
  </si>
  <si>
    <t>レスポンスタイプをDOMとすると、リクエストを読み込める</t>
    <rPh sb="23" eb="24">
      <t>ヨ</t>
    </rPh>
    <rPh sb="25" eb="26">
      <t>コ</t>
    </rPh>
    <phoneticPr fontId="1"/>
  </si>
  <si>
    <t>リクエストを送信</t>
    <rPh sb="6" eb="8">
      <t>ソウシン</t>
    </rPh>
    <phoneticPr fontId="1"/>
  </si>
  <si>
    <t>リクエストより取得したトークンを画像とともにアップロードする</t>
    <rPh sb="7" eb="9">
      <t>シュトク</t>
    </rPh>
    <rPh sb="16" eb="18">
      <t>ガゾウ</t>
    </rPh>
    <phoneticPr fontId="1"/>
  </si>
  <si>
    <t>ページに表示されたアップロード画像をダウンロードすることで取得する</t>
    <rPh sb="4" eb="6">
      <t>ヒョウジ</t>
    </rPh>
    <rPh sb="15" eb="17">
      <t>ガゾウ</t>
    </rPh>
    <rPh sb="29" eb="31">
      <t>シュトク</t>
    </rPh>
    <phoneticPr fontId="1"/>
  </si>
  <si>
    <t>ECサイトの正規会員に成りすましてログインする</t>
    <rPh sb="6" eb="10">
      <t>セイキカイイン</t>
    </rPh>
    <rPh sb="11" eb="12">
      <t>ナ</t>
    </rPh>
    <phoneticPr fontId="1"/>
  </si>
  <si>
    <t>4</t>
    <phoneticPr fontId="1"/>
  </si>
  <si>
    <t>アクセス元と同じオリジンによるスクリプト以外は実行できない</t>
    <rPh sb="4" eb="5">
      <t>モト</t>
    </rPh>
    <rPh sb="6" eb="7">
      <t>オナ</t>
    </rPh>
    <rPh sb="20" eb="22">
      <t>イガイ</t>
    </rPh>
    <rPh sb="23" eb="25">
      <t>ジッコウ</t>
    </rPh>
    <phoneticPr fontId="1"/>
  </si>
  <si>
    <t>スクリプトと別ドメインのURLに対してcookieが送られない仕組み</t>
    <rPh sb="6" eb="7">
      <t>ベツ</t>
    </rPh>
    <rPh sb="16" eb="17">
      <t>タイ</t>
    </rPh>
    <rPh sb="26" eb="27">
      <t>オク</t>
    </rPh>
    <rPh sb="31" eb="33">
      <t>シク</t>
    </rPh>
    <phoneticPr fontId="1"/>
  </si>
  <si>
    <t>PM-1</t>
    <phoneticPr fontId="1"/>
  </si>
  <si>
    <t>VCSにコミットする</t>
    <phoneticPr fontId="1"/>
  </si>
  <si>
    <t>ci.shという名称のスクリプト</t>
    <rPh sb="8" eb="10">
      <t>メイショウ</t>
    </rPh>
    <phoneticPr fontId="1"/>
  </si>
  <si>
    <t>不正なサイトに入力されたTOTPを使って、有効期限内に正規サイトにログインする</t>
    <rPh sb="0" eb="2">
      <t>フセイ</t>
    </rPh>
    <rPh sb="7" eb="9">
      <t>ニュウリョク</t>
    </rPh>
    <rPh sb="17" eb="18">
      <t>ツカ</t>
    </rPh>
    <rPh sb="21" eb="26">
      <t>ユウコウキゲンナイ</t>
    </rPh>
    <rPh sb="27" eb="29">
      <t>セイキ</t>
    </rPh>
    <phoneticPr fontId="1"/>
  </si>
  <si>
    <t>環境変数</t>
    <rPh sb="0" eb="4">
      <t>カンキョウヘンスウ</t>
    </rPh>
    <phoneticPr fontId="1"/>
  </si>
  <si>
    <t>/procファイルを閲覧の上、シークレットを読み取る</t>
    <rPh sb="10" eb="12">
      <t>エツラン</t>
    </rPh>
    <rPh sb="13" eb="14">
      <t>ウエ</t>
    </rPh>
    <rPh sb="22" eb="23">
      <t>ヨ</t>
    </rPh>
    <rPh sb="24" eb="25">
      <t>ト</t>
    </rPh>
    <phoneticPr fontId="1"/>
  </si>
  <si>
    <t>Pアプリ</t>
    <phoneticPr fontId="1"/>
  </si>
  <si>
    <t>Jストア</t>
    <phoneticPr fontId="1"/>
  </si>
  <si>
    <t>JアプリのN社のアプリを、別アプリに置き換えて、ダウンロードした利用者の端末に感染させる</t>
    <rPh sb="6" eb="7">
      <t>シャ</t>
    </rPh>
    <rPh sb="13" eb="14">
      <t>ベツ</t>
    </rPh>
    <rPh sb="18" eb="19">
      <t>オ</t>
    </rPh>
    <rPh sb="20" eb="21">
      <t>カ</t>
    </rPh>
    <rPh sb="32" eb="35">
      <t>リヨウシャ</t>
    </rPh>
    <rPh sb="36" eb="38">
      <t>タンマツ</t>
    </rPh>
    <rPh sb="39" eb="41">
      <t>カンセン</t>
    </rPh>
    <phoneticPr fontId="1"/>
  </si>
  <si>
    <t>認証用APIキーを削除する</t>
    <rPh sb="0" eb="2">
      <t>ニンショウ</t>
    </rPh>
    <rPh sb="2" eb="3">
      <t>ヨウ</t>
    </rPh>
    <rPh sb="9" eb="11">
      <t>サクジョ</t>
    </rPh>
    <phoneticPr fontId="1"/>
  </si>
  <si>
    <t>FIPSの認証をうけたHSM</t>
    <rPh sb="5" eb="7">
      <t>ニンショウ</t>
    </rPh>
    <phoneticPr fontId="1"/>
  </si>
  <si>
    <t>秘密キーの持ち出しが出来ない</t>
    <rPh sb="0" eb="2">
      <t>ヒミツ</t>
    </rPh>
    <rPh sb="5" eb="6">
      <t>モ</t>
    </rPh>
    <rPh sb="7" eb="8">
      <t>ダ</t>
    </rPh>
    <rPh sb="10" eb="12">
      <t>デキ</t>
    </rPh>
    <phoneticPr fontId="1"/>
  </si>
  <si>
    <t>再インストールしなおす</t>
    <rPh sb="0" eb="1">
      <t>サイ</t>
    </rPh>
    <phoneticPr fontId="1"/>
  </si>
  <si>
    <t>間違い直し</t>
    <rPh sb="0" eb="2">
      <t>マチガ</t>
    </rPh>
    <rPh sb="3" eb="4">
      <t>ナオ</t>
    </rPh>
    <phoneticPr fontId="1"/>
  </si>
  <si>
    <t>EC事業</t>
    <rPh sb="2" eb="4">
      <t>ジギョウ</t>
    </rPh>
    <phoneticPr fontId="1"/>
  </si>
  <si>
    <t>アプリQで運営</t>
    <rPh sb="5" eb="7">
      <t>ウンエイ</t>
    </rPh>
    <phoneticPr fontId="1"/>
  </si>
  <si>
    <t>HTTPSでアクセスし開発運用</t>
    <rPh sb="11" eb="13">
      <t>カイハツ</t>
    </rPh>
    <rPh sb="13" eb="15">
      <t>ウンヨウ</t>
    </rPh>
    <phoneticPr fontId="1"/>
  </si>
  <si>
    <t>商品レビュー</t>
    <rPh sb="0" eb="2">
      <t>ショウヒン</t>
    </rPh>
    <phoneticPr fontId="1"/>
  </si>
  <si>
    <t>会員IDとパスワード</t>
    <rPh sb="0" eb="2">
      <t>カイイン</t>
    </rPh>
    <phoneticPr fontId="1"/>
  </si>
  <si>
    <t>レビュータイトル</t>
    <phoneticPr fontId="1"/>
  </si>
  <si>
    <t>自友紀述</t>
    <rPh sb="0" eb="4">
      <t>ジユキジュツ</t>
    </rPh>
    <phoneticPr fontId="1"/>
  </si>
  <si>
    <t>画像をアップロードして設定するページ</t>
    <rPh sb="0" eb="2">
      <t>ガゾウ</t>
    </rPh>
    <rPh sb="11" eb="13">
      <t>セッテイ</t>
    </rPh>
    <phoneticPr fontId="1"/>
  </si>
  <si>
    <t>トークンが一致した場合に更新することが出来る</t>
    <rPh sb="5" eb="7">
      <t>イッチ</t>
    </rPh>
    <rPh sb="9" eb="11">
      <t>バアイ</t>
    </rPh>
    <rPh sb="12" eb="14">
      <t>コウシン</t>
    </rPh>
    <rPh sb="19" eb="21">
      <t>デキ</t>
    </rPh>
    <phoneticPr fontId="1"/>
  </si>
  <si>
    <t>ページVに表示されるレビューがすく兄</t>
    <rPh sb="5" eb="7">
      <t>ヒョウジ</t>
    </rPh>
    <rPh sb="17" eb="18">
      <t>アニ</t>
    </rPh>
    <phoneticPr fontId="1"/>
  </si>
  <si>
    <t>1-2</t>
    <phoneticPr fontId="1"/>
  </si>
  <si>
    <t>scriptが埋め込まれているため</t>
    <rPh sb="7" eb="8">
      <t>ウ</t>
    </rPh>
    <rPh sb="9" eb="10">
      <t>コ</t>
    </rPh>
    <phoneticPr fontId="1"/>
  </si>
  <si>
    <t>読み込んだHTMLファイルの内容をエスケープ処理を行う</t>
    <rPh sb="0" eb="1">
      <t>ヨ</t>
    </rPh>
    <rPh sb="2" eb="3">
      <t>コ</t>
    </rPh>
    <rPh sb="14" eb="16">
      <t>ナイヨウ</t>
    </rPh>
    <rPh sb="22" eb="24">
      <t>ショリ</t>
    </rPh>
    <rPh sb="25" eb="26">
      <t>オコナ</t>
    </rPh>
    <phoneticPr fontId="1"/>
  </si>
  <si>
    <t>2</t>
    <phoneticPr fontId="1"/>
  </si>
  <si>
    <t>HTMLがコメントアウトされ一つのスクリプトになるような投稿を複数回に分けて実行した</t>
    <rPh sb="14" eb="15">
      <t>ヒト</t>
    </rPh>
    <rPh sb="28" eb="30">
      <t>トウコウ</t>
    </rPh>
    <rPh sb="31" eb="34">
      <t>フクスウカイ</t>
    </rPh>
    <rPh sb="35" eb="36">
      <t>ワ</t>
    </rPh>
    <rPh sb="38" eb="40">
      <t>ジッコウ</t>
    </rPh>
    <phoneticPr fontId="1"/>
  </si>
  <si>
    <t>3-1</t>
    <phoneticPr fontId="1"/>
  </si>
  <si>
    <t>リクエストから取得したトークンを、アップロードの画像ファイルに含めて、指定のURLに送出している</t>
    <rPh sb="7" eb="9">
      <t>シュトク</t>
    </rPh>
    <rPh sb="24" eb="26">
      <t>ガゾウ</t>
    </rPh>
    <rPh sb="31" eb="32">
      <t>フク</t>
    </rPh>
    <rPh sb="35" eb="37">
      <t>シテイ</t>
    </rPh>
    <rPh sb="42" eb="44">
      <t>ソウシュツ</t>
    </rPh>
    <phoneticPr fontId="1"/>
  </si>
  <si>
    <t>3-2</t>
    <phoneticPr fontId="1"/>
  </si>
  <si>
    <t>表示された画面の画像データをダウンロードして、内容に含まれるトークンを取得する</t>
    <rPh sb="0" eb="2">
      <t>ヒョウジ</t>
    </rPh>
    <rPh sb="5" eb="7">
      <t>ガメン</t>
    </rPh>
    <rPh sb="8" eb="10">
      <t>ガゾウ</t>
    </rPh>
    <rPh sb="23" eb="25">
      <t>ナイヨウ</t>
    </rPh>
    <rPh sb="26" eb="27">
      <t>フク</t>
    </rPh>
    <rPh sb="35" eb="37">
      <t>シュトク</t>
    </rPh>
    <phoneticPr fontId="1"/>
  </si>
  <si>
    <t>3-3</t>
    <phoneticPr fontId="1"/>
  </si>
  <si>
    <t>ECサイトにログインして、Qアプリを操作する</t>
    <rPh sb="18" eb="20">
      <t>ソウサ</t>
    </rPh>
    <phoneticPr fontId="1"/>
  </si>
  <si>
    <t>4</t>
    <phoneticPr fontId="1"/>
  </si>
  <si>
    <t>スクリプトと別ドメインのURLに対してcookieが送られない仕組み</t>
    <rPh sb="6" eb="7">
      <t>ベツ</t>
    </rPh>
    <rPh sb="16" eb="17">
      <t>タイ</t>
    </rPh>
    <rPh sb="26" eb="27">
      <t>オク</t>
    </rPh>
    <rPh sb="31" eb="33">
      <t>シク</t>
    </rPh>
    <phoneticPr fontId="1"/>
  </si>
  <si>
    <t>見直し</t>
    <rPh sb="0" eb="2">
      <t>ミナオ</t>
    </rPh>
    <phoneticPr fontId="1"/>
  </si>
  <si>
    <t>VCSにコミット</t>
    <phoneticPr fontId="1"/>
  </si>
  <si>
    <t>ソースコードを自動的にコンパイルする目的</t>
    <rPh sb="7" eb="10">
      <t>ジドウテキ</t>
    </rPh>
    <rPh sb="18" eb="20">
      <t>モクテキ</t>
    </rPh>
    <phoneticPr fontId="1"/>
  </si>
  <si>
    <t>VCSではリポジトリで管理</t>
    <rPh sb="11" eb="13">
      <t>カンリ</t>
    </rPh>
    <phoneticPr fontId="1"/>
  </si>
  <si>
    <t>ci.shシェル</t>
    <phoneticPr fontId="1"/>
  </si>
  <si>
    <t>ビルドを実行するシェルに設定するEB</t>
    <rPh sb="4" eb="6">
      <t>ジッコウ</t>
    </rPh>
    <rPh sb="12" eb="14">
      <t>セッテイ</t>
    </rPh>
    <phoneticPr fontId="1"/>
  </si>
  <si>
    <t>サービス利用者が登録する機能</t>
    <rPh sb="4" eb="7">
      <t>リヨウシャ</t>
    </rPh>
    <rPh sb="8" eb="10">
      <t>トウロク</t>
    </rPh>
    <rPh sb="12" eb="14">
      <t>キノウ</t>
    </rPh>
    <phoneticPr fontId="1"/>
  </si>
  <si>
    <t>生体認証の認証あとに、認証に用いる情報に含まれるオリジンおよび署名をサーバーが確認する仕組み</t>
    <rPh sb="0" eb="4">
      <t>セイタイニンショウ</t>
    </rPh>
    <rPh sb="5" eb="7">
      <t>ニンショウ</t>
    </rPh>
    <rPh sb="11" eb="13">
      <t>ニンショウ</t>
    </rPh>
    <rPh sb="14" eb="15">
      <t>モチ</t>
    </rPh>
    <rPh sb="17" eb="19">
      <t>ジョウホウ</t>
    </rPh>
    <rPh sb="20" eb="21">
      <t>フク</t>
    </rPh>
    <rPh sb="31" eb="33">
      <t>ショメイ</t>
    </rPh>
    <rPh sb="39" eb="41">
      <t>カクニン</t>
    </rPh>
    <rPh sb="43" eb="45">
      <t>シク</t>
    </rPh>
    <phoneticPr fontId="1"/>
  </si>
  <si>
    <t>認証用APIキーを削除する</t>
    <rPh sb="0" eb="2">
      <t>ニンショウ</t>
    </rPh>
    <rPh sb="2" eb="3">
      <t>ヨウ</t>
    </rPh>
    <rPh sb="9" eb="11">
      <t>サクジョ</t>
    </rPh>
    <phoneticPr fontId="1"/>
  </si>
  <si>
    <t>W社地域運送会社</t>
    <rPh sb="1" eb="2">
      <t>シャ</t>
    </rPh>
    <rPh sb="2" eb="8">
      <t>チイキウンソウカイシャ</t>
    </rPh>
    <phoneticPr fontId="1"/>
  </si>
  <si>
    <t>本社事務所と倉庫</t>
    <rPh sb="0" eb="2">
      <t>ホンシャ</t>
    </rPh>
    <rPh sb="2" eb="5">
      <t>ジムショ</t>
    </rPh>
    <rPh sb="6" eb="8">
      <t>ソウコ</t>
    </rPh>
    <phoneticPr fontId="1"/>
  </si>
  <si>
    <t>G百貨店SaaSに登録</t>
    <rPh sb="1" eb="4">
      <t>ヒャッカテン</t>
    </rPh>
    <rPh sb="9" eb="11">
      <t>トウロク</t>
    </rPh>
    <phoneticPr fontId="1"/>
  </si>
  <si>
    <t>在庫管理</t>
    <rPh sb="0" eb="4">
      <t>ザイコカンリ</t>
    </rPh>
    <phoneticPr fontId="1"/>
  </si>
  <si>
    <t>Z情報</t>
    <rPh sb="1" eb="3">
      <t>ジョウホウ</t>
    </rPh>
    <phoneticPr fontId="1"/>
  </si>
  <si>
    <t>配送管理SaaS</t>
    <rPh sb="0" eb="2">
      <t>ハイソウ</t>
    </rPh>
    <rPh sb="2" eb="4">
      <t>カンリ</t>
    </rPh>
    <phoneticPr fontId="1"/>
  </si>
  <si>
    <t>配送の情報</t>
    <rPh sb="0" eb="2">
      <t>ハイソウ</t>
    </rPh>
    <rPh sb="3" eb="5">
      <t>ジョウホウ</t>
    </rPh>
    <phoneticPr fontId="1"/>
  </si>
  <si>
    <t>ランサム</t>
    <phoneticPr fontId="1"/>
  </si>
  <si>
    <t>セキュリティコンサルE社に依頼い</t>
    <rPh sb="11" eb="12">
      <t>シャ</t>
    </rPh>
    <rPh sb="13" eb="15">
      <t>イライ</t>
    </rPh>
    <phoneticPr fontId="1"/>
  </si>
  <si>
    <t>リスクアセスメントの開始</t>
    <rPh sb="10" eb="12">
      <t>カイシ</t>
    </rPh>
    <phoneticPr fontId="1"/>
  </si>
  <si>
    <t>時刻同期のワンタイムパスワードによる認証</t>
    <rPh sb="0" eb="4">
      <t>ジコクドウキ</t>
    </rPh>
    <rPh sb="18" eb="20">
      <t>ニンショウ</t>
    </rPh>
    <phoneticPr fontId="1"/>
  </si>
  <si>
    <t>ログインを許可するアクセス元IPアドレス</t>
    <rPh sb="5" eb="7">
      <t>キョカ</t>
    </rPh>
    <rPh sb="13" eb="14">
      <t>モト</t>
    </rPh>
    <phoneticPr fontId="1"/>
  </si>
  <si>
    <t>ログインを許さないIPアドレス</t>
    <rPh sb="5" eb="6">
      <t>ユル</t>
    </rPh>
    <phoneticPr fontId="1"/>
  </si>
  <si>
    <t>契約ごとに設定される操作ログを参照すること</t>
    <rPh sb="0" eb="2">
      <t>ケイヤク</t>
    </rPh>
    <rPh sb="5" eb="7">
      <t>セッテイ</t>
    </rPh>
    <rPh sb="10" eb="12">
      <t>ソウサ</t>
    </rPh>
    <rPh sb="15" eb="17">
      <t>サンショウ</t>
    </rPh>
    <phoneticPr fontId="1"/>
  </si>
  <si>
    <t>スマートで脆弱性プログラムの適用は遅滞なく</t>
    <rPh sb="5" eb="8">
      <t>ゼイジャクセイ</t>
    </rPh>
    <rPh sb="14" eb="16">
      <t>テキヨウ</t>
    </rPh>
    <rPh sb="17" eb="19">
      <t>チタイ</t>
    </rPh>
    <phoneticPr fontId="1"/>
  </si>
  <si>
    <t>リスク源</t>
    <rPh sb="3" eb="4">
      <t>ミナモト</t>
    </rPh>
    <phoneticPr fontId="1"/>
  </si>
  <si>
    <t>被害の大きさ</t>
    <rPh sb="0" eb="2">
      <t>ヒガイ</t>
    </rPh>
    <rPh sb="3" eb="4">
      <t>オオ</t>
    </rPh>
    <phoneticPr fontId="1"/>
  </si>
  <si>
    <t>1</t>
    <phoneticPr fontId="1"/>
  </si>
  <si>
    <t>リスクアセスメントを進めるとして</t>
    <rPh sb="10" eb="11">
      <t>スス</t>
    </rPh>
    <phoneticPr fontId="1"/>
  </si>
  <si>
    <t>設定状況を</t>
    <rPh sb="0" eb="4">
      <t>セッテイジョウキョウ</t>
    </rPh>
    <phoneticPr fontId="1"/>
  </si>
  <si>
    <t>ア: 10, 11, 12, 13</t>
    <phoneticPr fontId="1"/>
  </si>
  <si>
    <t>イ: 大</t>
    <rPh sb="3" eb="4">
      <t>オオ</t>
    </rPh>
    <phoneticPr fontId="1"/>
  </si>
  <si>
    <t>ウ: C</t>
    <phoneticPr fontId="1"/>
  </si>
  <si>
    <t>エ: Sサービスにアクセス可能なIPアドレスをW社のもののみに制限する</t>
    <rPh sb="13" eb="15">
      <t>カノウ</t>
    </rPh>
    <rPh sb="24" eb="25">
      <t>シャ</t>
    </rPh>
    <rPh sb="31" eb="33">
      <t>セイゲン</t>
    </rPh>
    <phoneticPr fontId="1"/>
  </si>
  <si>
    <t>2-1</t>
    <phoneticPr fontId="1"/>
  </si>
  <si>
    <t>サイバー攻撃</t>
    <rPh sb="4" eb="6">
      <t>コウゲキ</t>
    </rPh>
    <phoneticPr fontId="1"/>
  </si>
  <si>
    <t>IDとPWがターゲット</t>
    <phoneticPr fontId="1"/>
  </si>
  <si>
    <t>あ：配送員に未知のマルウェアをダウンロードするURLを仕込んだメールを送付して、未知のマルウェアより配送員のアカウントを取得、攻撃者に送出する</t>
    <rPh sb="2" eb="5">
      <t>ハイソウイン</t>
    </rPh>
    <rPh sb="6" eb="8">
      <t>ミチ</t>
    </rPh>
    <rPh sb="27" eb="29">
      <t>シコ</t>
    </rPh>
    <rPh sb="35" eb="37">
      <t>ソウフ</t>
    </rPh>
    <rPh sb="40" eb="42">
      <t>ミチ</t>
    </rPh>
    <rPh sb="50" eb="53">
      <t>ハイソウイン</t>
    </rPh>
    <rPh sb="60" eb="62">
      <t>シュトク</t>
    </rPh>
    <rPh sb="63" eb="66">
      <t>コウゲキシャ</t>
    </rPh>
    <rPh sb="67" eb="69">
      <t>ソウシュツ</t>
    </rPh>
    <phoneticPr fontId="1"/>
  </si>
  <si>
    <t>い：未知のマルウェアより取得したIDとパスワードを用いて、攻撃者がSサービスにログインして、Z情報を取得する。</t>
    <rPh sb="2" eb="4">
      <t>ミチ</t>
    </rPh>
    <rPh sb="12" eb="14">
      <t>シュトク</t>
    </rPh>
    <rPh sb="25" eb="26">
      <t>モチ</t>
    </rPh>
    <rPh sb="29" eb="32">
      <t>コウゲキシャ</t>
    </rPh>
    <rPh sb="47" eb="49">
      <t>ジョウホウ</t>
    </rPh>
    <rPh sb="50" eb="52">
      <t>シュトク</t>
    </rPh>
    <phoneticPr fontId="1"/>
  </si>
  <si>
    <t>う：2, 4, 5, 9</t>
    <phoneticPr fontId="1"/>
  </si>
  <si>
    <t>え: 大</t>
    <rPh sb="3" eb="4">
      <t>ダイ</t>
    </rPh>
    <phoneticPr fontId="1"/>
  </si>
  <si>
    <t>お: 低い</t>
    <rPh sb="3" eb="4">
      <t>ヒク</t>
    </rPh>
    <phoneticPr fontId="1"/>
  </si>
  <si>
    <t>か: C</t>
    <phoneticPr fontId="1"/>
  </si>
  <si>
    <t>2-2</t>
    <phoneticPr fontId="1"/>
  </si>
  <si>
    <t>き: すべてのPCとサーバーにアノマリ検知型のマルウェア対策ソフトを導入する</t>
    <rPh sb="19" eb="21">
      <t>ケンチ</t>
    </rPh>
    <rPh sb="21" eb="22">
      <t>カタ</t>
    </rPh>
    <rPh sb="28" eb="30">
      <t>タイサク</t>
    </rPh>
    <rPh sb="34" eb="36">
      <t>ドウニュウ</t>
    </rPh>
    <phoneticPr fontId="1"/>
  </si>
  <si>
    <t>3</t>
    <phoneticPr fontId="1"/>
  </si>
  <si>
    <t>a: 5, 10, 11</t>
    <phoneticPr fontId="1"/>
  </si>
  <si>
    <t>b: 2, 3, 4</t>
    <phoneticPr fontId="1"/>
  </si>
  <si>
    <t>情報取得できるサイバー攻撃</t>
    <rPh sb="0" eb="2">
      <t>ジョウホウ</t>
    </rPh>
    <rPh sb="2" eb="4">
      <t>シュトク</t>
    </rPh>
    <rPh sb="11" eb="13">
      <t>コウゲキ</t>
    </rPh>
    <phoneticPr fontId="1"/>
  </si>
  <si>
    <t>Z情報はローカルPCに存在する</t>
    <rPh sb="1" eb="3">
      <t>ジョウホウ</t>
    </rPh>
    <rPh sb="11" eb="13">
      <t>ソンザイ</t>
    </rPh>
    <phoneticPr fontId="1"/>
  </si>
  <si>
    <t>→情報を取得するマルウェアがあると情報が送出される</t>
    <rPh sb="1" eb="3">
      <t>ジョウホウ</t>
    </rPh>
    <rPh sb="4" eb="6">
      <t>シュトク</t>
    </rPh>
    <rPh sb="17" eb="19">
      <t>ジョウホウ</t>
    </rPh>
    <rPh sb="20" eb="22">
      <t>ソウシュツ</t>
    </rPh>
    <phoneticPr fontId="1"/>
  </si>
  <si>
    <t>メールにマルウェアを仕込んだURLを記載する。マルウェアはローカルPCの内部を捜索の上、情報を送出する機能を有する。</t>
    <rPh sb="10" eb="12">
      <t>シコ</t>
    </rPh>
    <rPh sb="18" eb="20">
      <t>キサイ</t>
    </rPh>
    <rPh sb="36" eb="38">
      <t>ナイブ</t>
    </rPh>
    <rPh sb="39" eb="41">
      <t>ソウサク</t>
    </rPh>
    <rPh sb="42" eb="43">
      <t>ウエ</t>
    </rPh>
    <rPh sb="44" eb="46">
      <t>ジョウホウ</t>
    </rPh>
    <rPh sb="47" eb="49">
      <t>ソウシュツ</t>
    </rPh>
    <rPh sb="51" eb="53">
      <t>キノウ</t>
    </rPh>
    <rPh sb="54" eb="55">
      <t>ユウ</t>
    </rPh>
    <phoneticPr fontId="1"/>
  </si>
  <si>
    <t>い: ローカルPCに存在するZ情報を、マルウェアが取得して、攻撃者に情報を送出する</t>
    <rPh sb="10" eb="12">
      <t>ソンザイ</t>
    </rPh>
    <rPh sb="15" eb="17">
      <t>ジョウホウ</t>
    </rPh>
    <rPh sb="25" eb="27">
      <t>シュトク</t>
    </rPh>
    <rPh sb="30" eb="33">
      <t>コウゲキシャ</t>
    </rPh>
    <rPh sb="34" eb="36">
      <t>ジョウホウ</t>
    </rPh>
    <rPh sb="37" eb="39">
      <t>ソウシュツ</t>
    </rPh>
    <phoneticPr fontId="1"/>
  </si>
  <si>
    <t>う: 大</t>
    <rPh sb="3" eb="4">
      <t>オオ</t>
    </rPh>
    <phoneticPr fontId="1"/>
  </si>
  <si>
    <t>え: 多</t>
    <rPh sb="3" eb="4">
      <t>オオ</t>
    </rPh>
    <phoneticPr fontId="1"/>
  </si>
  <si>
    <t>か: A</t>
    <phoneticPr fontId="1"/>
  </si>
  <si>
    <t>き: すべてのPCに、振る舞い検知型もしくはアノマリ検知型のマルウェア対策ソフトを導入する</t>
    <rPh sb="11" eb="12">
      <t>フ</t>
    </rPh>
    <rPh sb="13" eb="14">
      <t>マ</t>
    </rPh>
    <rPh sb="15" eb="18">
      <t>ケンチカタ</t>
    </rPh>
    <rPh sb="26" eb="28">
      <t>ケンチ</t>
    </rPh>
    <rPh sb="28" eb="29">
      <t>カタ</t>
    </rPh>
    <rPh sb="35" eb="37">
      <t>タイサク</t>
    </rPh>
    <rPh sb="41" eb="43">
      <t>ドウニュウ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</si>
</sst>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6"/>
      <name val="Yu Gothic"/>
      <family val="3"/>
      <charset val="128"/>
      <scheme val="minor"/>
    </font>
    <font>
      <sz val="11"/>
      <color rgb="FF000000"/>
      <name val="Yu Gothic"/>
      <family val="3"/>
      <charset val="128"/>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
    <xf numFmtId="0" fontId="0" fillId="0" borderId="0"/>
  </cellStyleXfs>
  <cellXfs count="7">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49" fontId="0" fillId="2" borderId="0" xfId="0" applyNumberFormat="1" applyFill="1"/>
    <xf numFmtId="0" fontId="0" fillId="2" borderId="0" xfId="0" applyFill="1" applyAlignment="1">
      <alignment wrapText="1"/>
    </xf>
    <xf numFmtId="0" fontId="0" fillId="2" borderId="0" xfId="0" applyFill="1"/>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9"/>
  <sheetViews>
    <sheetView workbookViewId="0">
      <selection activeCell="G8" sqref="G8"/>
    </sheetView>
  </sheetViews>
  <sheetFormatPr defaultRowHeight="18.75"/>
  <cols>
    <col min="2" max="3" width="9" style="2"/>
  </cols>
  <sheetData>
    <row r="1" spans="1:6">
      <c r="A1" t="s">
        <v>11</v>
      </c>
      <c r="B1" s="2" t="s">
        <v>7</v>
      </c>
      <c r="C1" s="2" t="s">
        <v>8</v>
      </c>
      <c r="D1" t="s">
        <v>9</v>
      </c>
      <c r="E1" t="s">
        <v>5</v>
      </c>
      <c r="F1" t="s">
        <v>10</v>
      </c>
    </row>
    <row r="2" spans="1:6">
      <c r="A2">
        <v>1</v>
      </c>
      <c r="B2" s="2" t="s">
        <v>12</v>
      </c>
      <c r="C2" s="2" t="s">
        <v>19</v>
      </c>
      <c r="D2">
        <v>82</v>
      </c>
      <c r="E2">
        <v>100</v>
      </c>
    </row>
    <row r="3" spans="1:6">
      <c r="A3">
        <v>2</v>
      </c>
      <c r="B3" s="2" t="s">
        <v>12</v>
      </c>
      <c r="C3" s="2" t="s">
        <v>56</v>
      </c>
      <c r="D3">
        <v>40</v>
      </c>
      <c r="E3">
        <v>50</v>
      </c>
    </row>
    <row r="4" spans="1:6">
      <c r="A4">
        <v>3</v>
      </c>
      <c r="B4" s="2" t="s">
        <v>12</v>
      </c>
      <c r="C4" s="2" t="s">
        <v>70</v>
      </c>
      <c r="D4">
        <v>46</v>
      </c>
      <c r="E4">
        <v>50</v>
      </c>
    </row>
    <row r="5" spans="1:6">
      <c r="A5">
        <v>4</v>
      </c>
      <c r="B5" s="2" t="s">
        <v>161</v>
      </c>
      <c r="C5" s="2" t="s">
        <v>162</v>
      </c>
      <c r="D5">
        <v>32</v>
      </c>
      <c r="E5">
        <v>50</v>
      </c>
    </row>
    <row r="6" spans="1:6">
      <c r="A6">
        <v>5</v>
      </c>
      <c r="B6" s="2" t="s">
        <v>161</v>
      </c>
      <c r="C6" s="2" t="s">
        <v>163</v>
      </c>
      <c r="D6">
        <v>29</v>
      </c>
      <c r="E6">
        <v>50</v>
      </c>
    </row>
    <row r="7" spans="1:6">
      <c r="A7">
        <v>6</v>
      </c>
      <c r="B7" s="2" t="s">
        <v>161</v>
      </c>
      <c r="C7" s="2" t="s">
        <v>163</v>
      </c>
      <c r="D7">
        <v>25</v>
      </c>
      <c r="E7">
        <v>50</v>
      </c>
    </row>
    <row r="8" spans="1:6">
      <c r="A8">
        <v>7</v>
      </c>
      <c r="B8" s="2" t="s">
        <v>161</v>
      </c>
      <c r="C8" s="2" t="s">
        <v>162</v>
      </c>
      <c r="D8">
        <v>43</v>
      </c>
      <c r="E8">
        <v>50</v>
      </c>
    </row>
    <row r="9" spans="1:6">
      <c r="A9">
        <v>8</v>
      </c>
      <c r="B9" s="2" t="s">
        <v>161</v>
      </c>
      <c r="C9" s="2" t="s">
        <v>163</v>
      </c>
      <c r="D9">
        <v>36</v>
      </c>
      <c r="E9">
        <v>50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F28A4C-D5A9-4E32-A16F-7B0F8BD0916D}">
  <sheetPr codeName="Sheet4"/>
  <dimension ref="A1:G167"/>
  <sheetViews>
    <sheetView zoomScale="85" zoomScaleNormal="85" workbookViewId="0">
      <pane xSplit="1" ySplit="3" topLeftCell="B26" activePane="bottomRight" state="frozen"/>
      <selection pane="topRight" activeCell="B1" sqref="B1"/>
      <selection pane="bottomLeft" activeCell="A4" sqref="A4"/>
      <selection pane="bottomRight" activeCell="D43" sqref="D43"/>
    </sheetView>
  </sheetViews>
  <sheetFormatPr defaultRowHeight="18.75"/>
  <cols>
    <col min="1" max="1" width="9" style="2"/>
    <col min="2" max="2" width="58.125" style="1" customWidth="1"/>
    <col min="3" max="3" width="9.75" customWidth="1"/>
  </cols>
  <sheetData>
    <row r="1" spans="1:7">
      <c r="A1" s="2" t="s">
        <v>0</v>
      </c>
      <c r="B1" s="1" t="s">
        <v>13</v>
      </c>
    </row>
    <row r="2" spans="1:7">
      <c r="A2" s="2" t="s">
        <v>2</v>
      </c>
      <c r="B2" s="3" t="s">
        <v>20</v>
      </c>
      <c r="D2">
        <f>SUM(D4:D1000)</f>
        <v>82</v>
      </c>
      <c r="E2">
        <f>SUM(E4:E1000)</f>
        <v>100</v>
      </c>
    </row>
    <row r="3" spans="1:7">
      <c r="A3" s="2" t="s">
        <v>1</v>
      </c>
      <c r="B3" s="1" t="s">
        <v>3</v>
      </c>
      <c r="C3" t="s">
        <v>6</v>
      </c>
      <c r="D3" t="s">
        <v>4</v>
      </c>
      <c r="E3" t="s">
        <v>5</v>
      </c>
    </row>
    <row r="4" spans="1:7">
      <c r="A4" s="2" t="s">
        <v>21</v>
      </c>
      <c r="B4" s="1" t="s">
        <v>30</v>
      </c>
      <c r="C4">
        <f>IF(B4&lt;&gt;"",LEN(B4),"")</f>
        <v>3</v>
      </c>
      <c r="D4">
        <f>E4*F4</f>
        <v>2</v>
      </c>
      <c r="E4">
        <v>2</v>
      </c>
      <c r="F4">
        <v>1</v>
      </c>
      <c r="G4" t="s">
        <v>14</v>
      </c>
    </row>
    <row r="5" spans="1:7">
      <c r="B5" s="1" t="s">
        <v>29</v>
      </c>
      <c r="C5">
        <f t="shared" ref="C5:C68" si="0">IF(B5&lt;&gt;"",LEN(B5),"")</f>
        <v>3</v>
      </c>
      <c r="D5">
        <f t="shared" ref="D5:D27" si="1">E5*F5</f>
        <v>2</v>
      </c>
      <c r="E5">
        <v>2</v>
      </c>
      <c r="F5">
        <v>1</v>
      </c>
      <c r="G5" t="s">
        <v>15</v>
      </c>
    </row>
    <row r="6" spans="1:7">
      <c r="B6" s="1" t="s">
        <v>28</v>
      </c>
      <c r="C6">
        <f t="shared" si="0"/>
        <v>3</v>
      </c>
      <c r="D6">
        <f t="shared" si="1"/>
        <v>2</v>
      </c>
      <c r="E6">
        <v>2</v>
      </c>
      <c r="F6">
        <v>1</v>
      </c>
      <c r="G6" t="s">
        <v>16</v>
      </c>
    </row>
    <row r="7" spans="1:7">
      <c r="B7" s="1" t="s">
        <v>27</v>
      </c>
      <c r="C7">
        <f t="shared" si="0"/>
        <v>3</v>
      </c>
      <c r="D7">
        <f t="shared" si="1"/>
        <v>2</v>
      </c>
      <c r="E7">
        <v>2</v>
      </c>
      <c r="F7">
        <v>1</v>
      </c>
      <c r="G7" t="s">
        <v>17</v>
      </c>
    </row>
    <row r="8" spans="1:7">
      <c r="B8" s="1" t="s">
        <v>26</v>
      </c>
      <c r="C8">
        <f t="shared" si="0"/>
        <v>3</v>
      </c>
      <c r="D8">
        <f t="shared" si="1"/>
        <v>2</v>
      </c>
      <c r="E8">
        <v>2</v>
      </c>
      <c r="F8">
        <v>1</v>
      </c>
      <c r="G8" t="s">
        <v>18</v>
      </c>
    </row>
    <row r="9" spans="1:7">
      <c r="B9" s="1" t="s">
        <v>25</v>
      </c>
      <c r="C9">
        <f t="shared" si="0"/>
        <v>3</v>
      </c>
      <c r="D9">
        <f t="shared" si="1"/>
        <v>2</v>
      </c>
      <c r="E9">
        <v>2</v>
      </c>
      <c r="F9">
        <v>1</v>
      </c>
    </row>
    <row r="10" spans="1:7">
      <c r="B10" s="1" t="s">
        <v>24</v>
      </c>
      <c r="C10">
        <f t="shared" si="0"/>
        <v>3</v>
      </c>
      <c r="D10">
        <f t="shared" si="1"/>
        <v>2</v>
      </c>
      <c r="E10">
        <v>2</v>
      </c>
      <c r="F10">
        <v>1</v>
      </c>
    </row>
    <row r="11" spans="1:7">
      <c r="B11" s="1" t="s">
        <v>23</v>
      </c>
      <c r="C11">
        <f t="shared" si="0"/>
        <v>3</v>
      </c>
      <c r="D11">
        <f t="shared" si="1"/>
        <v>2</v>
      </c>
      <c r="E11">
        <v>2</v>
      </c>
      <c r="F11">
        <v>1</v>
      </c>
    </row>
    <row r="12" spans="1:7">
      <c r="B12" s="1" t="s">
        <v>22</v>
      </c>
      <c r="C12">
        <f t="shared" si="0"/>
        <v>3</v>
      </c>
      <c r="D12">
        <f t="shared" si="1"/>
        <v>2</v>
      </c>
      <c r="E12">
        <v>2</v>
      </c>
      <c r="F12">
        <v>1</v>
      </c>
    </row>
    <row r="13" spans="1:7">
      <c r="A13" s="2" t="s">
        <v>31</v>
      </c>
      <c r="B13" s="1" t="s">
        <v>32</v>
      </c>
      <c r="C13">
        <f t="shared" si="0"/>
        <v>3</v>
      </c>
      <c r="D13">
        <f t="shared" si="1"/>
        <v>2</v>
      </c>
      <c r="E13">
        <v>2</v>
      </c>
      <c r="F13">
        <v>1</v>
      </c>
    </row>
    <row r="14" spans="1:7">
      <c r="B14" s="1" t="s">
        <v>33</v>
      </c>
      <c r="C14">
        <f t="shared" si="0"/>
        <v>3</v>
      </c>
      <c r="D14">
        <f t="shared" si="1"/>
        <v>2</v>
      </c>
      <c r="E14">
        <v>2</v>
      </c>
      <c r="F14">
        <v>1</v>
      </c>
    </row>
    <row r="15" spans="1:7">
      <c r="A15" s="4"/>
      <c r="B15" s="5" t="s">
        <v>34</v>
      </c>
      <c r="C15" s="6">
        <f t="shared" si="0"/>
        <v>3</v>
      </c>
      <c r="D15" s="6">
        <f t="shared" si="1"/>
        <v>0</v>
      </c>
      <c r="E15" s="6">
        <v>2</v>
      </c>
      <c r="F15" s="6">
        <v>0</v>
      </c>
    </row>
    <row r="16" spans="1:7" ht="112.5">
      <c r="A16" s="2" t="s">
        <v>35</v>
      </c>
      <c r="B16" s="1" t="s">
        <v>36</v>
      </c>
      <c r="C16">
        <f t="shared" si="0"/>
        <v>111</v>
      </c>
      <c r="D16">
        <f t="shared" si="1"/>
        <v>6</v>
      </c>
      <c r="E16">
        <v>6</v>
      </c>
      <c r="F16">
        <v>1</v>
      </c>
    </row>
    <row r="17" spans="1:6">
      <c r="A17" s="2" t="s">
        <v>37</v>
      </c>
      <c r="B17" s="1" t="s">
        <v>38</v>
      </c>
      <c r="C17">
        <f t="shared" si="0"/>
        <v>10</v>
      </c>
      <c r="D17">
        <f t="shared" si="1"/>
        <v>6</v>
      </c>
      <c r="E17">
        <v>6</v>
      </c>
      <c r="F17">
        <v>1</v>
      </c>
    </row>
    <row r="18" spans="1:6">
      <c r="B18" s="1" t="s">
        <v>39</v>
      </c>
      <c r="C18">
        <f t="shared" si="0"/>
        <v>8</v>
      </c>
      <c r="D18">
        <f t="shared" si="1"/>
        <v>6</v>
      </c>
      <c r="E18">
        <v>6</v>
      </c>
      <c r="F18">
        <v>1</v>
      </c>
    </row>
    <row r="19" spans="1:6">
      <c r="B19" s="1" t="s">
        <v>40</v>
      </c>
      <c r="C19">
        <f t="shared" si="0"/>
        <v>8</v>
      </c>
      <c r="D19">
        <f t="shared" si="1"/>
        <v>6</v>
      </c>
      <c r="E19">
        <v>6</v>
      </c>
      <c r="F19">
        <v>1</v>
      </c>
    </row>
    <row r="20" spans="1:6">
      <c r="A20" s="2" t="s">
        <v>41</v>
      </c>
      <c r="B20" s="1" t="s">
        <v>42</v>
      </c>
      <c r="C20">
        <f t="shared" si="0"/>
        <v>4</v>
      </c>
      <c r="D20">
        <f t="shared" si="1"/>
        <v>3</v>
      </c>
      <c r="E20">
        <v>3</v>
      </c>
      <c r="F20">
        <v>1</v>
      </c>
    </row>
    <row r="21" spans="1:6">
      <c r="A21" s="4"/>
      <c r="B21" s="5" t="s">
        <v>43</v>
      </c>
      <c r="C21" s="6">
        <f t="shared" si="0"/>
        <v>4</v>
      </c>
      <c r="D21" s="6">
        <f t="shared" si="1"/>
        <v>0</v>
      </c>
      <c r="E21" s="6">
        <v>3</v>
      </c>
      <c r="F21" s="6">
        <v>0</v>
      </c>
    </row>
    <row r="22" spans="1:6">
      <c r="A22" s="2" t="s">
        <v>44</v>
      </c>
      <c r="B22" s="1" t="s">
        <v>45</v>
      </c>
      <c r="C22">
        <f t="shared" si="0"/>
        <v>3</v>
      </c>
      <c r="D22">
        <f t="shared" si="1"/>
        <v>4</v>
      </c>
      <c r="E22">
        <v>4</v>
      </c>
      <c r="F22">
        <v>1</v>
      </c>
    </row>
    <row r="23" spans="1:6" ht="37.5">
      <c r="A23" s="4" t="s">
        <v>46</v>
      </c>
      <c r="B23" s="5" t="s">
        <v>47</v>
      </c>
      <c r="C23" s="6">
        <f t="shared" si="0"/>
        <v>34</v>
      </c>
      <c r="D23" s="6">
        <f t="shared" si="1"/>
        <v>0</v>
      </c>
      <c r="E23" s="6">
        <v>8</v>
      </c>
      <c r="F23" s="6">
        <v>0</v>
      </c>
    </row>
    <row r="24" spans="1:6" ht="37.5">
      <c r="A24" s="4" t="s">
        <v>48</v>
      </c>
      <c r="B24" s="5" t="s">
        <v>49</v>
      </c>
      <c r="C24" s="6">
        <f t="shared" si="0"/>
        <v>59</v>
      </c>
      <c r="D24" s="6">
        <f t="shared" si="1"/>
        <v>5</v>
      </c>
      <c r="E24" s="6">
        <v>10</v>
      </c>
      <c r="F24" s="6">
        <v>0.5</v>
      </c>
    </row>
    <row r="25" spans="1:6">
      <c r="A25" s="2" t="s">
        <v>50</v>
      </c>
      <c r="B25" s="1" t="s">
        <v>51</v>
      </c>
      <c r="C25">
        <f t="shared" si="0"/>
        <v>31</v>
      </c>
      <c r="D25">
        <f t="shared" si="1"/>
        <v>8</v>
      </c>
      <c r="E25">
        <v>8</v>
      </c>
      <c r="F25">
        <v>1</v>
      </c>
    </row>
    <row r="26" spans="1:6" ht="37.5">
      <c r="A26" s="2" t="s">
        <v>52</v>
      </c>
      <c r="B26" s="1" t="s">
        <v>53</v>
      </c>
      <c r="C26">
        <f t="shared" si="0"/>
        <v>32</v>
      </c>
      <c r="D26">
        <f t="shared" si="1"/>
        <v>8</v>
      </c>
      <c r="E26">
        <v>8</v>
      </c>
      <c r="F26">
        <v>1</v>
      </c>
    </row>
    <row r="27" spans="1:6">
      <c r="A27" s="2" t="s">
        <v>54</v>
      </c>
      <c r="B27" s="1" t="s">
        <v>55</v>
      </c>
      <c r="C27">
        <f t="shared" si="0"/>
        <v>23</v>
      </c>
      <c r="D27">
        <f t="shared" si="1"/>
        <v>8</v>
      </c>
      <c r="E27">
        <v>8</v>
      </c>
      <c r="F27">
        <v>1</v>
      </c>
    </row>
    <row r="28" spans="1:6">
      <c r="C28" t="str">
        <f t="shared" si="0"/>
        <v/>
      </c>
    </row>
    <row r="29" spans="1:6">
      <c r="C29" t="str">
        <f t="shared" si="0"/>
        <v/>
      </c>
    </row>
    <row r="30" spans="1:6">
      <c r="A30" s="2" t="s">
        <v>1</v>
      </c>
      <c r="B30" s="1" t="s">
        <v>3</v>
      </c>
      <c r="C30" t="s">
        <v>6</v>
      </c>
      <c r="D30" t="s">
        <v>4</v>
      </c>
      <c r="E30" t="s">
        <v>5</v>
      </c>
    </row>
    <row r="31" spans="1:6">
      <c r="A31" s="2" t="s">
        <v>31</v>
      </c>
      <c r="B31" s="1" t="s">
        <v>32</v>
      </c>
      <c r="C31">
        <f t="shared" ref="C31:C38" si="2">IF(B31&lt;&gt;"",LEN(B31),"")</f>
        <v>3</v>
      </c>
      <c r="F31">
        <v>1</v>
      </c>
    </row>
    <row r="32" spans="1:6">
      <c r="B32" s="1" t="s">
        <v>33</v>
      </c>
      <c r="C32">
        <f t="shared" si="2"/>
        <v>3</v>
      </c>
      <c r="F32">
        <v>1</v>
      </c>
    </row>
    <row r="33" spans="1:6">
      <c r="B33" s="1" t="s">
        <v>127</v>
      </c>
      <c r="C33">
        <f t="shared" si="2"/>
        <v>3</v>
      </c>
      <c r="F33">
        <v>1</v>
      </c>
    </row>
    <row r="34" spans="1:6">
      <c r="A34" s="2" t="s">
        <v>41</v>
      </c>
      <c r="B34" s="1" t="s">
        <v>42</v>
      </c>
      <c r="C34">
        <f t="shared" si="2"/>
        <v>4</v>
      </c>
      <c r="F34">
        <v>1</v>
      </c>
    </row>
    <row r="35" spans="1:6">
      <c r="B35" s="1" t="s">
        <v>128</v>
      </c>
      <c r="C35">
        <f t="shared" si="2"/>
        <v>4</v>
      </c>
      <c r="F35">
        <v>1</v>
      </c>
    </row>
    <row r="36" spans="1:6">
      <c r="A36" s="2" t="s">
        <v>44</v>
      </c>
      <c r="B36" s="1" t="s">
        <v>129</v>
      </c>
      <c r="C36">
        <f t="shared" si="2"/>
        <v>3</v>
      </c>
      <c r="F36">
        <v>1</v>
      </c>
    </row>
    <row r="37" spans="1:6" ht="37.5">
      <c r="A37" s="2" t="s">
        <v>46</v>
      </c>
      <c r="B37" s="1" t="s">
        <v>130</v>
      </c>
      <c r="C37">
        <f t="shared" si="2"/>
        <v>39</v>
      </c>
      <c r="F37">
        <v>1</v>
      </c>
    </row>
    <row r="38" spans="1:6" ht="37.5">
      <c r="A38" s="2" t="s">
        <v>48</v>
      </c>
      <c r="B38" s="1" t="s">
        <v>131</v>
      </c>
      <c r="C38">
        <f t="shared" si="2"/>
        <v>57</v>
      </c>
      <c r="F38">
        <v>1</v>
      </c>
    </row>
    <row r="39" spans="1:6">
      <c r="C39" t="str">
        <f t="shared" si="0"/>
        <v/>
      </c>
    </row>
    <row r="40" spans="1:6">
      <c r="C40" t="str">
        <f t="shared" si="0"/>
        <v/>
      </c>
    </row>
    <row r="41" spans="1:6">
      <c r="C41" t="str">
        <f t="shared" si="0"/>
        <v/>
      </c>
    </row>
    <row r="42" spans="1:6">
      <c r="C42" t="str">
        <f t="shared" si="0"/>
        <v/>
      </c>
    </row>
    <row r="43" spans="1:6">
      <c r="C43" t="str">
        <f t="shared" si="0"/>
        <v/>
      </c>
    </row>
    <row r="44" spans="1:6">
      <c r="C44" t="str">
        <f t="shared" si="0"/>
        <v/>
      </c>
    </row>
    <row r="45" spans="1:6">
      <c r="C45" t="str">
        <f t="shared" si="0"/>
        <v/>
      </c>
    </row>
    <row r="46" spans="1:6">
      <c r="C46" t="str">
        <f t="shared" si="0"/>
        <v/>
      </c>
    </row>
    <row r="47" spans="1:6">
      <c r="C47" t="str">
        <f t="shared" si="0"/>
        <v/>
      </c>
    </row>
    <row r="48" spans="1:6">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3">IF(B69&lt;&gt;"",LEN(B69),"")</f>
        <v/>
      </c>
    </row>
    <row r="70" spans="3:3">
      <c r="C70" t="str">
        <f t="shared" si="3"/>
        <v/>
      </c>
    </row>
    <row r="71" spans="3:3">
      <c r="C71" t="str">
        <f t="shared" si="3"/>
        <v/>
      </c>
    </row>
    <row r="72" spans="3:3">
      <c r="C72" t="str">
        <f t="shared" si="3"/>
        <v/>
      </c>
    </row>
    <row r="73" spans="3:3">
      <c r="C73" t="str">
        <f t="shared" si="3"/>
        <v/>
      </c>
    </row>
    <row r="74" spans="3:3">
      <c r="C74" t="str">
        <f t="shared" si="3"/>
        <v/>
      </c>
    </row>
    <row r="75" spans="3:3">
      <c r="C75" t="str">
        <f t="shared" si="3"/>
        <v/>
      </c>
    </row>
    <row r="76" spans="3:3">
      <c r="C76" t="str">
        <f t="shared" si="3"/>
        <v/>
      </c>
    </row>
    <row r="77" spans="3:3">
      <c r="C77" t="str">
        <f t="shared" si="3"/>
        <v/>
      </c>
    </row>
    <row r="78" spans="3:3">
      <c r="C78" t="str">
        <f t="shared" si="3"/>
        <v/>
      </c>
    </row>
    <row r="79" spans="3:3">
      <c r="C79" t="str">
        <f t="shared" si="3"/>
        <v/>
      </c>
    </row>
    <row r="80" spans="3:3">
      <c r="C80" t="str">
        <f t="shared" si="3"/>
        <v/>
      </c>
    </row>
    <row r="81" spans="3:3">
      <c r="C81" t="str">
        <f t="shared" si="3"/>
        <v/>
      </c>
    </row>
    <row r="82" spans="3:3">
      <c r="C82" t="str">
        <f t="shared" si="3"/>
        <v/>
      </c>
    </row>
    <row r="83" spans="3:3">
      <c r="C83" t="str">
        <f t="shared" si="3"/>
        <v/>
      </c>
    </row>
    <row r="84" spans="3:3">
      <c r="C84" t="str">
        <f t="shared" si="3"/>
        <v/>
      </c>
    </row>
    <row r="85" spans="3:3">
      <c r="C85" t="str">
        <f t="shared" si="3"/>
        <v/>
      </c>
    </row>
    <row r="86" spans="3:3">
      <c r="C86" t="str">
        <f t="shared" si="3"/>
        <v/>
      </c>
    </row>
    <row r="87" spans="3:3">
      <c r="C87" t="str">
        <f t="shared" si="3"/>
        <v/>
      </c>
    </row>
    <row r="88" spans="3:3">
      <c r="C88" t="str">
        <f t="shared" si="3"/>
        <v/>
      </c>
    </row>
    <row r="89" spans="3:3">
      <c r="C89" t="str">
        <f t="shared" si="3"/>
        <v/>
      </c>
    </row>
    <row r="90" spans="3:3">
      <c r="C90" t="str">
        <f t="shared" si="3"/>
        <v/>
      </c>
    </row>
    <row r="91" spans="3:3">
      <c r="C91" t="str">
        <f t="shared" si="3"/>
        <v/>
      </c>
    </row>
    <row r="92" spans="3:3">
      <c r="C92" t="str">
        <f t="shared" si="3"/>
        <v/>
      </c>
    </row>
    <row r="93" spans="3:3">
      <c r="C93" t="str">
        <f t="shared" si="3"/>
        <v/>
      </c>
    </row>
    <row r="94" spans="3:3">
      <c r="C94" t="str">
        <f t="shared" si="3"/>
        <v/>
      </c>
    </row>
    <row r="95" spans="3:3">
      <c r="C95" t="str">
        <f t="shared" si="3"/>
        <v/>
      </c>
    </row>
    <row r="96" spans="3:3">
      <c r="C96" t="str">
        <f t="shared" si="3"/>
        <v/>
      </c>
    </row>
    <row r="97" spans="3:3">
      <c r="C97" t="str">
        <f t="shared" si="3"/>
        <v/>
      </c>
    </row>
    <row r="98" spans="3:3">
      <c r="C98" t="str">
        <f t="shared" si="3"/>
        <v/>
      </c>
    </row>
    <row r="99" spans="3:3">
      <c r="C99" t="str">
        <f t="shared" si="3"/>
        <v/>
      </c>
    </row>
    <row r="100" spans="3:3">
      <c r="C100" t="str">
        <f t="shared" si="3"/>
        <v/>
      </c>
    </row>
    <row r="101" spans="3:3">
      <c r="C101" t="str">
        <f t="shared" si="3"/>
        <v/>
      </c>
    </row>
    <row r="102" spans="3:3">
      <c r="C102" t="str">
        <f t="shared" si="3"/>
        <v/>
      </c>
    </row>
    <row r="103" spans="3:3">
      <c r="C103" t="str">
        <f t="shared" si="3"/>
        <v/>
      </c>
    </row>
    <row r="104" spans="3:3">
      <c r="C104" t="str">
        <f t="shared" si="3"/>
        <v/>
      </c>
    </row>
    <row r="105" spans="3:3">
      <c r="C105" t="str">
        <f t="shared" si="3"/>
        <v/>
      </c>
    </row>
    <row r="106" spans="3:3">
      <c r="C106" t="str">
        <f t="shared" si="3"/>
        <v/>
      </c>
    </row>
    <row r="107" spans="3:3">
      <c r="C107" t="str">
        <f t="shared" si="3"/>
        <v/>
      </c>
    </row>
    <row r="108" spans="3:3">
      <c r="C108" t="str">
        <f t="shared" si="3"/>
        <v/>
      </c>
    </row>
    <row r="109" spans="3:3">
      <c r="C109" t="str">
        <f t="shared" si="3"/>
        <v/>
      </c>
    </row>
    <row r="110" spans="3:3">
      <c r="C110" t="str">
        <f t="shared" si="3"/>
        <v/>
      </c>
    </row>
    <row r="111" spans="3:3">
      <c r="C111" t="str">
        <f t="shared" si="3"/>
        <v/>
      </c>
    </row>
    <row r="112" spans="3:3">
      <c r="C112" t="str">
        <f t="shared" si="3"/>
        <v/>
      </c>
    </row>
    <row r="113" spans="3:3">
      <c r="C113" t="str">
        <f t="shared" si="3"/>
        <v/>
      </c>
    </row>
    <row r="114" spans="3:3">
      <c r="C114" t="str">
        <f t="shared" si="3"/>
        <v/>
      </c>
    </row>
    <row r="115" spans="3:3">
      <c r="C115" t="str">
        <f t="shared" si="3"/>
        <v/>
      </c>
    </row>
    <row r="116" spans="3:3">
      <c r="C116" t="str">
        <f t="shared" si="3"/>
        <v/>
      </c>
    </row>
    <row r="117" spans="3:3">
      <c r="C117" t="str">
        <f t="shared" si="3"/>
        <v/>
      </c>
    </row>
    <row r="118" spans="3:3">
      <c r="C118" t="str">
        <f t="shared" si="3"/>
        <v/>
      </c>
    </row>
    <row r="119" spans="3:3">
      <c r="C119" t="str">
        <f t="shared" si="3"/>
        <v/>
      </c>
    </row>
    <row r="120" spans="3:3">
      <c r="C120" t="str">
        <f t="shared" si="3"/>
        <v/>
      </c>
    </row>
    <row r="121" spans="3:3">
      <c r="C121" t="str">
        <f t="shared" si="3"/>
        <v/>
      </c>
    </row>
    <row r="122" spans="3:3">
      <c r="C122" t="str">
        <f t="shared" si="3"/>
        <v/>
      </c>
    </row>
    <row r="123" spans="3:3">
      <c r="C123" t="str">
        <f t="shared" si="3"/>
        <v/>
      </c>
    </row>
    <row r="124" spans="3:3">
      <c r="C124" t="str">
        <f t="shared" si="3"/>
        <v/>
      </c>
    </row>
    <row r="125" spans="3:3">
      <c r="C125" t="str">
        <f t="shared" si="3"/>
        <v/>
      </c>
    </row>
    <row r="126" spans="3:3">
      <c r="C126" t="str">
        <f t="shared" si="3"/>
        <v/>
      </c>
    </row>
    <row r="127" spans="3:3">
      <c r="C127" t="str">
        <f t="shared" si="3"/>
        <v/>
      </c>
    </row>
    <row r="128" spans="3:3">
      <c r="C128" t="str">
        <f t="shared" si="3"/>
        <v/>
      </c>
    </row>
    <row r="129" spans="3:3">
      <c r="C129" t="str">
        <f t="shared" si="3"/>
        <v/>
      </c>
    </row>
    <row r="130" spans="3:3">
      <c r="C130" t="str">
        <f t="shared" si="3"/>
        <v/>
      </c>
    </row>
    <row r="131" spans="3:3">
      <c r="C131" t="str">
        <f t="shared" si="3"/>
        <v/>
      </c>
    </row>
    <row r="132" spans="3:3">
      <c r="C132" t="str">
        <f t="shared" si="3"/>
        <v/>
      </c>
    </row>
    <row r="133" spans="3:3">
      <c r="C133" t="str">
        <f t="shared" ref="C133:C167" si="4">IF(B133&lt;&gt;"",LEN(B133),"")</f>
        <v/>
      </c>
    </row>
    <row r="134" spans="3:3">
      <c r="C134" t="str">
        <f t="shared" si="4"/>
        <v/>
      </c>
    </row>
    <row r="135" spans="3:3">
      <c r="C135" t="str">
        <f t="shared" si="4"/>
        <v/>
      </c>
    </row>
    <row r="136" spans="3:3">
      <c r="C136" t="str">
        <f t="shared" si="4"/>
        <v/>
      </c>
    </row>
    <row r="137" spans="3:3">
      <c r="C137" t="str">
        <f t="shared" si="4"/>
        <v/>
      </c>
    </row>
    <row r="138" spans="3:3">
      <c r="C138" t="str">
        <f t="shared" si="4"/>
        <v/>
      </c>
    </row>
    <row r="139" spans="3:3">
      <c r="C139" t="str">
        <f t="shared" si="4"/>
        <v/>
      </c>
    </row>
    <row r="140" spans="3:3">
      <c r="C140" t="str">
        <f t="shared" si="4"/>
        <v/>
      </c>
    </row>
    <row r="141" spans="3:3">
      <c r="C141" t="str">
        <f t="shared" si="4"/>
        <v/>
      </c>
    </row>
    <row r="142" spans="3:3">
      <c r="C142" t="str">
        <f t="shared" si="4"/>
        <v/>
      </c>
    </row>
    <row r="143" spans="3:3">
      <c r="C143" t="str">
        <f t="shared" si="4"/>
        <v/>
      </c>
    </row>
    <row r="144" spans="3:3">
      <c r="C144" t="str">
        <f t="shared" si="4"/>
        <v/>
      </c>
    </row>
    <row r="145" spans="3:3">
      <c r="C145" t="str">
        <f t="shared" si="4"/>
        <v/>
      </c>
    </row>
    <row r="146" spans="3:3">
      <c r="C146" t="str">
        <f t="shared" si="4"/>
        <v/>
      </c>
    </row>
    <row r="147" spans="3:3">
      <c r="C147" t="str">
        <f t="shared" si="4"/>
        <v/>
      </c>
    </row>
    <row r="148" spans="3:3">
      <c r="C148" t="str">
        <f t="shared" si="4"/>
        <v/>
      </c>
    </row>
    <row r="149" spans="3:3">
      <c r="C149" t="str">
        <f t="shared" si="4"/>
        <v/>
      </c>
    </row>
    <row r="150" spans="3:3">
      <c r="C150" t="str">
        <f t="shared" si="4"/>
        <v/>
      </c>
    </row>
    <row r="151" spans="3:3">
      <c r="C151" t="str">
        <f t="shared" si="4"/>
        <v/>
      </c>
    </row>
    <row r="152" spans="3:3">
      <c r="C152" t="str">
        <f t="shared" si="4"/>
        <v/>
      </c>
    </row>
    <row r="153" spans="3:3">
      <c r="C153" t="str">
        <f t="shared" si="4"/>
        <v/>
      </c>
    </row>
    <row r="154" spans="3:3">
      <c r="C154" t="str">
        <f t="shared" si="4"/>
        <v/>
      </c>
    </row>
    <row r="155" spans="3:3">
      <c r="C155" t="str">
        <f t="shared" si="4"/>
        <v/>
      </c>
    </row>
    <row r="156" spans="3:3">
      <c r="C156" t="str">
        <f t="shared" si="4"/>
        <v/>
      </c>
    </row>
    <row r="157" spans="3:3">
      <c r="C157" t="str">
        <f t="shared" si="4"/>
        <v/>
      </c>
    </row>
    <row r="158" spans="3:3">
      <c r="C158" t="str">
        <f t="shared" si="4"/>
        <v/>
      </c>
    </row>
    <row r="159" spans="3:3">
      <c r="C159" t="str">
        <f t="shared" si="4"/>
        <v/>
      </c>
    </row>
    <row r="160" spans="3:3">
      <c r="C160" t="str">
        <f t="shared" si="4"/>
        <v/>
      </c>
    </row>
    <row r="161" spans="3:3">
      <c r="C161" t="str">
        <f t="shared" si="4"/>
        <v/>
      </c>
    </row>
    <row r="162" spans="3:3">
      <c r="C162" t="str">
        <f t="shared" si="4"/>
        <v/>
      </c>
    </row>
    <row r="163" spans="3:3">
      <c r="C163" t="str">
        <f t="shared" si="4"/>
        <v/>
      </c>
    </row>
    <row r="164" spans="3:3">
      <c r="C164" t="str">
        <f t="shared" si="4"/>
        <v/>
      </c>
    </row>
    <row r="165" spans="3:3">
      <c r="C165" t="str">
        <f t="shared" si="4"/>
        <v/>
      </c>
    </row>
    <row r="166" spans="3:3">
      <c r="C166" t="str">
        <f t="shared" si="4"/>
        <v/>
      </c>
    </row>
    <row r="167" spans="3:3">
      <c r="C167" t="str">
        <f t="shared" si="4"/>
        <v/>
      </c>
    </row>
  </sheetData>
  <autoFilter ref="A3:G167" xr:uid="{B6F28A4C-D5A9-4E32-A16F-7B0F8BD0916D}"/>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185705-F82C-43BF-81B0-E3DE7D67D6B0}">
  <sheetPr codeName="Sheet5"/>
  <dimension ref="A1:F168"/>
  <sheetViews>
    <sheetView zoomScale="85" zoomScaleNormal="85" workbookViewId="0">
      <pane xSplit="1" ySplit="3" topLeftCell="B4" activePane="bottomRight" state="frozen"/>
      <selection pane="topRight" activeCell="B1" sqref="B1"/>
      <selection pane="bottomLeft" activeCell="A4" sqref="A4"/>
      <selection pane="bottomRight" activeCell="B25" sqref="B25"/>
    </sheetView>
  </sheetViews>
  <sheetFormatPr defaultRowHeight="18.75"/>
  <cols>
    <col min="1" max="1" width="9" style="2"/>
    <col min="2" max="2" width="53.125" style="1" customWidth="1"/>
    <col min="3" max="3" width="9.75" customWidth="1"/>
  </cols>
  <sheetData>
    <row r="1" spans="1:6">
      <c r="A1" s="2" t="s">
        <v>0</v>
      </c>
      <c r="B1" s="1" t="s">
        <v>13</v>
      </c>
    </row>
    <row r="2" spans="1:6">
      <c r="A2" s="2" t="s">
        <v>2</v>
      </c>
      <c r="B2" s="3" t="s">
        <v>57</v>
      </c>
      <c r="D2">
        <f>SUM(D4:D1001)</f>
        <v>40</v>
      </c>
      <c r="E2">
        <f>SUM(E4:E1001)</f>
        <v>50</v>
      </c>
    </row>
    <row r="3" spans="1:6">
      <c r="A3" s="2" t="s">
        <v>1</v>
      </c>
      <c r="B3" s="1" t="s">
        <v>3</v>
      </c>
      <c r="C3" t="s">
        <v>6</v>
      </c>
      <c r="D3" t="s">
        <v>4</v>
      </c>
      <c r="E3" t="s">
        <v>5</v>
      </c>
    </row>
    <row r="4" spans="1:6">
      <c r="A4" s="2" t="s">
        <v>21</v>
      </c>
      <c r="B4" s="1" t="s">
        <v>58</v>
      </c>
      <c r="C4">
        <f>IF(B4&lt;&gt;"",LEN(B4),"")</f>
        <v>4</v>
      </c>
      <c r="D4">
        <f>E4*F4</f>
        <v>4</v>
      </c>
      <c r="E4">
        <v>4</v>
      </c>
      <c r="F4">
        <v>1</v>
      </c>
    </row>
    <row r="5" spans="1:6">
      <c r="A5" s="2" t="s">
        <v>31</v>
      </c>
      <c r="B5" s="1" t="s">
        <v>59</v>
      </c>
      <c r="C5">
        <f t="shared" ref="C5:C69" si="0">IF(B5&lt;&gt;"",LEN(B5),"")</f>
        <v>2</v>
      </c>
      <c r="D5">
        <f t="shared" ref="D5:D13" si="1">E5*F5</f>
        <v>0</v>
      </c>
      <c r="E5">
        <v>4</v>
      </c>
      <c r="F5">
        <v>0</v>
      </c>
    </row>
    <row r="6" spans="1:6">
      <c r="A6" s="2" t="s">
        <v>35</v>
      </c>
      <c r="B6" s="1" t="s">
        <v>61</v>
      </c>
      <c r="C6">
        <f t="shared" si="0"/>
        <v>4</v>
      </c>
      <c r="D6">
        <f t="shared" si="1"/>
        <v>4</v>
      </c>
      <c r="E6">
        <v>4</v>
      </c>
      <c r="F6">
        <v>1</v>
      </c>
    </row>
    <row r="7" spans="1:6" ht="37.5">
      <c r="B7" s="1" t="s">
        <v>62</v>
      </c>
      <c r="C7">
        <f t="shared" si="0"/>
        <v>35</v>
      </c>
      <c r="D7">
        <f t="shared" si="1"/>
        <v>6</v>
      </c>
      <c r="E7">
        <v>6</v>
      </c>
      <c r="F7">
        <v>1</v>
      </c>
    </row>
    <row r="8" spans="1:6">
      <c r="A8" s="2" t="s">
        <v>63</v>
      </c>
      <c r="B8" s="1" t="s">
        <v>60</v>
      </c>
      <c r="C8">
        <f t="shared" si="0"/>
        <v>4</v>
      </c>
      <c r="D8">
        <f t="shared" si="1"/>
        <v>4</v>
      </c>
      <c r="E8">
        <v>4</v>
      </c>
      <c r="F8">
        <v>1</v>
      </c>
    </row>
    <row r="9" spans="1:6" ht="37.5">
      <c r="B9" s="1" t="s">
        <v>64</v>
      </c>
      <c r="C9">
        <f t="shared" si="0"/>
        <v>35</v>
      </c>
      <c r="D9">
        <f t="shared" si="1"/>
        <v>6</v>
      </c>
      <c r="E9">
        <v>6</v>
      </c>
      <c r="F9">
        <v>1</v>
      </c>
    </row>
    <row r="10" spans="1:6">
      <c r="A10" s="2" t="s">
        <v>65</v>
      </c>
      <c r="B10" s="1" t="s">
        <v>66</v>
      </c>
      <c r="C10">
        <f t="shared" si="0"/>
        <v>7</v>
      </c>
      <c r="D10">
        <f t="shared" si="1"/>
        <v>4</v>
      </c>
      <c r="E10">
        <v>4</v>
      </c>
      <c r="F10">
        <v>1</v>
      </c>
    </row>
    <row r="11" spans="1:6">
      <c r="A11" s="2" t="s">
        <v>37</v>
      </c>
      <c r="B11" s="1" t="s">
        <v>67</v>
      </c>
      <c r="C11">
        <f t="shared" si="0"/>
        <v>29</v>
      </c>
      <c r="D11">
        <f t="shared" si="1"/>
        <v>6</v>
      </c>
      <c r="E11">
        <v>6</v>
      </c>
      <c r="F11">
        <v>1</v>
      </c>
    </row>
    <row r="12" spans="1:6">
      <c r="A12" s="2" t="s">
        <v>41</v>
      </c>
      <c r="B12" s="1" t="s">
        <v>68</v>
      </c>
      <c r="C12">
        <f t="shared" si="0"/>
        <v>23</v>
      </c>
      <c r="D12">
        <f t="shared" si="1"/>
        <v>0</v>
      </c>
      <c r="E12">
        <v>6</v>
      </c>
      <c r="F12">
        <v>0</v>
      </c>
    </row>
    <row r="13" spans="1:6">
      <c r="A13" s="2" t="s">
        <v>44</v>
      </c>
      <c r="B13" s="1" t="s">
        <v>69</v>
      </c>
      <c r="C13">
        <f t="shared" si="0"/>
        <v>6</v>
      </c>
      <c r="D13">
        <f t="shared" si="1"/>
        <v>6</v>
      </c>
      <c r="E13">
        <v>6</v>
      </c>
      <c r="F13">
        <v>1</v>
      </c>
    </row>
    <row r="14" spans="1:6">
      <c r="C14" t="str">
        <f t="shared" si="0"/>
        <v/>
      </c>
    </row>
    <row r="15" spans="1:6">
      <c r="C15" t="str">
        <f t="shared" si="0"/>
        <v/>
      </c>
    </row>
    <row r="16" spans="1:6">
      <c r="C16" t="str">
        <f t="shared" si="0"/>
        <v/>
      </c>
    </row>
    <row r="17" spans="1:6">
      <c r="C17" t="str">
        <f t="shared" si="0"/>
        <v/>
      </c>
    </row>
    <row r="18" spans="1:6">
      <c r="A18" s="2" t="s">
        <v>31</v>
      </c>
      <c r="B18" s="1" t="s">
        <v>111</v>
      </c>
      <c r="C18">
        <f t="shared" si="0"/>
        <v>7</v>
      </c>
      <c r="F18">
        <v>1</v>
      </c>
    </row>
    <row r="19" spans="1:6">
      <c r="A19" s="2" t="s">
        <v>35</v>
      </c>
      <c r="B19" s="1" t="s">
        <v>61</v>
      </c>
      <c r="C19">
        <f t="shared" si="0"/>
        <v>4</v>
      </c>
      <c r="F19">
        <v>1</v>
      </c>
    </row>
    <row r="20" spans="1:6" ht="37.5">
      <c r="B20" s="1" t="s">
        <v>112</v>
      </c>
      <c r="C20">
        <f t="shared" si="0"/>
        <v>40</v>
      </c>
      <c r="F20">
        <v>1</v>
      </c>
    </row>
    <row r="21" spans="1:6">
      <c r="A21" s="2" t="s">
        <v>37</v>
      </c>
      <c r="B21" s="1" t="s">
        <v>113</v>
      </c>
      <c r="C21">
        <f t="shared" si="0"/>
        <v>27</v>
      </c>
      <c r="F21">
        <v>1</v>
      </c>
    </row>
    <row r="22" spans="1:6">
      <c r="A22" s="2" t="s">
        <v>41</v>
      </c>
      <c r="B22" s="1" t="s">
        <v>114</v>
      </c>
      <c r="C22">
        <f t="shared" si="0"/>
        <v>27</v>
      </c>
      <c r="F22">
        <v>1</v>
      </c>
    </row>
    <row r="23" spans="1:6">
      <c r="C23" t="str">
        <f t="shared" si="0"/>
        <v/>
      </c>
    </row>
    <row r="24" spans="1:6" ht="37.5">
      <c r="B24" s="1" t="s">
        <v>116</v>
      </c>
      <c r="C24">
        <f t="shared" si="0"/>
        <v>30</v>
      </c>
    </row>
    <row r="25" spans="1:6" ht="37.5">
      <c r="B25" s="1" t="s">
        <v>115</v>
      </c>
      <c r="C25">
        <f t="shared" si="0"/>
        <v>49</v>
      </c>
    </row>
    <row r="26" spans="1:6">
      <c r="C26" t="str">
        <f t="shared" si="0"/>
        <v/>
      </c>
    </row>
    <row r="27" spans="1:6">
      <c r="C27" t="str">
        <f t="shared" si="0"/>
        <v/>
      </c>
    </row>
    <row r="28" spans="1:6">
      <c r="C28" t="str">
        <f t="shared" si="0"/>
        <v/>
      </c>
    </row>
    <row r="29" spans="1:6">
      <c r="C29" t="str">
        <f t="shared" si="0"/>
        <v/>
      </c>
    </row>
    <row r="30" spans="1:6">
      <c r="C30" t="str">
        <f t="shared" si="0"/>
        <v/>
      </c>
    </row>
    <row r="31" spans="1:6">
      <c r="C31" t="str">
        <f t="shared" si="0"/>
        <v/>
      </c>
    </row>
    <row r="32" spans="1:6">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si="0"/>
        <v/>
      </c>
    </row>
    <row r="70" spans="3:3">
      <c r="C70" t="str">
        <f t="shared" ref="C70:C133" si="2">IF(B70&lt;&gt;"",LEN(B70),"")</f>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si="2"/>
        <v/>
      </c>
    </row>
    <row r="134" spans="3:3">
      <c r="C134" t="str">
        <f t="shared" ref="C134:C168" si="3">IF(B134&lt;&gt;"",LEN(B134),"")</f>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row r="168" spans="3:3">
      <c r="C168" t="str">
        <f t="shared" si="3"/>
        <v/>
      </c>
    </row>
  </sheetData>
  <autoFilter ref="A3:F168" xr:uid="{4A185705-F82C-43BF-81B0-E3DE7D67D6B0}"/>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4086DB-1AC5-4A38-8EB6-52191F3DEE12}">
  <sheetPr codeName="Sheet6"/>
  <dimension ref="A1:K168"/>
  <sheetViews>
    <sheetView zoomScaleNormal="100"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53.625" style="1" customWidth="1"/>
    <col min="3" max="3" width="9.75" customWidth="1"/>
  </cols>
  <sheetData>
    <row r="1" spans="1:11">
      <c r="A1" s="2" t="s">
        <v>0</v>
      </c>
      <c r="B1" s="1" t="s">
        <v>13</v>
      </c>
    </row>
    <row r="2" spans="1:11">
      <c r="A2" s="2" t="s">
        <v>2</v>
      </c>
      <c r="B2" s="3" t="s">
        <v>71</v>
      </c>
      <c r="D2">
        <f>SUM(D4:D1001)</f>
        <v>46</v>
      </c>
      <c r="E2">
        <f>SUM(E4:E1001)</f>
        <v>50</v>
      </c>
    </row>
    <row r="3" spans="1:11">
      <c r="A3" s="2" t="s">
        <v>1</v>
      </c>
      <c r="B3" s="1" t="s">
        <v>3</v>
      </c>
      <c r="C3" t="s">
        <v>6</v>
      </c>
      <c r="D3" t="s">
        <v>4</v>
      </c>
      <c r="E3" t="s">
        <v>5</v>
      </c>
    </row>
    <row r="4" spans="1:11">
      <c r="A4" s="2" t="s">
        <v>80</v>
      </c>
      <c r="B4" s="1" t="s">
        <v>82</v>
      </c>
      <c r="C4">
        <f>IF(B4&lt;&gt;"",LEN(B4),"")</f>
        <v>4</v>
      </c>
      <c r="D4">
        <f>E4*F4</f>
        <v>2</v>
      </c>
      <c r="E4">
        <v>2</v>
      </c>
      <c r="F4">
        <v>1</v>
      </c>
      <c r="G4" t="s">
        <v>72</v>
      </c>
      <c r="I4" t="s">
        <v>79</v>
      </c>
      <c r="K4" t="s">
        <v>93</v>
      </c>
    </row>
    <row r="5" spans="1:11">
      <c r="B5" s="1" t="s">
        <v>81</v>
      </c>
      <c r="C5">
        <f t="shared" ref="C5:C69" si="0">IF(B5&lt;&gt;"",LEN(B5),"")</f>
        <v>4</v>
      </c>
      <c r="D5">
        <f t="shared" ref="D5:D24" si="1">E5*F5</f>
        <v>2</v>
      </c>
      <c r="E5">
        <v>2</v>
      </c>
      <c r="F5">
        <v>1</v>
      </c>
      <c r="G5" t="s">
        <v>73</v>
      </c>
      <c r="I5" t="s">
        <v>86</v>
      </c>
    </row>
    <row r="6" spans="1:11">
      <c r="B6" s="1" t="s">
        <v>83</v>
      </c>
      <c r="C6">
        <f t="shared" si="0"/>
        <v>4</v>
      </c>
      <c r="D6">
        <f t="shared" si="1"/>
        <v>2</v>
      </c>
      <c r="E6">
        <v>2</v>
      </c>
      <c r="F6">
        <v>1</v>
      </c>
      <c r="G6" t="s">
        <v>74</v>
      </c>
      <c r="I6" t="s">
        <v>87</v>
      </c>
    </row>
    <row r="7" spans="1:11" ht="37.5">
      <c r="A7" s="2" t="s">
        <v>84</v>
      </c>
      <c r="B7" s="1" t="s">
        <v>85</v>
      </c>
      <c r="C7">
        <f t="shared" si="0"/>
        <v>31</v>
      </c>
      <c r="D7">
        <f t="shared" si="1"/>
        <v>4</v>
      </c>
      <c r="E7">
        <v>4</v>
      </c>
      <c r="F7">
        <v>1</v>
      </c>
      <c r="G7" t="s">
        <v>75</v>
      </c>
      <c r="I7" t="s">
        <v>91</v>
      </c>
    </row>
    <row r="8" spans="1:11">
      <c r="A8" s="2" t="s">
        <v>31</v>
      </c>
      <c r="B8" s="1" t="s">
        <v>88</v>
      </c>
      <c r="C8">
        <f t="shared" si="0"/>
        <v>4</v>
      </c>
      <c r="D8">
        <f t="shared" si="1"/>
        <v>2</v>
      </c>
      <c r="E8">
        <v>2</v>
      </c>
      <c r="F8">
        <v>1</v>
      </c>
      <c r="G8" t="s">
        <v>76</v>
      </c>
      <c r="I8" t="s">
        <v>94</v>
      </c>
    </row>
    <row r="9" spans="1:11">
      <c r="B9" s="1" t="s">
        <v>89</v>
      </c>
      <c r="C9">
        <f t="shared" si="0"/>
        <v>4</v>
      </c>
      <c r="D9">
        <f t="shared" si="1"/>
        <v>2</v>
      </c>
      <c r="E9">
        <v>2</v>
      </c>
      <c r="F9">
        <v>1</v>
      </c>
      <c r="G9" t="s">
        <v>77</v>
      </c>
      <c r="I9" t="s">
        <v>96</v>
      </c>
    </row>
    <row r="10" spans="1:11">
      <c r="B10" s="1" t="s">
        <v>90</v>
      </c>
      <c r="C10">
        <f t="shared" si="0"/>
        <v>4</v>
      </c>
      <c r="D10">
        <f t="shared" si="1"/>
        <v>2</v>
      </c>
      <c r="E10">
        <v>2</v>
      </c>
      <c r="F10">
        <v>1</v>
      </c>
      <c r="G10" t="s">
        <v>78</v>
      </c>
    </row>
    <row r="11" spans="1:11">
      <c r="A11" s="2" t="s">
        <v>35</v>
      </c>
      <c r="B11" s="1" t="s">
        <v>92</v>
      </c>
      <c r="C11">
        <f t="shared" si="0"/>
        <v>1</v>
      </c>
      <c r="D11">
        <f t="shared" si="1"/>
        <v>2</v>
      </c>
      <c r="E11">
        <v>2</v>
      </c>
      <c r="F11">
        <v>1</v>
      </c>
    </row>
    <row r="12" spans="1:11">
      <c r="A12" s="2" t="s">
        <v>37</v>
      </c>
      <c r="B12" s="1" t="s">
        <v>95</v>
      </c>
      <c r="C12">
        <f t="shared" si="0"/>
        <v>23</v>
      </c>
      <c r="D12">
        <f t="shared" si="1"/>
        <v>4</v>
      </c>
      <c r="E12">
        <v>4</v>
      </c>
      <c r="F12">
        <v>1</v>
      </c>
    </row>
    <row r="13" spans="1:11" ht="37.5">
      <c r="A13" s="2" t="s">
        <v>41</v>
      </c>
      <c r="B13" s="1" t="s">
        <v>97</v>
      </c>
      <c r="C13">
        <f t="shared" si="0"/>
        <v>32</v>
      </c>
      <c r="D13">
        <f t="shared" si="1"/>
        <v>6</v>
      </c>
      <c r="E13">
        <v>6</v>
      </c>
      <c r="F13">
        <v>1</v>
      </c>
    </row>
    <row r="14" spans="1:11">
      <c r="A14" s="2" t="s">
        <v>44</v>
      </c>
      <c r="B14" s="1" t="s">
        <v>98</v>
      </c>
      <c r="C14">
        <f t="shared" si="0"/>
        <v>1</v>
      </c>
      <c r="D14">
        <f t="shared" si="1"/>
        <v>0</v>
      </c>
      <c r="E14">
        <v>2</v>
      </c>
      <c r="F14">
        <v>0</v>
      </c>
    </row>
    <row r="15" spans="1:11">
      <c r="A15" s="2" t="s">
        <v>99</v>
      </c>
      <c r="B15" s="1" t="s">
        <v>100</v>
      </c>
      <c r="C15">
        <f t="shared" si="0"/>
        <v>4</v>
      </c>
      <c r="D15">
        <f t="shared" si="1"/>
        <v>0</v>
      </c>
      <c r="E15">
        <v>2</v>
      </c>
      <c r="F15">
        <v>0</v>
      </c>
    </row>
    <row r="16" spans="1:11">
      <c r="B16" s="1" t="s">
        <v>101</v>
      </c>
      <c r="C16">
        <f t="shared" si="0"/>
        <v>4</v>
      </c>
      <c r="D16">
        <f t="shared" si="1"/>
        <v>2</v>
      </c>
      <c r="E16">
        <v>2</v>
      </c>
      <c r="F16">
        <v>1</v>
      </c>
    </row>
    <row r="17" spans="1:7">
      <c r="A17" s="2" t="s">
        <v>102</v>
      </c>
      <c r="B17" s="1" t="s">
        <v>103</v>
      </c>
      <c r="C17">
        <f t="shared" si="0"/>
        <v>3</v>
      </c>
      <c r="D17">
        <f t="shared" si="1"/>
        <v>2</v>
      </c>
      <c r="E17">
        <v>2</v>
      </c>
      <c r="F17">
        <v>1</v>
      </c>
    </row>
    <row r="18" spans="1:7">
      <c r="B18" s="1" t="s">
        <v>104</v>
      </c>
      <c r="C18">
        <f t="shared" si="0"/>
        <v>3</v>
      </c>
      <c r="D18">
        <f t="shared" si="1"/>
        <v>2</v>
      </c>
      <c r="E18">
        <v>2</v>
      </c>
      <c r="F18">
        <v>1</v>
      </c>
    </row>
    <row r="19" spans="1:7">
      <c r="B19" s="1" t="s">
        <v>105</v>
      </c>
      <c r="C19">
        <f t="shared" si="0"/>
        <v>20</v>
      </c>
      <c r="D19">
        <f t="shared" si="1"/>
        <v>2</v>
      </c>
      <c r="E19">
        <v>2</v>
      </c>
      <c r="F19">
        <v>1</v>
      </c>
    </row>
    <row r="20" spans="1:7">
      <c r="B20" s="1" t="s">
        <v>106</v>
      </c>
      <c r="C20">
        <f t="shared" si="0"/>
        <v>9</v>
      </c>
      <c r="D20">
        <f t="shared" si="1"/>
        <v>2</v>
      </c>
      <c r="E20">
        <v>2</v>
      </c>
      <c r="F20">
        <v>1</v>
      </c>
    </row>
    <row r="21" spans="1:7">
      <c r="B21" s="1" t="s">
        <v>107</v>
      </c>
      <c r="C21">
        <f t="shared" si="0"/>
        <v>5</v>
      </c>
      <c r="D21">
        <f t="shared" si="1"/>
        <v>2</v>
      </c>
      <c r="E21">
        <v>2</v>
      </c>
      <c r="F21">
        <v>1</v>
      </c>
    </row>
    <row r="22" spans="1:7">
      <c r="B22" s="1" t="s">
        <v>108</v>
      </c>
      <c r="C22">
        <f t="shared" si="0"/>
        <v>14</v>
      </c>
      <c r="D22">
        <f t="shared" si="1"/>
        <v>2</v>
      </c>
      <c r="E22">
        <v>2</v>
      </c>
      <c r="F22">
        <v>1</v>
      </c>
    </row>
    <row r="23" spans="1:7">
      <c r="B23" s="1" t="s">
        <v>109</v>
      </c>
      <c r="C23">
        <f t="shared" si="0"/>
        <v>6</v>
      </c>
      <c r="D23">
        <f t="shared" si="1"/>
        <v>2</v>
      </c>
      <c r="E23">
        <v>2</v>
      </c>
      <c r="F23">
        <v>1</v>
      </c>
    </row>
    <row r="24" spans="1:7">
      <c r="B24" s="1" t="s">
        <v>110</v>
      </c>
      <c r="C24">
        <f t="shared" si="0"/>
        <v>5</v>
      </c>
      <c r="D24">
        <f t="shared" si="1"/>
        <v>2</v>
      </c>
      <c r="E24">
        <v>2</v>
      </c>
      <c r="F24">
        <v>1</v>
      </c>
    </row>
    <row r="25" spans="1:7">
      <c r="C25" t="str">
        <f t="shared" si="0"/>
        <v/>
      </c>
    </row>
    <row r="26" spans="1:7">
      <c r="C26" t="str">
        <f t="shared" si="0"/>
        <v/>
      </c>
    </row>
    <row r="27" spans="1:7">
      <c r="A27" s="2" t="s">
        <v>117</v>
      </c>
      <c r="B27" s="1" t="s">
        <v>121</v>
      </c>
      <c r="C27">
        <f t="shared" si="0"/>
        <v>24</v>
      </c>
      <c r="F27">
        <v>1</v>
      </c>
      <c r="G27" t="s">
        <v>122</v>
      </c>
    </row>
    <row r="28" spans="1:7" ht="37.5">
      <c r="A28" s="2" t="s">
        <v>118</v>
      </c>
      <c r="B28" s="1" t="s">
        <v>123</v>
      </c>
      <c r="C28">
        <f t="shared" si="0"/>
        <v>32</v>
      </c>
      <c r="F28">
        <v>1</v>
      </c>
    </row>
    <row r="29" spans="1:7">
      <c r="A29" s="2" t="s">
        <v>119</v>
      </c>
      <c r="B29" s="1" t="s">
        <v>124</v>
      </c>
      <c r="C29">
        <f t="shared" si="0"/>
        <v>11</v>
      </c>
    </row>
    <row r="30" spans="1:7">
      <c r="B30" s="1" t="s">
        <v>125</v>
      </c>
      <c r="C30">
        <f t="shared" si="0"/>
        <v>1</v>
      </c>
      <c r="F30">
        <v>1</v>
      </c>
    </row>
    <row r="31" spans="1:7">
      <c r="A31" s="2" t="s">
        <v>120</v>
      </c>
      <c r="B31" s="1" t="s">
        <v>126</v>
      </c>
      <c r="C31">
        <f t="shared" si="0"/>
        <v>4</v>
      </c>
      <c r="F31">
        <v>1</v>
      </c>
    </row>
    <row r="32" spans="1:7">
      <c r="B32" s="1" t="s">
        <v>101</v>
      </c>
      <c r="C32">
        <f t="shared" si="0"/>
        <v>4</v>
      </c>
      <c r="F32">
        <v>1</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si="0"/>
        <v/>
      </c>
    </row>
    <row r="70" spans="3:3">
      <c r="C70" t="str">
        <f t="shared" ref="C70:C133" si="2">IF(B70&lt;&gt;"",LEN(B70),"")</f>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si="2"/>
        <v/>
      </c>
    </row>
    <row r="134" spans="3:3">
      <c r="C134" t="str">
        <f t="shared" ref="C134:C168" si="3">IF(B134&lt;&gt;"",LEN(B134),"")</f>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row r="168" spans="3:3">
      <c r="C168" t="str">
        <f t="shared" si="3"/>
        <v/>
      </c>
    </row>
  </sheetData>
  <autoFilter ref="A3:K168" xr:uid="{334086DB-1AC5-4A38-8EB6-52191F3DEE12}"/>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8AA874-227C-492C-B90D-77DD204AD0F9}">
  <sheetPr codeName="Sheet7"/>
  <dimension ref="A1:K168"/>
  <sheetViews>
    <sheetView zoomScale="85" zoomScaleNormal="85" workbookViewId="0">
      <pane xSplit="1" ySplit="3" topLeftCell="B4" activePane="bottomRight" state="frozen"/>
      <selection pane="topRight" activeCell="B1" sqref="B1"/>
      <selection pane="bottomLeft" activeCell="A4" sqref="A4"/>
      <selection pane="bottomRight" activeCell="D4" sqref="D4"/>
    </sheetView>
  </sheetViews>
  <sheetFormatPr defaultRowHeight="18.75"/>
  <cols>
    <col min="1" max="1" width="9" style="2"/>
    <col min="2" max="2" width="53.875" style="1" customWidth="1"/>
    <col min="3" max="3" width="9.75" customWidth="1"/>
  </cols>
  <sheetData>
    <row r="1" spans="1:11">
      <c r="A1" s="2" t="s">
        <v>0</v>
      </c>
      <c r="B1" s="1" t="s">
        <v>132</v>
      </c>
    </row>
    <row r="2" spans="1:11">
      <c r="A2" s="2" t="s">
        <v>2</v>
      </c>
      <c r="B2" s="3" t="s">
        <v>133</v>
      </c>
      <c r="D2">
        <f>SUM(D4:D16)</f>
        <v>32</v>
      </c>
      <c r="E2">
        <f>SUM(E4:E1001)</f>
        <v>50</v>
      </c>
    </row>
    <row r="3" spans="1:11">
      <c r="A3" s="2" t="s">
        <v>1</v>
      </c>
      <c r="B3" s="1" t="s">
        <v>3</v>
      </c>
      <c r="C3" t="s">
        <v>6</v>
      </c>
      <c r="D3" t="s">
        <v>4</v>
      </c>
      <c r="E3" t="s">
        <v>5</v>
      </c>
    </row>
    <row r="4" spans="1:11">
      <c r="A4" s="2" t="s">
        <v>21</v>
      </c>
      <c r="B4" s="1" t="s">
        <v>45</v>
      </c>
      <c r="C4">
        <f>IF(B4&lt;&gt;"",LEN(B4),"")</f>
        <v>3</v>
      </c>
      <c r="D4">
        <f>E4*F4</f>
        <v>4</v>
      </c>
      <c r="E4">
        <v>4</v>
      </c>
      <c r="F4">
        <v>1</v>
      </c>
      <c r="G4" t="s">
        <v>134</v>
      </c>
      <c r="I4" t="s">
        <v>139</v>
      </c>
      <c r="K4" t="s">
        <v>144</v>
      </c>
    </row>
    <row r="5" spans="1:11" ht="37.5">
      <c r="A5" s="2" t="s">
        <v>31</v>
      </c>
      <c r="B5" s="1" t="s">
        <v>145</v>
      </c>
      <c r="C5">
        <f t="shared" ref="C5:C69" si="0">IF(B5&lt;&gt;"",LEN(B5),"")</f>
        <v>40</v>
      </c>
      <c r="D5">
        <f t="shared" ref="D5:D16" si="1">E5*F5</f>
        <v>3</v>
      </c>
      <c r="E5">
        <v>6</v>
      </c>
      <c r="F5">
        <v>0.5</v>
      </c>
      <c r="G5" t="s">
        <v>135</v>
      </c>
      <c r="I5" t="s">
        <v>140</v>
      </c>
      <c r="K5" t="s">
        <v>146</v>
      </c>
    </row>
    <row r="6" spans="1:11">
      <c r="A6" s="4" t="s">
        <v>35</v>
      </c>
      <c r="B6" s="1" t="s">
        <v>92</v>
      </c>
      <c r="C6">
        <f t="shared" si="0"/>
        <v>1</v>
      </c>
      <c r="D6">
        <f t="shared" si="1"/>
        <v>0</v>
      </c>
      <c r="E6">
        <v>3</v>
      </c>
      <c r="F6">
        <v>0</v>
      </c>
      <c r="G6" t="s">
        <v>136</v>
      </c>
      <c r="I6" t="s">
        <v>141</v>
      </c>
      <c r="K6" t="s">
        <v>147</v>
      </c>
    </row>
    <row r="7" spans="1:11">
      <c r="A7" s="2" t="s">
        <v>63</v>
      </c>
      <c r="B7" s="1" t="s">
        <v>92</v>
      </c>
      <c r="C7">
        <f t="shared" si="0"/>
        <v>1</v>
      </c>
      <c r="D7">
        <f t="shared" si="1"/>
        <v>3</v>
      </c>
      <c r="E7">
        <v>3</v>
      </c>
      <c r="F7">
        <v>1</v>
      </c>
      <c r="G7" t="s">
        <v>137</v>
      </c>
      <c r="I7" t="s">
        <v>142</v>
      </c>
      <c r="K7" t="s">
        <v>149</v>
      </c>
    </row>
    <row r="8" spans="1:11">
      <c r="A8" s="2" t="s">
        <v>65</v>
      </c>
      <c r="B8" s="1" t="s">
        <v>148</v>
      </c>
      <c r="C8">
        <f t="shared" si="0"/>
        <v>30</v>
      </c>
      <c r="D8">
        <f t="shared" si="1"/>
        <v>4</v>
      </c>
      <c r="E8">
        <v>4</v>
      </c>
      <c r="F8">
        <v>1</v>
      </c>
      <c r="G8" t="s">
        <v>138</v>
      </c>
      <c r="I8" t="s">
        <v>143</v>
      </c>
    </row>
    <row r="9" spans="1:11" ht="37.5">
      <c r="A9" s="2" t="s">
        <v>150</v>
      </c>
      <c r="B9" s="1" t="s">
        <v>151</v>
      </c>
      <c r="C9">
        <f t="shared" si="0"/>
        <v>49</v>
      </c>
      <c r="D9">
        <f t="shared" si="1"/>
        <v>0</v>
      </c>
      <c r="E9">
        <v>6</v>
      </c>
      <c r="F9">
        <v>0</v>
      </c>
      <c r="K9" t="s">
        <v>154</v>
      </c>
    </row>
    <row r="10" spans="1:11" ht="37.5">
      <c r="B10" s="1" t="s">
        <v>152</v>
      </c>
      <c r="C10">
        <f t="shared" si="0"/>
        <v>34</v>
      </c>
      <c r="D10">
        <f t="shared" si="1"/>
        <v>0</v>
      </c>
      <c r="K10" t="s">
        <v>155</v>
      </c>
    </row>
    <row r="11" spans="1:11">
      <c r="A11" s="2" t="s">
        <v>153</v>
      </c>
      <c r="B11" s="1" t="s">
        <v>98</v>
      </c>
      <c r="C11">
        <f t="shared" si="0"/>
        <v>1</v>
      </c>
      <c r="D11">
        <f t="shared" si="1"/>
        <v>4</v>
      </c>
      <c r="E11">
        <v>4</v>
      </c>
      <c r="F11">
        <v>1</v>
      </c>
    </row>
    <row r="12" spans="1:11" ht="37.5">
      <c r="A12" s="2" t="s">
        <v>37</v>
      </c>
      <c r="B12" s="1" t="s">
        <v>156</v>
      </c>
      <c r="C12">
        <f t="shared" si="0"/>
        <v>37</v>
      </c>
      <c r="D12">
        <f t="shared" si="1"/>
        <v>6</v>
      </c>
      <c r="E12">
        <v>6</v>
      </c>
      <c r="F12">
        <v>1</v>
      </c>
    </row>
    <row r="13" spans="1:11">
      <c r="A13" s="2" t="s">
        <v>41</v>
      </c>
      <c r="B13" s="1" t="s">
        <v>157</v>
      </c>
      <c r="C13">
        <f t="shared" si="0"/>
        <v>19</v>
      </c>
      <c r="D13">
        <f t="shared" si="1"/>
        <v>2</v>
      </c>
      <c r="E13">
        <v>4</v>
      </c>
      <c r="F13">
        <v>0.5</v>
      </c>
    </row>
    <row r="14" spans="1:11">
      <c r="A14" s="2" t="s">
        <v>44</v>
      </c>
      <c r="B14" s="1" t="s">
        <v>158</v>
      </c>
      <c r="C14">
        <f t="shared" si="0"/>
        <v>17</v>
      </c>
      <c r="D14">
        <f t="shared" si="1"/>
        <v>0</v>
      </c>
      <c r="E14">
        <v>4</v>
      </c>
      <c r="F14">
        <v>0</v>
      </c>
    </row>
    <row r="15" spans="1:11">
      <c r="A15" s="2" t="s">
        <v>99</v>
      </c>
      <c r="B15" s="1" t="s">
        <v>159</v>
      </c>
      <c r="C15">
        <f t="shared" si="0"/>
        <v>11</v>
      </c>
      <c r="D15">
        <f t="shared" si="1"/>
        <v>3</v>
      </c>
      <c r="E15">
        <v>3</v>
      </c>
      <c r="F15">
        <v>1</v>
      </c>
    </row>
    <row r="16" spans="1:11">
      <c r="B16" s="1" t="s">
        <v>160</v>
      </c>
      <c r="C16">
        <f t="shared" si="0"/>
        <v>13</v>
      </c>
      <c r="D16">
        <f t="shared" si="1"/>
        <v>3</v>
      </c>
      <c r="E16">
        <v>3</v>
      </c>
      <c r="F16">
        <v>1</v>
      </c>
    </row>
    <row r="17" spans="1:7">
      <c r="C17" t="str">
        <f t="shared" si="0"/>
        <v/>
      </c>
    </row>
    <row r="18" spans="1:7">
      <c r="C18" t="str">
        <f t="shared" si="0"/>
        <v/>
      </c>
    </row>
    <row r="19" spans="1:7">
      <c r="C19" t="str">
        <f t="shared" si="0"/>
        <v/>
      </c>
    </row>
    <row r="20" spans="1:7">
      <c r="B20" s="1" t="s">
        <v>209</v>
      </c>
      <c r="C20">
        <f t="shared" si="0"/>
        <v>3</v>
      </c>
      <c r="G20" t="s">
        <v>210</v>
      </c>
    </row>
    <row r="21" spans="1:7">
      <c r="A21" s="2" t="s">
        <v>21</v>
      </c>
      <c r="B21" s="1" t="s">
        <v>217</v>
      </c>
      <c r="C21">
        <f t="shared" si="0"/>
        <v>4</v>
      </c>
      <c r="D21">
        <v>1</v>
      </c>
    </row>
    <row r="22" spans="1:7" ht="37.5">
      <c r="A22" s="2" t="s">
        <v>31</v>
      </c>
      <c r="B22" s="1" t="s">
        <v>218</v>
      </c>
      <c r="C22">
        <f t="shared" si="0"/>
        <v>40</v>
      </c>
      <c r="D22">
        <v>1</v>
      </c>
      <c r="G22" t="s">
        <v>211</v>
      </c>
    </row>
    <row r="23" spans="1:7">
      <c r="A23" s="2" t="s">
        <v>35</v>
      </c>
      <c r="B23" s="1" t="s">
        <v>98</v>
      </c>
      <c r="C23">
        <f t="shared" si="0"/>
        <v>1</v>
      </c>
      <c r="D23">
        <v>1</v>
      </c>
      <c r="G23" t="s">
        <v>212</v>
      </c>
    </row>
    <row r="24" spans="1:7" ht="37.5">
      <c r="A24" s="2" t="s">
        <v>150</v>
      </c>
      <c r="B24" s="1" t="s">
        <v>219</v>
      </c>
      <c r="C24">
        <f t="shared" si="0"/>
        <v>34</v>
      </c>
      <c r="D24">
        <v>0</v>
      </c>
      <c r="G24" t="s">
        <v>213</v>
      </c>
    </row>
    <row r="25" spans="1:7">
      <c r="A25" s="2" t="s">
        <v>41</v>
      </c>
      <c r="B25" s="1" t="s">
        <v>220</v>
      </c>
      <c r="C25">
        <f t="shared" si="0"/>
        <v>26</v>
      </c>
      <c r="D25">
        <v>1</v>
      </c>
      <c r="G25" t="s">
        <v>214</v>
      </c>
    </row>
    <row r="26" spans="1:7">
      <c r="A26" s="2" t="s">
        <v>44</v>
      </c>
      <c r="B26" s="1" t="s">
        <v>221</v>
      </c>
      <c r="C26">
        <f t="shared" si="0"/>
        <v>13</v>
      </c>
      <c r="D26">
        <v>0</v>
      </c>
      <c r="G26" t="s">
        <v>215</v>
      </c>
    </row>
    <row r="27" spans="1:7" ht="37.5">
      <c r="B27" s="1" t="s">
        <v>222</v>
      </c>
      <c r="C27">
        <f t="shared" si="0"/>
        <v>35</v>
      </c>
      <c r="G27" t="s">
        <v>216</v>
      </c>
    </row>
    <row r="28" spans="1:7">
      <c r="C28" t="str">
        <f t="shared" si="0"/>
        <v/>
      </c>
    </row>
    <row r="29" spans="1:7">
      <c r="C29" t="str">
        <f t="shared" si="0"/>
        <v/>
      </c>
    </row>
    <row r="30" spans="1:7">
      <c r="C30" t="str">
        <f t="shared" si="0"/>
        <v/>
      </c>
    </row>
    <row r="31" spans="1:7">
      <c r="C31" t="str">
        <f t="shared" si="0"/>
        <v/>
      </c>
    </row>
    <row r="32" spans="1:7">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si="0"/>
        <v/>
      </c>
    </row>
    <row r="70" spans="3:3">
      <c r="C70" t="str">
        <f t="shared" ref="C70:C133" si="2">IF(B70&lt;&gt;"",LEN(B70),"")</f>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si="2"/>
        <v/>
      </c>
    </row>
    <row r="134" spans="3:3">
      <c r="C134" t="str">
        <f t="shared" ref="C134:C168" si="3">IF(B134&lt;&gt;"",LEN(B134),"")</f>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row r="168" spans="3:3">
      <c r="C168" t="str">
        <f t="shared" si="3"/>
        <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27048-5CC2-4DBA-ABE7-3CC73015DE70}">
  <sheetPr codeName="Sheet8"/>
  <dimension ref="A1:K167"/>
  <sheetViews>
    <sheetView zoomScale="85" zoomScaleNormal="85"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64.625" style="1" customWidth="1"/>
    <col min="3" max="3" width="9.75" customWidth="1"/>
  </cols>
  <sheetData>
    <row r="1" spans="1:11">
      <c r="A1" s="2" t="s">
        <v>0</v>
      </c>
      <c r="B1" s="1" t="s">
        <v>132</v>
      </c>
    </row>
    <row r="2" spans="1:11">
      <c r="A2" s="2" t="s">
        <v>2</v>
      </c>
      <c r="B2" s="3" t="s">
        <v>164</v>
      </c>
      <c r="D2">
        <f>SUM(D4:D17)</f>
        <v>29</v>
      </c>
      <c r="E2">
        <f>SUM(E4:E1000)</f>
        <v>50</v>
      </c>
    </row>
    <row r="3" spans="1:11">
      <c r="A3" s="2" t="s">
        <v>1</v>
      </c>
      <c r="B3" s="1" t="s">
        <v>3</v>
      </c>
      <c r="C3" t="s">
        <v>6</v>
      </c>
      <c r="D3" t="s">
        <v>4</v>
      </c>
      <c r="E3" t="s">
        <v>5</v>
      </c>
    </row>
    <row r="4" spans="1:11">
      <c r="A4" s="2" t="s">
        <v>21</v>
      </c>
      <c r="B4" s="1" t="s">
        <v>181</v>
      </c>
      <c r="C4">
        <f>IF(B4&lt;&gt;"",LEN(B4),"")</f>
        <v>13</v>
      </c>
      <c r="D4">
        <f>E4*F4</f>
        <v>3</v>
      </c>
      <c r="E4">
        <v>3</v>
      </c>
      <c r="F4">
        <v>1</v>
      </c>
      <c r="G4" t="s">
        <v>165</v>
      </c>
      <c r="I4" t="s">
        <v>172</v>
      </c>
      <c r="K4" t="s">
        <v>178</v>
      </c>
    </row>
    <row r="5" spans="1:11">
      <c r="B5" s="1" t="s">
        <v>182</v>
      </c>
      <c r="C5">
        <f t="shared" ref="C5:C68" si="0">IF(B5&lt;&gt;"",LEN(B5),"")</f>
        <v>3</v>
      </c>
      <c r="D5">
        <f t="shared" ref="D5:D17" si="1">E5*F5</f>
        <v>3</v>
      </c>
      <c r="E5">
        <v>3</v>
      </c>
      <c r="F5">
        <v>1</v>
      </c>
      <c r="G5" t="s">
        <v>166</v>
      </c>
      <c r="I5" t="s">
        <v>173</v>
      </c>
      <c r="K5" t="s">
        <v>179</v>
      </c>
    </row>
    <row r="6" spans="1:11">
      <c r="B6" s="1" t="s">
        <v>183</v>
      </c>
      <c r="C6">
        <f t="shared" si="0"/>
        <v>3</v>
      </c>
      <c r="D6">
        <f t="shared" si="1"/>
        <v>3</v>
      </c>
      <c r="E6">
        <v>3</v>
      </c>
      <c r="F6">
        <v>1</v>
      </c>
      <c r="G6" t="s">
        <v>167</v>
      </c>
      <c r="I6" t="s">
        <v>174</v>
      </c>
      <c r="K6" t="s">
        <v>180</v>
      </c>
    </row>
    <row r="7" spans="1:11">
      <c r="B7" s="1" t="s">
        <v>184</v>
      </c>
      <c r="C7">
        <f t="shared" si="0"/>
        <v>23</v>
      </c>
      <c r="D7">
        <f t="shared" si="1"/>
        <v>3</v>
      </c>
      <c r="E7">
        <v>6</v>
      </c>
      <c r="F7">
        <v>0.5</v>
      </c>
      <c r="G7" t="s">
        <v>168</v>
      </c>
      <c r="I7" t="s">
        <v>175</v>
      </c>
      <c r="K7" t="s">
        <v>197</v>
      </c>
    </row>
    <row r="8" spans="1:11" ht="37.5">
      <c r="A8" s="2" t="s">
        <v>31</v>
      </c>
      <c r="B8" s="1" t="s">
        <v>185</v>
      </c>
      <c r="C8">
        <f t="shared" si="0"/>
        <v>67</v>
      </c>
      <c r="D8">
        <f t="shared" si="1"/>
        <v>5</v>
      </c>
      <c r="E8">
        <v>5</v>
      </c>
      <c r="F8">
        <v>1</v>
      </c>
      <c r="G8" t="s">
        <v>169</v>
      </c>
      <c r="I8" t="s">
        <v>176</v>
      </c>
      <c r="K8" t="s">
        <v>198</v>
      </c>
    </row>
    <row r="9" spans="1:11" ht="37.5">
      <c r="A9" s="2" t="s">
        <v>35</v>
      </c>
      <c r="B9" s="1" t="s">
        <v>186</v>
      </c>
      <c r="C9">
        <f t="shared" si="0"/>
        <v>38</v>
      </c>
      <c r="D9">
        <f t="shared" si="1"/>
        <v>5</v>
      </c>
      <c r="E9">
        <v>5</v>
      </c>
      <c r="F9">
        <v>1</v>
      </c>
      <c r="G9" t="s">
        <v>170</v>
      </c>
      <c r="I9" t="s">
        <v>177</v>
      </c>
      <c r="K9" t="s">
        <v>199</v>
      </c>
    </row>
    <row r="10" spans="1:11">
      <c r="B10" s="1" t="s">
        <v>187</v>
      </c>
      <c r="C10">
        <f t="shared" si="0"/>
        <v>12</v>
      </c>
      <c r="D10">
        <f t="shared" si="1"/>
        <v>0</v>
      </c>
      <c r="E10">
        <v>3</v>
      </c>
      <c r="F10">
        <v>0</v>
      </c>
      <c r="G10" t="s">
        <v>171</v>
      </c>
      <c r="I10" t="s">
        <v>200</v>
      </c>
      <c r="K10" t="s">
        <v>201</v>
      </c>
    </row>
    <row r="11" spans="1:11">
      <c r="B11" s="1" t="s">
        <v>188</v>
      </c>
      <c r="C11">
        <f t="shared" si="0"/>
        <v>3</v>
      </c>
      <c r="D11">
        <f t="shared" si="1"/>
        <v>0</v>
      </c>
      <c r="E11">
        <v>3</v>
      </c>
      <c r="F11">
        <v>0</v>
      </c>
    </row>
    <row r="12" spans="1:11">
      <c r="B12" s="1" t="s">
        <v>189</v>
      </c>
      <c r="C12">
        <f t="shared" si="0"/>
        <v>3</v>
      </c>
      <c r="D12">
        <f t="shared" si="1"/>
        <v>3</v>
      </c>
      <c r="E12">
        <v>3</v>
      </c>
      <c r="F12">
        <v>1</v>
      </c>
    </row>
    <row r="13" spans="1:11">
      <c r="B13" s="1" t="s">
        <v>190</v>
      </c>
      <c r="C13">
        <f t="shared" si="0"/>
        <v>3</v>
      </c>
      <c r="D13">
        <f t="shared" si="1"/>
        <v>0</v>
      </c>
      <c r="E13">
        <v>3</v>
      </c>
      <c r="F13">
        <v>0</v>
      </c>
    </row>
    <row r="14" spans="1:11">
      <c r="B14" s="1" t="s">
        <v>191</v>
      </c>
      <c r="C14">
        <f t="shared" si="0"/>
        <v>23</v>
      </c>
      <c r="D14">
        <f t="shared" si="1"/>
        <v>0</v>
      </c>
      <c r="E14">
        <v>5</v>
      </c>
      <c r="F14">
        <v>0</v>
      </c>
    </row>
    <row r="15" spans="1:11" ht="37.5">
      <c r="B15" s="1" t="s">
        <v>192</v>
      </c>
      <c r="C15">
        <f t="shared" si="0"/>
        <v>40</v>
      </c>
      <c r="D15">
        <f t="shared" si="1"/>
        <v>0</v>
      </c>
    </row>
    <row r="16" spans="1:11">
      <c r="A16" s="2" t="s">
        <v>193</v>
      </c>
      <c r="B16" s="1" t="s">
        <v>194</v>
      </c>
      <c r="C16">
        <f t="shared" si="0"/>
        <v>12</v>
      </c>
      <c r="D16">
        <f t="shared" si="1"/>
        <v>4</v>
      </c>
      <c r="E16">
        <v>4</v>
      </c>
      <c r="F16">
        <v>1</v>
      </c>
    </row>
    <row r="17" spans="1:6">
      <c r="B17" s="1" t="s">
        <v>195</v>
      </c>
      <c r="C17">
        <f t="shared" si="0"/>
        <v>13</v>
      </c>
      <c r="D17">
        <f t="shared" si="1"/>
        <v>0</v>
      </c>
      <c r="E17">
        <v>4</v>
      </c>
      <c r="F17">
        <v>0</v>
      </c>
    </row>
    <row r="18" spans="1:6">
      <c r="C18" t="str">
        <f t="shared" si="0"/>
        <v/>
      </c>
    </row>
    <row r="19" spans="1:6">
      <c r="B19" s="1" t="s">
        <v>196</v>
      </c>
      <c r="C19">
        <f t="shared" si="0"/>
        <v>5</v>
      </c>
    </row>
    <row r="20" spans="1:6" ht="37.5">
      <c r="A20" s="2" t="s">
        <v>21</v>
      </c>
      <c r="B20" s="1" t="s">
        <v>202</v>
      </c>
      <c r="C20">
        <f t="shared" si="0"/>
        <v>42</v>
      </c>
      <c r="D20">
        <v>1</v>
      </c>
    </row>
    <row r="21" spans="1:6" ht="37.5">
      <c r="A21" s="2" t="s">
        <v>31</v>
      </c>
      <c r="B21" s="1" t="s">
        <v>203</v>
      </c>
      <c r="C21">
        <f t="shared" si="0"/>
        <v>62</v>
      </c>
      <c r="D21">
        <v>1</v>
      </c>
    </row>
    <row r="22" spans="1:6" ht="37.5">
      <c r="A22" s="2" t="s">
        <v>35</v>
      </c>
      <c r="B22" s="1" t="s">
        <v>204</v>
      </c>
      <c r="C22">
        <f t="shared" si="0"/>
        <v>68</v>
      </c>
      <c r="D22">
        <v>1</v>
      </c>
    </row>
    <row r="23" spans="1:6">
      <c r="B23" s="1" t="s">
        <v>205</v>
      </c>
      <c r="C23">
        <f t="shared" si="0"/>
        <v>9</v>
      </c>
      <c r="D23">
        <v>1</v>
      </c>
    </row>
    <row r="24" spans="1:6">
      <c r="B24" s="1" t="s">
        <v>206</v>
      </c>
      <c r="C24">
        <f t="shared" si="0"/>
        <v>3</v>
      </c>
      <c r="D24">
        <v>1</v>
      </c>
    </row>
    <row r="25" spans="1:6">
      <c r="B25" s="1" t="s">
        <v>189</v>
      </c>
      <c r="C25">
        <f t="shared" si="0"/>
        <v>3</v>
      </c>
      <c r="D25">
        <v>1</v>
      </c>
    </row>
    <row r="26" spans="1:6">
      <c r="B26" s="1" t="s">
        <v>207</v>
      </c>
      <c r="C26">
        <f t="shared" si="0"/>
        <v>3</v>
      </c>
      <c r="D26">
        <v>1</v>
      </c>
    </row>
    <row r="27" spans="1:6" ht="37.5">
      <c r="B27" s="1" t="s">
        <v>208</v>
      </c>
      <c r="C27">
        <f t="shared" si="0"/>
        <v>49</v>
      </c>
      <c r="D27">
        <v>1</v>
      </c>
    </row>
    <row r="28" spans="1:6">
      <c r="C28" t="str">
        <f t="shared" si="0"/>
        <v/>
      </c>
    </row>
    <row r="29" spans="1:6">
      <c r="C29" t="str">
        <f t="shared" si="0"/>
        <v/>
      </c>
    </row>
    <row r="30" spans="1:6">
      <c r="C30" t="str">
        <f t="shared" si="0"/>
        <v/>
      </c>
    </row>
    <row r="31" spans="1:6">
      <c r="C31" t="str">
        <f t="shared" si="0"/>
        <v/>
      </c>
    </row>
    <row r="32" spans="1:6">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AD93AB-A047-4718-92F9-55CCACE70580}">
  <sheetPr codeName="Sheet9"/>
  <dimension ref="A1:M167"/>
  <sheetViews>
    <sheetView zoomScale="85" zoomScaleNormal="85"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62.625" style="1" customWidth="1"/>
    <col min="3" max="3" width="9.75" customWidth="1"/>
  </cols>
  <sheetData>
    <row r="1" spans="1:13">
      <c r="A1" s="2" t="s">
        <v>0</v>
      </c>
      <c r="B1" s="1" t="s">
        <v>132</v>
      </c>
    </row>
    <row r="2" spans="1:13">
      <c r="A2" s="2" t="s">
        <v>2</v>
      </c>
      <c r="B2" s="3" t="s">
        <v>237</v>
      </c>
      <c r="D2">
        <f>SUM(D4:D12)</f>
        <v>25</v>
      </c>
      <c r="E2">
        <f>SUM(E4:E12)</f>
        <v>50</v>
      </c>
    </row>
    <row r="3" spans="1:13">
      <c r="A3" s="2" t="s">
        <v>1</v>
      </c>
      <c r="B3" s="1" t="s">
        <v>3</v>
      </c>
      <c r="C3" t="s">
        <v>6</v>
      </c>
      <c r="D3" t="s">
        <v>4</v>
      </c>
      <c r="E3" t="s">
        <v>5</v>
      </c>
    </row>
    <row r="4" spans="1:13">
      <c r="A4" s="2" t="s">
        <v>80</v>
      </c>
      <c r="B4" s="1" t="s">
        <v>92</v>
      </c>
      <c r="C4">
        <f>IF(B4&lt;&gt;"",LEN(B4),"")</f>
        <v>1</v>
      </c>
      <c r="D4">
        <f>E4*F4</f>
        <v>6</v>
      </c>
      <c r="E4">
        <v>6</v>
      </c>
      <c r="F4">
        <v>1</v>
      </c>
      <c r="G4" t="s">
        <v>223</v>
      </c>
      <c r="I4" t="s">
        <v>229</v>
      </c>
      <c r="K4" t="s">
        <v>254</v>
      </c>
      <c r="M4" t="s">
        <v>260</v>
      </c>
    </row>
    <row r="5" spans="1:13">
      <c r="A5" s="2" t="s">
        <v>84</v>
      </c>
      <c r="B5" s="1" t="s">
        <v>226</v>
      </c>
      <c r="C5">
        <f t="shared" ref="C5:C68" si="0">IF(B5&lt;&gt;"",LEN(B5),"")</f>
        <v>25</v>
      </c>
      <c r="D5">
        <f t="shared" ref="D5:D11" si="1">E5*F5</f>
        <v>0</v>
      </c>
      <c r="E5">
        <v>6</v>
      </c>
      <c r="F5">
        <v>0</v>
      </c>
      <c r="G5" t="s">
        <v>224</v>
      </c>
      <c r="I5" t="s">
        <v>230</v>
      </c>
      <c r="K5" t="s">
        <v>255</v>
      </c>
    </row>
    <row r="6" spans="1:13" ht="37.5">
      <c r="A6" s="2" t="s">
        <v>227</v>
      </c>
      <c r="B6" s="1" t="s">
        <v>228</v>
      </c>
      <c r="C6">
        <f t="shared" si="0"/>
        <v>48</v>
      </c>
      <c r="D6">
        <f t="shared" si="1"/>
        <v>4</v>
      </c>
      <c r="E6">
        <v>8</v>
      </c>
      <c r="F6">
        <v>0.5</v>
      </c>
      <c r="G6" t="s">
        <v>225</v>
      </c>
      <c r="I6" t="s">
        <v>251</v>
      </c>
      <c r="K6" t="s">
        <v>256</v>
      </c>
    </row>
    <row r="7" spans="1:13">
      <c r="A7" s="2" t="s">
        <v>37</v>
      </c>
      <c r="B7" s="1" t="s">
        <v>231</v>
      </c>
      <c r="C7">
        <f t="shared" si="0"/>
        <v>30</v>
      </c>
      <c r="D7">
        <f t="shared" si="1"/>
        <v>6</v>
      </c>
      <c r="E7">
        <v>6</v>
      </c>
      <c r="F7">
        <v>1</v>
      </c>
      <c r="G7" t="s">
        <v>262</v>
      </c>
      <c r="I7" t="s">
        <v>252</v>
      </c>
      <c r="K7" t="s">
        <v>257</v>
      </c>
    </row>
    <row r="8" spans="1:13">
      <c r="A8" s="2" t="s">
        <v>41</v>
      </c>
      <c r="B8" s="1" t="s">
        <v>232</v>
      </c>
      <c r="C8">
        <f t="shared" si="0"/>
        <v>33</v>
      </c>
      <c r="D8">
        <f t="shared" si="1"/>
        <v>6</v>
      </c>
      <c r="E8">
        <v>6</v>
      </c>
      <c r="F8">
        <v>1</v>
      </c>
      <c r="I8" t="s">
        <v>253</v>
      </c>
      <c r="K8" t="s">
        <v>258</v>
      </c>
    </row>
    <row r="9" spans="1:13">
      <c r="A9" s="2" t="s">
        <v>44</v>
      </c>
      <c r="B9" s="1" t="s">
        <v>233</v>
      </c>
      <c r="C9">
        <f t="shared" si="0"/>
        <v>23</v>
      </c>
      <c r="D9">
        <f t="shared" si="1"/>
        <v>3</v>
      </c>
      <c r="E9">
        <v>6</v>
      </c>
      <c r="F9">
        <v>0.5</v>
      </c>
      <c r="K9" t="s">
        <v>259</v>
      </c>
    </row>
    <row r="10" spans="1:13">
      <c r="A10" s="2" t="s">
        <v>234</v>
      </c>
      <c r="B10" s="1" t="s">
        <v>235</v>
      </c>
      <c r="C10">
        <f t="shared" si="0"/>
        <v>29</v>
      </c>
      <c r="D10">
        <f t="shared" si="1"/>
        <v>0</v>
      </c>
      <c r="E10">
        <v>6</v>
      </c>
      <c r="F10">
        <v>0</v>
      </c>
    </row>
    <row r="11" spans="1:13">
      <c r="B11" s="1" t="s">
        <v>236</v>
      </c>
      <c r="C11">
        <f t="shared" si="0"/>
        <v>34</v>
      </c>
      <c r="D11">
        <f t="shared" si="1"/>
        <v>0</v>
      </c>
      <c r="E11">
        <v>6</v>
      </c>
      <c r="F11">
        <v>0</v>
      </c>
    </row>
    <row r="12" spans="1:13">
      <c r="C12" t="str">
        <f t="shared" si="0"/>
        <v/>
      </c>
    </row>
    <row r="13" spans="1:13">
      <c r="A13" s="2" t="s">
        <v>250</v>
      </c>
      <c r="C13" t="str">
        <f t="shared" si="0"/>
        <v/>
      </c>
    </row>
    <row r="14" spans="1:13">
      <c r="A14" s="2" t="s">
        <v>261</v>
      </c>
      <c r="B14" s="1" t="s">
        <v>263</v>
      </c>
      <c r="C14">
        <f t="shared" si="0"/>
        <v>27</v>
      </c>
      <c r="D14">
        <v>1</v>
      </c>
    </row>
    <row r="15" spans="1:13" ht="37.5">
      <c r="A15" s="2" t="s">
        <v>264</v>
      </c>
      <c r="B15" s="1" t="s">
        <v>265</v>
      </c>
      <c r="C15">
        <f t="shared" si="0"/>
        <v>42</v>
      </c>
      <c r="D15">
        <v>0</v>
      </c>
    </row>
    <row r="16" spans="1:13" ht="37.5">
      <c r="B16" s="1" t="s">
        <v>265</v>
      </c>
      <c r="C16">
        <f t="shared" si="0"/>
        <v>42</v>
      </c>
    </row>
    <row r="17" spans="1:4" ht="37.5">
      <c r="A17" s="2" t="s">
        <v>266</v>
      </c>
      <c r="B17" s="1" t="s">
        <v>267</v>
      </c>
      <c r="C17">
        <f t="shared" si="0"/>
        <v>48</v>
      </c>
      <c r="D17">
        <v>1</v>
      </c>
    </row>
    <row r="18" spans="1:4" ht="37.5">
      <c r="A18" s="2" t="s">
        <v>268</v>
      </c>
      <c r="B18" s="1" t="s">
        <v>269</v>
      </c>
      <c r="C18">
        <f t="shared" si="0"/>
        <v>39</v>
      </c>
      <c r="D18">
        <v>1</v>
      </c>
    </row>
    <row r="19" spans="1:4">
      <c r="A19" s="2" t="s">
        <v>270</v>
      </c>
      <c r="B19" s="1" t="s">
        <v>271</v>
      </c>
      <c r="C19">
        <f t="shared" si="0"/>
        <v>22</v>
      </c>
      <c r="D19">
        <v>1</v>
      </c>
    </row>
    <row r="20" spans="1:4">
      <c r="A20" s="2" t="s">
        <v>272</v>
      </c>
      <c r="B20" s="1" t="s">
        <v>273</v>
      </c>
      <c r="C20">
        <f t="shared" si="0"/>
        <v>34</v>
      </c>
      <c r="D20">
        <v>1</v>
      </c>
    </row>
    <row r="21" spans="1:4">
      <c r="C21" t="str">
        <f t="shared" si="0"/>
        <v/>
      </c>
    </row>
    <row r="22" spans="1:4">
      <c r="C22" t="str">
        <f t="shared" si="0"/>
        <v/>
      </c>
    </row>
    <row r="23" spans="1:4">
      <c r="C23" t="str">
        <f t="shared" si="0"/>
        <v/>
      </c>
    </row>
    <row r="24" spans="1:4">
      <c r="C24" t="str">
        <f t="shared" si="0"/>
        <v/>
      </c>
    </row>
    <row r="25" spans="1:4">
      <c r="C25" t="str">
        <f t="shared" si="0"/>
        <v/>
      </c>
    </row>
    <row r="26" spans="1:4">
      <c r="C26" t="str">
        <f t="shared" si="0"/>
        <v/>
      </c>
    </row>
    <row r="27" spans="1:4">
      <c r="C27" t="str">
        <f t="shared" si="0"/>
        <v/>
      </c>
    </row>
    <row r="28" spans="1:4">
      <c r="C28" t="str">
        <f t="shared" si="0"/>
        <v/>
      </c>
    </row>
    <row r="29" spans="1:4">
      <c r="C29" t="str">
        <f t="shared" si="0"/>
        <v/>
      </c>
    </row>
    <row r="30" spans="1:4">
      <c r="C30" t="str">
        <f t="shared" si="0"/>
        <v/>
      </c>
    </row>
    <row r="31" spans="1:4">
      <c r="C31" t="str">
        <f t="shared" si="0"/>
        <v/>
      </c>
    </row>
    <row r="32" spans="1:4">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C785A-C2EF-4617-A4E7-D5AE5B311D2D}">
  <sheetPr codeName="Sheet10"/>
  <dimension ref="A1:K167"/>
  <sheetViews>
    <sheetView zoomScale="85" zoomScaleNormal="85" workbookViewId="0">
      <pane xSplit="1" ySplit="3" topLeftCell="B4" activePane="bottomRight" state="frozen"/>
      <selection pane="topRight" activeCell="B1" sqref="B1"/>
      <selection pane="bottomLeft" activeCell="A4" sqref="A4"/>
      <selection pane="bottomRight" activeCell="L11" sqref="L11"/>
    </sheetView>
  </sheetViews>
  <sheetFormatPr defaultRowHeight="18.75"/>
  <cols>
    <col min="1" max="1" width="9" style="2"/>
    <col min="2" max="2" width="51.75" style="1" customWidth="1"/>
    <col min="3" max="3" width="9.75" customWidth="1"/>
  </cols>
  <sheetData>
    <row r="1" spans="1:11">
      <c r="A1" s="2" t="s">
        <v>0</v>
      </c>
      <c r="B1" s="1" t="s">
        <v>132</v>
      </c>
    </row>
    <row r="2" spans="1:11">
      <c r="A2" s="2" t="s">
        <v>2</v>
      </c>
      <c r="B2" s="3" t="s">
        <v>133</v>
      </c>
      <c r="D2">
        <f>SUM(D4:D16)</f>
        <v>43</v>
      </c>
      <c r="E2">
        <f>SUM(E4:E16)</f>
        <v>50</v>
      </c>
    </row>
    <row r="3" spans="1:11">
      <c r="A3" s="2" t="s">
        <v>1</v>
      </c>
      <c r="B3" s="1" t="s">
        <v>3</v>
      </c>
      <c r="C3" t="s">
        <v>6</v>
      </c>
      <c r="D3" t="s">
        <v>4</v>
      </c>
      <c r="E3" t="s">
        <v>5</v>
      </c>
    </row>
    <row r="4" spans="1:11">
      <c r="A4" s="2" t="s">
        <v>21</v>
      </c>
      <c r="B4" s="1" t="s">
        <v>45</v>
      </c>
      <c r="C4">
        <f>IF(B4&lt;&gt;"",LEN(B4),"")</f>
        <v>3</v>
      </c>
      <c r="D4">
        <f>E4*F4</f>
        <v>3</v>
      </c>
      <c r="E4">
        <v>3</v>
      </c>
      <c r="F4">
        <v>1</v>
      </c>
      <c r="G4" t="s">
        <v>134</v>
      </c>
      <c r="I4" t="s">
        <v>243</v>
      </c>
      <c r="K4" t="s">
        <v>275</v>
      </c>
    </row>
    <row r="5" spans="1:11" ht="37.5">
      <c r="A5" s="2" t="s">
        <v>31</v>
      </c>
      <c r="B5" s="1" t="s">
        <v>240</v>
      </c>
      <c r="C5">
        <f t="shared" ref="C5:C68" si="0">IF(B5&lt;&gt;"",LEN(B5),"")</f>
        <v>39</v>
      </c>
      <c r="D5">
        <f t="shared" ref="D5:D15" si="1">E5*F5</f>
        <v>5</v>
      </c>
      <c r="E5">
        <v>5</v>
      </c>
      <c r="F5">
        <v>1</v>
      </c>
      <c r="G5" t="s">
        <v>238</v>
      </c>
      <c r="I5" t="s">
        <v>244</v>
      </c>
      <c r="K5" t="s">
        <v>276</v>
      </c>
    </row>
    <row r="6" spans="1:11">
      <c r="A6" s="2" t="s">
        <v>35</v>
      </c>
      <c r="B6" s="1" t="s">
        <v>98</v>
      </c>
      <c r="C6">
        <f t="shared" si="0"/>
        <v>1</v>
      </c>
      <c r="D6">
        <f t="shared" si="1"/>
        <v>3</v>
      </c>
      <c r="E6">
        <v>3</v>
      </c>
      <c r="F6">
        <v>1</v>
      </c>
      <c r="G6" t="s">
        <v>239</v>
      </c>
      <c r="I6" t="s">
        <v>134</v>
      </c>
      <c r="K6" t="s">
        <v>277</v>
      </c>
    </row>
    <row r="7" spans="1:11">
      <c r="A7" s="2" t="s">
        <v>63</v>
      </c>
      <c r="B7" s="1" t="s">
        <v>92</v>
      </c>
      <c r="C7">
        <f t="shared" si="0"/>
        <v>1</v>
      </c>
      <c r="D7">
        <f t="shared" si="1"/>
        <v>3</v>
      </c>
      <c r="E7">
        <v>3</v>
      </c>
      <c r="F7">
        <v>1</v>
      </c>
      <c r="G7" t="s">
        <v>139</v>
      </c>
      <c r="I7" t="s">
        <v>247</v>
      </c>
      <c r="K7" t="s">
        <v>278</v>
      </c>
    </row>
    <row r="8" spans="1:11">
      <c r="A8" s="2" t="s">
        <v>65</v>
      </c>
      <c r="B8" s="1" t="s">
        <v>242</v>
      </c>
      <c r="C8">
        <f t="shared" si="0"/>
        <v>26</v>
      </c>
      <c r="D8">
        <f t="shared" si="1"/>
        <v>5</v>
      </c>
      <c r="E8">
        <v>5</v>
      </c>
      <c r="F8">
        <v>1</v>
      </c>
      <c r="G8" t="s">
        <v>241</v>
      </c>
      <c r="K8" t="s">
        <v>279</v>
      </c>
    </row>
    <row r="9" spans="1:11" ht="37.5">
      <c r="A9" s="2" t="s">
        <v>150</v>
      </c>
      <c r="B9" s="1" t="s">
        <v>222</v>
      </c>
      <c r="C9">
        <f t="shared" si="0"/>
        <v>35</v>
      </c>
      <c r="D9">
        <f t="shared" si="1"/>
        <v>0</v>
      </c>
      <c r="E9">
        <v>5</v>
      </c>
      <c r="F9">
        <v>0</v>
      </c>
      <c r="K9" t="s">
        <v>280</v>
      </c>
    </row>
    <row r="10" spans="1:11">
      <c r="A10" s="2" t="s">
        <v>153</v>
      </c>
      <c r="B10" s="1" t="s">
        <v>98</v>
      </c>
      <c r="C10">
        <f t="shared" si="0"/>
        <v>1</v>
      </c>
      <c r="D10">
        <f t="shared" si="1"/>
        <v>3</v>
      </c>
      <c r="E10">
        <v>3</v>
      </c>
      <c r="F10">
        <v>1</v>
      </c>
    </row>
    <row r="11" spans="1:11" ht="37.5">
      <c r="A11" s="2" t="s">
        <v>37</v>
      </c>
      <c r="B11" s="1" t="s">
        <v>245</v>
      </c>
      <c r="C11">
        <f t="shared" si="0"/>
        <v>44</v>
      </c>
      <c r="D11">
        <f t="shared" si="1"/>
        <v>5</v>
      </c>
      <c r="E11">
        <v>5</v>
      </c>
      <c r="F11">
        <v>1</v>
      </c>
    </row>
    <row r="12" spans="1:11">
      <c r="A12" s="2" t="s">
        <v>41</v>
      </c>
      <c r="B12" s="1" t="s">
        <v>246</v>
      </c>
      <c r="C12">
        <f t="shared" si="0"/>
        <v>13</v>
      </c>
      <c r="D12">
        <f t="shared" si="1"/>
        <v>3</v>
      </c>
      <c r="E12">
        <v>5</v>
      </c>
      <c r="F12">
        <v>0.6</v>
      </c>
    </row>
    <row r="13" spans="1:11">
      <c r="A13" s="2" t="s">
        <v>44</v>
      </c>
      <c r="B13" s="1" t="s">
        <v>248</v>
      </c>
      <c r="C13">
        <f t="shared" si="0"/>
        <v>14</v>
      </c>
      <c r="D13">
        <f t="shared" si="1"/>
        <v>5</v>
      </c>
      <c r="E13">
        <v>5</v>
      </c>
      <c r="F13">
        <v>1</v>
      </c>
    </row>
    <row r="14" spans="1:11">
      <c r="A14" s="2" t="s">
        <v>99</v>
      </c>
      <c r="B14" s="1" t="s">
        <v>159</v>
      </c>
      <c r="C14">
        <f t="shared" si="0"/>
        <v>11</v>
      </c>
      <c r="D14">
        <f t="shared" si="1"/>
        <v>4</v>
      </c>
      <c r="E14">
        <v>4</v>
      </c>
      <c r="F14">
        <v>1</v>
      </c>
    </row>
    <row r="15" spans="1:11">
      <c r="B15" s="1" t="s">
        <v>249</v>
      </c>
      <c r="C15">
        <f t="shared" si="0"/>
        <v>11</v>
      </c>
      <c r="D15">
        <f t="shared" si="1"/>
        <v>4</v>
      </c>
      <c r="E15">
        <v>4</v>
      </c>
      <c r="F15">
        <v>1</v>
      </c>
    </row>
    <row r="16" spans="1:11">
      <c r="C16" t="str">
        <f t="shared" si="0"/>
        <v/>
      </c>
    </row>
    <row r="17" spans="1:3">
      <c r="C17" t="str">
        <f t="shared" si="0"/>
        <v/>
      </c>
    </row>
    <row r="18" spans="1:3">
      <c r="C18" t="str">
        <f t="shared" si="0"/>
        <v/>
      </c>
    </row>
    <row r="19" spans="1:3">
      <c r="A19" s="2" t="s">
        <v>274</v>
      </c>
      <c r="C19" t="str">
        <f t="shared" si="0"/>
        <v/>
      </c>
    </row>
    <row r="20" spans="1:3" ht="37.5">
      <c r="A20" s="2" t="s">
        <v>150</v>
      </c>
      <c r="B20" s="1" t="s">
        <v>281</v>
      </c>
      <c r="C20">
        <f t="shared" si="0"/>
        <v>46</v>
      </c>
    </row>
    <row r="21" spans="1:3">
      <c r="A21" s="2" t="s">
        <v>41</v>
      </c>
      <c r="B21" s="1" t="s">
        <v>282</v>
      </c>
      <c r="C21">
        <f t="shared" si="0"/>
        <v>13</v>
      </c>
    </row>
    <row r="22" spans="1:3">
      <c r="C22" t="str">
        <f t="shared" si="0"/>
        <v/>
      </c>
    </row>
    <row r="23" spans="1:3">
      <c r="C23" t="str">
        <f t="shared" si="0"/>
        <v/>
      </c>
    </row>
    <row r="24" spans="1:3">
      <c r="C24" t="str">
        <f t="shared" si="0"/>
        <v/>
      </c>
    </row>
    <row r="25" spans="1:3">
      <c r="C25" t="str">
        <f t="shared" si="0"/>
        <v/>
      </c>
    </row>
    <row r="26" spans="1:3">
      <c r="C26" t="str">
        <f t="shared" si="0"/>
        <v/>
      </c>
    </row>
    <row r="27" spans="1:3">
      <c r="C27" t="str">
        <f t="shared" si="0"/>
        <v/>
      </c>
    </row>
    <row r="28" spans="1:3">
      <c r="C28" t="str">
        <f t="shared" si="0"/>
        <v/>
      </c>
    </row>
    <row r="29" spans="1:3">
      <c r="C29" t="str">
        <f t="shared" si="0"/>
        <v/>
      </c>
    </row>
    <row r="30" spans="1:3">
      <c r="C30" t="str">
        <f t="shared" si="0"/>
        <v/>
      </c>
    </row>
    <row r="31" spans="1:3">
      <c r="C31" t="str">
        <f t="shared" si="0"/>
        <v/>
      </c>
    </row>
    <row r="32" spans="1: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3AE82C-2442-499C-96BD-4505536812F2}">
  <sheetPr codeName="Sheet11"/>
  <dimension ref="A1:M167"/>
  <sheetViews>
    <sheetView tabSelected="1" zoomScaleNormal="100" workbookViewId="0">
      <pane xSplit="1" ySplit="3" topLeftCell="B10" activePane="bottomRight" state="frozen"/>
      <selection pane="topRight" activeCell="B1" sqref="B1"/>
      <selection pane="bottomLeft" activeCell="A4" sqref="A4"/>
      <selection pane="bottomRight" activeCell="E24" sqref="E24"/>
    </sheetView>
  </sheetViews>
  <sheetFormatPr defaultRowHeight="18.75"/>
  <cols>
    <col min="1" max="1" width="9" style="2"/>
    <col min="2" max="2" width="61" style="1" customWidth="1"/>
    <col min="3" max="3" width="9.75" customWidth="1"/>
  </cols>
  <sheetData>
    <row r="1" spans="1:13">
      <c r="A1" s="2" t="s">
        <v>0</v>
      </c>
      <c r="B1" s="1" t="s">
        <v>132</v>
      </c>
    </row>
    <row r="2" spans="1:13">
      <c r="A2" s="2" t="s">
        <v>2</v>
      </c>
      <c r="B2" s="3" t="s">
        <v>164</v>
      </c>
      <c r="D2">
        <f>SUM(D4:D1000)</f>
        <v>36</v>
      </c>
      <c r="E2">
        <f>SUM(E4:E1000)</f>
        <v>50</v>
      </c>
    </row>
    <row r="3" spans="1:13">
      <c r="A3" s="2" t="s">
        <v>1</v>
      </c>
      <c r="B3" s="1" t="s">
        <v>3</v>
      </c>
      <c r="C3" t="s">
        <v>6</v>
      </c>
      <c r="D3" t="s">
        <v>4</v>
      </c>
      <c r="E3" t="s">
        <v>5</v>
      </c>
    </row>
    <row r="4" spans="1:13">
      <c r="A4" s="2" t="s">
        <v>300</v>
      </c>
      <c r="B4" s="1" t="s">
        <v>303</v>
      </c>
      <c r="C4">
        <f>IF(B4&lt;&gt;"",LEN(B4),"")</f>
        <v>17</v>
      </c>
      <c r="D4">
        <f>E4*F4</f>
        <v>3</v>
      </c>
      <c r="E4">
        <v>3</v>
      </c>
      <c r="F4">
        <v>1</v>
      </c>
      <c r="G4" t="s">
        <v>283</v>
      </c>
      <c r="I4" t="s">
        <v>288</v>
      </c>
      <c r="K4" t="s">
        <v>293</v>
      </c>
      <c r="M4" t="s">
        <v>298</v>
      </c>
    </row>
    <row r="5" spans="1:13">
      <c r="B5" s="1" t="s">
        <v>304</v>
      </c>
      <c r="C5">
        <f t="shared" ref="C5:C68" si="0">IF(B5&lt;&gt;"",LEN(B5),"")</f>
        <v>4</v>
      </c>
      <c r="D5">
        <f t="shared" ref="D5:D16" si="1">E5*F5</f>
        <v>3</v>
      </c>
      <c r="E5">
        <v>3</v>
      </c>
      <c r="F5">
        <v>1</v>
      </c>
      <c r="G5" t="s">
        <v>284</v>
      </c>
      <c r="I5" t="s">
        <v>289</v>
      </c>
      <c r="K5" t="s">
        <v>294</v>
      </c>
      <c r="M5" t="s">
        <v>299</v>
      </c>
    </row>
    <row r="6" spans="1:13">
      <c r="B6" s="1" t="s">
        <v>305</v>
      </c>
      <c r="C6">
        <f t="shared" si="0"/>
        <v>4</v>
      </c>
      <c r="D6">
        <f t="shared" si="1"/>
        <v>3</v>
      </c>
      <c r="E6">
        <v>3</v>
      </c>
      <c r="F6">
        <v>1</v>
      </c>
      <c r="G6" t="s">
        <v>285</v>
      </c>
      <c r="I6" t="s">
        <v>290</v>
      </c>
      <c r="K6" t="s">
        <v>295</v>
      </c>
      <c r="M6" t="s">
        <v>298</v>
      </c>
    </row>
    <row r="7" spans="1:13">
      <c r="B7" s="1" t="s">
        <v>306</v>
      </c>
      <c r="C7">
        <f t="shared" si="0"/>
        <v>35</v>
      </c>
      <c r="D7">
        <f t="shared" si="1"/>
        <v>4</v>
      </c>
      <c r="E7">
        <v>4</v>
      </c>
      <c r="F7">
        <v>1</v>
      </c>
      <c r="G7" t="s">
        <v>286</v>
      </c>
      <c r="I7" t="s">
        <v>291</v>
      </c>
      <c r="K7" t="s">
        <v>296</v>
      </c>
      <c r="M7" t="s">
        <v>301</v>
      </c>
    </row>
    <row r="8" spans="1:13" ht="56.25">
      <c r="A8" s="2" t="s">
        <v>307</v>
      </c>
      <c r="B8" s="1" t="s">
        <v>310</v>
      </c>
      <c r="C8">
        <f t="shared" si="0"/>
        <v>71</v>
      </c>
      <c r="D8">
        <f t="shared" si="1"/>
        <v>6</v>
      </c>
      <c r="E8">
        <v>6</v>
      </c>
      <c r="F8">
        <v>1</v>
      </c>
      <c r="G8" t="s">
        <v>287</v>
      </c>
      <c r="I8" t="s">
        <v>292</v>
      </c>
      <c r="K8" t="s">
        <v>297</v>
      </c>
      <c r="M8" t="s">
        <v>302</v>
      </c>
    </row>
    <row r="9" spans="1:13" ht="37.5">
      <c r="A9" s="2" t="s">
        <v>316</v>
      </c>
      <c r="B9" s="1" t="s">
        <v>311</v>
      </c>
      <c r="C9">
        <f t="shared" si="0"/>
        <v>55</v>
      </c>
      <c r="D9">
        <f t="shared" si="1"/>
        <v>0</v>
      </c>
      <c r="E9">
        <v>5</v>
      </c>
      <c r="F9">
        <v>0</v>
      </c>
      <c r="G9" t="s">
        <v>308</v>
      </c>
      <c r="I9" t="s">
        <v>309</v>
      </c>
      <c r="K9" t="s">
        <v>321</v>
      </c>
    </row>
    <row r="10" spans="1:13">
      <c r="B10" s="1" t="s">
        <v>312</v>
      </c>
      <c r="C10">
        <f t="shared" si="0"/>
        <v>12</v>
      </c>
      <c r="D10">
        <f t="shared" si="1"/>
        <v>0</v>
      </c>
      <c r="E10">
        <v>3</v>
      </c>
      <c r="F10">
        <v>0</v>
      </c>
    </row>
    <row r="11" spans="1:13">
      <c r="B11" s="1" t="s">
        <v>313</v>
      </c>
      <c r="C11">
        <f t="shared" si="0"/>
        <v>4</v>
      </c>
      <c r="D11">
        <f t="shared" si="1"/>
        <v>3</v>
      </c>
      <c r="E11">
        <v>3</v>
      </c>
      <c r="F11">
        <v>1</v>
      </c>
      <c r="G11" t="s">
        <v>322</v>
      </c>
    </row>
    <row r="12" spans="1:13">
      <c r="B12" s="1" t="s">
        <v>314</v>
      </c>
      <c r="C12">
        <f t="shared" si="0"/>
        <v>5</v>
      </c>
      <c r="D12">
        <f t="shared" si="1"/>
        <v>0</v>
      </c>
      <c r="E12">
        <v>3</v>
      </c>
      <c r="F12">
        <v>0</v>
      </c>
      <c r="G12" t="s">
        <v>323</v>
      </c>
    </row>
    <row r="13" spans="1:13">
      <c r="B13" s="1" t="s">
        <v>315</v>
      </c>
      <c r="C13">
        <f t="shared" si="0"/>
        <v>4</v>
      </c>
      <c r="D13">
        <f t="shared" si="1"/>
        <v>0</v>
      </c>
      <c r="E13">
        <v>3</v>
      </c>
      <c r="F13">
        <v>0</v>
      </c>
    </row>
    <row r="14" spans="1:13" ht="37.5">
      <c r="B14" s="1" t="s">
        <v>317</v>
      </c>
      <c r="C14">
        <f t="shared" si="0"/>
        <v>38</v>
      </c>
      <c r="D14">
        <f t="shared" si="1"/>
        <v>6</v>
      </c>
      <c r="E14">
        <v>6</v>
      </c>
      <c r="F14">
        <v>1</v>
      </c>
    </row>
    <row r="15" spans="1:13">
      <c r="A15" s="2" t="s">
        <v>318</v>
      </c>
      <c r="B15" s="1" t="s">
        <v>319</v>
      </c>
      <c r="C15">
        <f t="shared" si="0"/>
        <v>12</v>
      </c>
      <c r="D15">
        <f t="shared" si="1"/>
        <v>4</v>
      </c>
      <c r="E15">
        <v>4</v>
      </c>
      <c r="F15">
        <v>1</v>
      </c>
    </row>
    <row r="16" spans="1:13">
      <c r="B16" s="1" t="s">
        <v>320</v>
      </c>
      <c r="C16">
        <f t="shared" si="0"/>
        <v>10</v>
      </c>
      <c r="D16">
        <f t="shared" si="1"/>
        <v>4</v>
      </c>
      <c r="E16">
        <v>4</v>
      </c>
      <c r="F16">
        <v>1</v>
      </c>
    </row>
    <row r="17" spans="1:3">
      <c r="C17" t="str">
        <f t="shared" si="0"/>
        <v/>
      </c>
    </row>
    <row r="18" spans="1:3">
      <c r="A18" s="2" t="s">
        <v>1</v>
      </c>
      <c r="B18" s="1" t="s">
        <v>3</v>
      </c>
      <c r="C18" t="s">
        <v>6</v>
      </c>
    </row>
    <row r="19" spans="1:3" ht="37.5">
      <c r="A19" s="2" t="s">
        <v>31</v>
      </c>
      <c r="B19" s="1" t="s">
        <v>324</v>
      </c>
      <c r="C19">
        <v>1</v>
      </c>
    </row>
    <row r="20" spans="1:3" ht="37.5">
      <c r="A20" s="2" t="s">
        <v>35</v>
      </c>
      <c r="B20" s="1" t="s">
        <v>325</v>
      </c>
      <c r="C20">
        <v>1</v>
      </c>
    </row>
    <row r="21" spans="1:3">
      <c r="B21" s="1" t="s">
        <v>326</v>
      </c>
      <c r="C21">
        <v>1</v>
      </c>
    </row>
    <row r="22" spans="1:3">
      <c r="B22" s="1" t="s">
        <v>327</v>
      </c>
      <c r="C22">
        <v>1</v>
      </c>
    </row>
    <row r="23" spans="1:3">
      <c r="B23" s="1" t="s">
        <v>328</v>
      </c>
      <c r="C23">
        <v>1</v>
      </c>
    </row>
    <row r="24" spans="1:3" ht="37.5">
      <c r="B24" s="1" t="s">
        <v>329</v>
      </c>
      <c r="C24">
        <v>1</v>
      </c>
    </row>
    <row r="25" spans="1:3">
      <c r="C25" t="str">
        <f t="shared" si="0"/>
        <v/>
      </c>
    </row>
    <row r="26" spans="1:3">
      <c r="C26" t="str">
        <f t="shared" si="0"/>
        <v/>
      </c>
    </row>
    <row r="27" spans="1:3">
      <c r="C27" t="str">
        <f t="shared" si="0"/>
        <v/>
      </c>
    </row>
    <row r="28" spans="1:3">
      <c r="C28" t="str">
        <f t="shared" si="0"/>
        <v/>
      </c>
    </row>
    <row r="29" spans="1:3">
      <c r="C29" t="str">
        <f t="shared" si="0"/>
        <v/>
      </c>
    </row>
    <row r="30" spans="1:3">
      <c r="C30" t="str">
        <f t="shared" si="0"/>
        <v/>
      </c>
    </row>
    <row r="31" spans="1:3">
      <c r="C31" t="str">
        <f t="shared" si="0"/>
        <v/>
      </c>
    </row>
    <row r="32" spans="1: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10</vt:i4>
      </vt:variant>
    </vt:vector>
  </HeadingPairs>
  <TitlesOfParts>
    <vt:vector size="10" baseType="lpstr">
      <vt:lpstr>レビュー</vt:lpstr>
      <vt:lpstr>format</vt:lpstr>
      <vt:lpstr>1</vt:lpstr>
      <vt:lpstr>2</vt:lpstr>
      <vt:lpstr>3</vt:lpstr>
      <vt:lpstr>4</vt:lpstr>
      <vt:lpstr>5</vt:lpstr>
      <vt:lpstr>6</vt:lpstr>
      <vt:lpstr>7</vt:lpstr>
      <vt:lpstr>8</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Yoshinaga, Shinichi (BIL-NBS) 吉永 信一</cp:lastModifiedBy>
  <dcterms:created xsi:type="dcterms:W3CDTF">2015-06-05T18:19:34Z</dcterms:created>
  <dcterms:modified xsi:type="dcterms:W3CDTF">2025-04-13T10:57:03Z</dcterms:modified>
</cp:coreProperties>
</file>