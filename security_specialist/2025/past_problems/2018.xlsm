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7739329A-A238-44D4-954D-00144211A0C3}"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r:id="rId3"/>
    <sheet name="2" sheetId="6" r:id="rId4"/>
    <sheet name="3" sheetId="7"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7" l="1"/>
  <c r="D11" i="7"/>
  <c r="D10" i="7"/>
  <c r="D9" i="7"/>
  <c r="D8" i="7"/>
  <c r="D7" i="7"/>
  <c r="D6" i="7"/>
  <c r="D5" i="7"/>
  <c r="D2" i="7" s="1"/>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13" i="6"/>
  <c r="D12" i="6"/>
  <c r="D11" i="6"/>
  <c r="D10" i="6"/>
  <c r="D9" i="6"/>
  <c r="D8" i="6"/>
  <c r="D7" i="6"/>
  <c r="D6" i="6"/>
  <c r="D5" i="6"/>
  <c r="D2" i="6" s="1"/>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9" i="5"/>
  <c r="D18" i="5"/>
  <c r="D17" i="5"/>
  <c r="D16" i="5"/>
  <c r="D15" i="5"/>
  <c r="D14" i="5"/>
  <c r="D13" i="5"/>
  <c r="D12" i="5"/>
  <c r="D11" i="5"/>
  <c r="D10" i="5"/>
  <c r="D9" i="5"/>
  <c r="D8" i="5"/>
  <c r="D2" i="5" s="1"/>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<sst xmlns="http://schemas.openxmlformats.org/spreadsheetml/2006/main" count="166" uniqueCount="133">
  <si>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</si>
  <si>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</si>
  <si>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</si>
  <si>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</si>
  <si>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</si>
  <si>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</si>
  <si>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</si>
  <si>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</si>
  <si>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</si>
  <si>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</si>
  <si>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</si>
  <si>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</si>
  <si>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2018-春</t>
  </si>
  <si>
    <t>2018-春</t>
    <rPh sb="5" eb="6">
      <t>ハル</t>
    </rPh>
    <phoneticPr fontId="1"/>
  </si>
  <si>
    <t>PM2-2</t>
  </si>
  <si>
    <t>PM2-2</t>
    <phoneticPr fontId="1"/>
  </si>
  <si>
    <t>A社マスメディア</t>
    <rPh sb="1" eb="2">
      <t>シャ</t>
    </rPh>
    <phoneticPr fontId="1"/>
  </si>
  <si>
    <t>webサイトを用意</t>
    <rPh sb="7" eb="9">
      <t>ヨウイ</t>
    </rPh>
    <phoneticPr fontId="1"/>
  </si>
  <si>
    <t>ネット上に公開</t>
    <rPh sb="3" eb="4">
      <t>ジョウ</t>
    </rPh>
    <rPh sb="5" eb="7">
      <t>コウカイ</t>
    </rPh>
    <phoneticPr fontId="1"/>
  </si>
  <si>
    <t>アプリ動作</t>
    <rPh sb="3" eb="5">
      <t>ドウサ</t>
    </rPh>
    <phoneticPr fontId="1"/>
  </si>
  <si>
    <t>Bshani 委託</t>
    <rPh sb="7" eb="9">
      <t>イタク</t>
    </rPh>
    <phoneticPr fontId="1"/>
  </si>
  <si>
    <t>ライフサイクル</t>
    <phoneticPr fontId="1"/>
  </si>
  <si>
    <t>要件定義</t>
    <rPh sb="0" eb="2">
      <t>ヨウケン</t>
    </rPh>
    <rPh sb="2" eb="4">
      <t>テイギ</t>
    </rPh>
    <phoneticPr fontId="1"/>
  </si>
  <si>
    <t>設計</t>
    <rPh sb="0" eb="2">
      <t>セッケイ</t>
    </rPh>
    <phoneticPr fontId="1"/>
  </si>
  <si>
    <t>セキュリティガイド</t>
    <phoneticPr fontId="1"/>
  </si>
  <si>
    <t>DCX</t>
    <phoneticPr fontId="1"/>
  </si>
  <si>
    <t>SVXではアプリXが稼働</t>
    <rPh sb="10" eb="12">
      <t>カドウ</t>
    </rPh>
    <phoneticPr fontId="1"/>
  </si>
  <si>
    <t>WF-K</t>
    <phoneticPr fontId="1"/>
  </si>
  <si>
    <t>XSS、SQLインジェクション</t>
    <phoneticPr fontId="1"/>
  </si>
  <si>
    <t>診断</t>
    <rPh sb="0" eb="2">
      <t>シンダン</t>
    </rPh>
    <phoneticPr fontId="1"/>
  </si>
  <si>
    <t>サイトXはDCX</t>
    <phoneticPr fontId="1"/>
  </si>
  <si>
    <t>サイトXはDCXに設置</t>
    <rPh sb="9" eb="11">
      <t>セッチ</t>
    </rPh>
    <phoneticPr fontId="1"/>
  </si>
  <si>
    <t>委託はB社</t>
    <rPh sb="0" eb="2">
      <t>イタク</t>
    </rPh>
    <rPh sb="4" eb="5">
      <t>シャ</t>
    </rPh>
    <phoneticPr fontId="1"/>
  </si>
  <si>
    <t>サイトYはほっとスタンバイ</t>
    <phoneticPr fontId="1"/>
  </si>
  <si>
    <t>バッチ</t>
    <phoneticPr fontId="1"/>
  </si>
  <si>
    <t>３か月ごとに定期メンテナンス</t>
    <rPh sb="2" eb="3">
      <t>ゲツ</t>
    </rPh>
    <rPh sb="6" eb="8">
      <t>テイキ</t>
    </rPh>
    <phoneticPr fontId="1"/>
  </si>
  <si>
    <t>リンクが外部のURL</t>
    <rPh sb="4" eb="6">
      <t>ガイブ</t>
    </rPh>
    <phoneticPr fontId="1"/>
  </si>
  <si>
    <t>LDDさんに報告</t>
    <rPh sb="6" eb="8">
      <t>ホウコク</t>
    </rPh>
    <phoneticPr fontId="1"/>
  </si>
  <si>
    <t>DNSサーバの設定を変更</t>
    <rPh sb="7" eb="9">
      <t>セッテイ</t>
    </rPh>
    <rPh sb="10" eb="12">
      <t>ヘンコウ</t>
    </rPh>
    <phoneticPr fontId="1"/>
  </si>
  <si>
    <t>調査</t>
    <rPh sb="0" eb="2">
      <t>チョウサ</t>
    </rPh>
    <phoneticPr fontId="1"/>
  </si>
  <si>
    <t>脆弱性Kが存在</t>
    <rPh sb="0" eb="3">
      <t>ゼイジャクセイ</t>
    </rPh>
    <rPh sb="5" eb="7">
      <t>ソンザイ</t>
    </rPh>
    <phoneticPr fontId="1"/>
  </si>
  <si>
    <t>1-1</t>
    <phoneticPr fontId="1"/>
  </si>
  <si>
    <t>攻撃に使われる文字列がPOSTデータ内に含まれている場合</t>
    <rPh sb="0" eb="2">
      <t>コウゲキ</t>
    </rPh>
    <rPh sb="3" eb="4">
      <t>ツカ</t>
    </rPh>
    <rPh sb="7" eb="10">
      <t>モジレツ</t>
    </rPh>
    <rPh sb="18" eb="19">
      <t>ナイ</t>
    </rPh>
    <rPh sb="20" eb="21">
      <t>フク</t>
    </rPh>
    <rPh sb="26" eb="28">
      <t>バアイ</t>
    </rPh>
    <phoneticPr fontId="1"/>
  </si>
  <si>
    <t>DB-Xのコマンド履歴</t>
    <rPh sb="9" eb="11">
      <t>リレキ</t>
    </rPh>
    <phoneticPr fontId="1"/>
  </si>
  <si>
    <t>DBの操作ログを確認</t>
    <rPh sb="3" eb="5">
      <t>ソウサ</t>
    </rPh>
    <rPh sb="8" eb="10">
      <t>カクニン</t>
    </rPh>
    <phoneticPr fontId="1"/>
  </si>
  <si>
    <t>アクセスログを確認</t>
    <rPh sb="7" eb="9">
      <t>カクニン</t>
    </rPh>
    <phoneticPr fontId="1"/>
  </si>
  <si>
    <t>1-2</t>
    <phoneticPr fontId="1"/>
  </si>
  <si>
    <t>WEBサイトYのすべてのファイルと比較</t>
    <rPh sb="17" eb="19">
      <t>ヒカク</t>
    </rPh>
    <phoneticPr fontId="1"/>
  </si>
  <si>
    <t>1-3</t>
    <phoneticPr fontId="1"/>
  </si>
  <si>
    <t>サイトYに対してPC-LANの診断</t>
    <rPh sb="5" eb="6">
      <t>タイ</t>
    </rPh>
    <rPh sb="15" eb="17">
      <t>シンダン</t>
    </rPh>
    <phoneticPr fontId="1"/>
  </si>
  <si>
    <t>公開鍵認証方式</t>
    <rPh sb="0" eb="3">
      <t>コウカイカギ</t>
    </rPh>
    <rPh sb="3" eb="5">
      <t>ニンショウ</t>
    </rPh>
    <rPh sb="5" eb="7">
      <t>ホウシキ</t>
    </rPh>
    <phoneticPr fontId="1"/>
  </si>
  <si>
    <t>2</t>
    <phoneticPr fontId="1"/>
  </si>
  <si>
    <t>WEBサイトで利用しているOS、ミドルウェア、WFの名称とバージョン情報</t>
    <rPh sb="7" eb="9">
      <t>リヨウ</t>
    </rPh>
    <rPh sb="26" eb="28">
      <t>メイショウ</t>
    </rPh>
    <rPh sb="34" eb="36">
      <t>ジョウホウ</t>
    </rPh>
    <phoneticPr fontId="1"/>
  </si>
  <si>
    <t>webアプリの脆弱性</t>
    <rPh sb="7" eb="10">
      <t>ゼイジャクセイ</t>
    </rPh>
    <phoneticPr fontId="1"/>
  </si>
  <si>
    <t>今回検出のXSS</t>
    <rPh sb="0" eb="2">
      <t>コンカイ</t>
    </rPh>
    <rPh sb="2" eb="4">
      <t>ケンシュツ</t>
    </rPh>
    <phoneticPr fontId="1"/>
  </si>
  <si>
    <t>3</t>
    <phoneticPr fontId="1"/>
  </si>
  <si>
    <t>c: ディレクトリトラバーサル</t>
    <phoneticPr fontId="1"/>
  </si>
  <si>
    <t>d: クロスサイト</t>
    <phoneticPr fontId="1"/>
  </si>
  <si>
    <t>e; HTTP</t>
    <phoneticPr fontId="1"/>
  </si>
  <si>
    <t>f; ジャッキング</t>
    <phoneticPr fontId="1"/>
  </si>
  <si>
    <t>4-1</t>
    <phoneticPr fontId="1"/>
  </si>
  <si>
    <t>g: 30</t>
    <phoneticPr fontId="1"/>
  </si>
  <si>
    <t>h: 0</t>
    <phoneticPr fontId="1"/>
  </si>
  <si>
    <t>4-2</t>
    <phoneticPr fontId="1"/>
  </si>
  <si>
    <t>ID+PWでログイン</t>
    <phoneticPr fontId="1"/>
  </si>
  <si>
    <t>JSESSION ID</t>
    <phoneticPr fontId="1"/>
  </si>
  <si>
    <t>Cookieに格納</t>
    <rPh sb="7" eb="9">
      <t>カクノウ</t>
    </rPh>
    <phoneticPr fontId="1"/>
  </si>
  <si>
    <t>検索→n件</t>
    <rPh sb="0" eb="2">
      <t>ケンサク</t>
    </rPh>
    <rPh sb="4" eb="5">
      <t>ケン</t>
    </rPh>
    <phoneticPr fontId="1"/>
  </si>
  <si>
    <t>codeでDBを検索</t>
    <rPh sb="8" eb="10">
      <t>ケンサク</t>
    </rPh>
    <phoneticPr fontId="1"/>
  </si>
  <si>
    <t>カートに入れる</t>
    <rPh sb="4" eb="5">
      <t>イ</t>
    </rPh>
    <phoneticPr fontId="1"/>
  </si>
  <si>
    <t>セッションに格納</t>
    <rPh sb="6" eb="8">
      <t>カクノウ</t>
    </rPh>
    <phoneticPr fontId="1"/>
  </si>
  <si>
    <t>一覧で選択</t>
    <rPh sb="0" eb="2">
      <t>イチラン</t>
    </rPh>
    <rPh sb="3" eb="5">
      <t>センタク</t>
    </rPh>
    <phoneticPr fontId="1"/>
  </si>
  <si>
    <t>画面遷移</t>
    <rPh sb="0" eb="4">
      <t>ガメンセンイ</t>
    </rPh>
    <phoneticPr fontId="1"/>
  </si>
  <si>
    <t>イ</t>
    <phoneticPr fontId="1"/>
  </si>
  <si>
    <t>4-3</t>
    <phoneticPr fontId="1"/>
  </si>
  <si>
    <t>j: うの操作を実行するときに、codeの値を限定承認に書き換える</t>
    <rPh sb="5" eb="7">
      <t>ソウサ</t>
    </rPh>
    <rPh sb="8" eb="10">
      <t>ジッコウ</t>
    </rPh>
    <rPh sb="21" eb="22">
      <t>アタイ</t>
    </rPh>
    <rPh sb="23" eb="25">
      <t>ゲンテイ</t>
    </rPh>
    <rPh sb="25" eb="27">
      <t>ショウニン</t>
    </rPh>
    <rPh sb="28" eb="29">
      <t>カ</t>
    </rPh>
    <rPh sb="30" eb="31">
      <t>カ</t>
    </rPh>
    <phoneticPr fontId="1"/>
  </si>
  <si>
    <t>4-4</t>
    <phoneticPr fontId="1"/>
  </si>
  <si>
    <t>k: 権限がことなる複数の</t>
    <rPh sb="3" eb="5">
      <t>ケンゲン</t>
    </rPh>
    <rPh sb="10" eb="12">
      <t>フクスウ</t>
    </rPh>
    <phoneticPr fontId="1"/>
  </si>
  <si>
    <t>l:許可されている操作の違い</t>
    <rPh sb="2" eb="4">
      <t>キョカ</t>
    </rPh>
    <rPh sb="9" eb="11">
      <t>ソウサ</t>
    </rPh>
    <rPh sb="12" eb="13">
      <t>チガ</t>
    </rPh>
    <phoneticPr fontId="1"/>
  </si>
  <si>
    <t>5</t>
    <phoneticPr fontId="1"/>
  </si>
  <si>
    <t>納品時に行ったレビューの内容を記載したものを送付すること</t>
    <rPh sb="0" eb="3">
      <t>ノウヒンジ</t>
    </rPh>
    <rPh sb="4" eb="5">
      <t>オコナ</t>
    </rPh>
    <rPh sb="12" eb="14">
      <t>ナイヨウ</t>
    </rPh>
    <rPh sb="15" eb="17">
      <t>キサイ</t>
    </rPh>
    <rPh sb="22" eb="24">
      <t>ソウフ</t>
    </rPh>
    <phoneticPr fontId="1"/>
  </si>
  <si>
    <t>6</t>
    <phoneticPr fontId="1"/>
  </si>
  <si>
    <t>セキュリティガイドラインに、作りこみの原因とポイントとして記載する</t>
    <rPh sb="14" eb="15">
      <t>ツク</t>
    </rPh>
    <rPh sb="19" eb="21">
      <t>ゲンイン</t>
    </rPh>
    <rPh sb="29" eb="31">
      <t>キサイ</t>
    </rPh>
    <phoneticPr fontId="1"/>
  </si>
  <si>
    <t>PM1-1</t>
  </si>
  <si>
    <t>PM1-1</t>
    <phoneticPr fontId="1"/>
  </si>
  <si>
    <t>V社</t>
    <rPh sb="1" eb="2">
      <t>シャ</t>
    </rPh>
    <phoneticPr fontId="1"/>
  </si>
  <si>
    <t>1</t>
    <phoneticPr fontId="1"/>
  </si>
  <si>
    <t>a: カ</t>
    <phoneticPr fontId="1"/>
  </si>
  <si>
    <t>b: ウ</t>
    <phoneticPr fontId="1"/>
  </si>
  <si>
    <t>785634120a</t>
    <phoneticPr fontId="1"/>
  </si>
  <si>
    <t>関数テーブル＝実行コードの先頭アドレスが記録されたテーブル</t>
    <rPh sb="0" eb="2">
      <t>カンスウ</t>
    </rPh>
    <rPh sb="7" eb="9">
      <t>ジッコウ</t>
    </rPh>
    <rPh sb="13" eb="15">
      <t>セントウ</t>
    </rPh>
    <rPh sb="20" eb="22">
      <t>キロク</t>
    </rPh>
    <phoneticPr fontId="1"/>
  </si>
  <si>
    <t>ライブラリ関数の呼び出し時、実行コードの値を参照して処理遷移</t>
    <rPh sb="5" eb="7">
      <t>カンスウ</t>
    </rPh>
    <rPh sb="8" eb="9">
      <t>ヨ</t>
    </rPh>
    <rPh sb="10" eb="11">
      <t>ダ</t>
    </rPh>
    <rPh sb="12" eb="13">
      <t>ジ</t>
    </rPh>
    <rPh sb="14" eb="16">
      <t>ジッコウ</t>
    </rPh>
    <rPh sb="20" eb="21">
      <t>アタイ</t>
    </rPh>
    <rPh sb="22" eb="24">
      <t>サンショウ</t>
    </rPh>
    <rPh sb="26" eb="28">
      <t>ショリ</t>
    </rPh>
    <rPh sb="28" eb="30">
      <t>センイ</t>
    </rPh>
    <phoneticPr fontId="1"/>
  </si>
  <si>
    <t>エ</t>
    <phoneticPr fontId="1"/>
  </si>
  <si>
    <t>4</t>
    <phoneticPr fontId="1"/>
  </si>
  <si>
    <t>e: ヒープ</t>
    <phoneticPr fontId="1"/>
  </si>
  <si>
    <t>共有ライブラリの関数は実行防止の対象でないメモリ領域に配置されているから</t>
    <rPh sb="0" eb="2">
      <t>キョウユウ</t>
    </rPh>
    <rPh sb="8" eb="10">
      <t>カンスウ</t>
    </rPh>
    <rPh sb="11" eb="13">
      <t>ジッコウ</t>
    </rPh>
    <rPh sb="13" eb="15">
      <t>ボウシ</t>
    </rPh>
    <rPh sb="16" eb="18">
      <t>タイショウ</t>
    </rPh>
    <rPh sb="24" eb="26">
      <t>リョウイキ</t>
    </rPh>
    <rPh sb="27" eb="29">
      <t>ハイチ</t>
    </rPh>
    <phoneticPr fontId="1"/>
  </si>
  <si>
    <t>0x0b123400</t>
    <phoneticPr fontId="1"/>
  </si>
  <si>
    <t>7</t>
    <phoneticPr fontId="1"/>
  </si>
  <si>
    <t>ア</t>
    <phoneticPr fontId="1"/>
  </si>
  <si>
    <t>8</t>
    <phoneticPr fontId="1"/>
  </si>
  <si>
    <t>9</t>
    <phoneticPr fontId="1"/>
  </si>
  <si>
    <t>DisplayNote()</t>
    <phoneticPr fontId="1"/>
  </si>
  <si>
    <t>m_note=NULL;</t>
    <phoneticPr fontId="1"/>
  </si>
  <si>
    <t>PM1-2</t>
  </si>
  <si>
    <t>PM1-2</t>
    <phoneticPr fontId="1"/>
  </si>
  <si>
    <t>T社</t>
    <rPh sb="1" eb="2">
      <t>シャ</t>
    </rPh>
    <phoneticPr fontId="1"/>
  </si>
  <si>
    <t>プライベートIPアドレス</t>
    <phoneticPr fontId="1"/>
  </si>
  <si>
    <t>e-mailの送受信</t>
    <rPh sb="7" eb="10">
      <t>ソウジュシン</t>
    </rPh>
    <phoneticPr fontId="1"/>
  </si>
  <si>
    <t>OSのインストール</t>
    <phoneticPr fontId="1"/>
  </si>
  <si>
    <t>脆弱性プログラムの適用</t>
    <rPh sb="0" eb="3">
      <t>ゼイジャクセイ</t>
    </rPh>
    <rPh sb="9" eb="11">
      <t>テキヨウ</t>
    </rPh>
    <phoneticPr fontId="1"/>
  </si>
  <si>
    <t>マルウェア定義の最新化</t>
    <rPh sb="5" eb="7">
      <t>テイギ</t>
    </rPh>
    <rPh sb="8" eb="11">
      <t>サイシンカ</t>
    </rPh>
    <phoneticPr fontId="1"/>
  </si>
  <si>
    <t>SMTPメール転送</t>
    <rPh sb="7" eb="9">
      <t>テンソウ</t>
    </rPh>
    <phoneticPr fontId="1"/>
  </si>
  <si>
    <t>a: x1.y1.z1.4</t>
    <phoneticPr fontId="1"/>
  </si>
  <si>
    <t>内部には固定IP</t>
    <rPh sb="0" eb="2">
      <t>ナイブ</t>
    </rPh>
    <rPh sb="4" eb="6">
      <t>コテイ</t>
    </rPh>
    <phoneticPr fontId="1"/>
  </si>
  <si>
    <t>Tドメイン</t>
    <phoneticPr fontId="1"/>
  </si>
  <si>
    <t>マルウェアとOS</t>
    <phoneticPr fontId="1"/>
  </si>
  <si>
    <t>T標準ソフトのサイトより</t>
    <rPh sb="1" eb="3">
      <t>ヒョウジュン</t>
    </rPh>
    <phoneticPr fontId="1"/>
  </si>
  <si>
    <t>内部LAN</t>
    <rPh sb="0" eb="2">
      <t>ナイブ</t>
    </rPh>
    <phoneticPr fontId="1"/>
  </si>
  <si>
    <t>b: 迷惑メール対策サーバー</t>
    <rPh sb="3" eb="5">
      <t>メイワク</t>
    </rPh>
    <rPh sb="8" eb="10">
      <t>タイサク</t>
    </rPh>
    <phoneticPr fontId="1"/>
  </si>
  <si>
    <t>d: プロキシサーバー</t>
    <phoneticPr fontId="1"/>
  </si>
  <si>
    <t>c: webメールサーバー</t>
    <phoneticPr fontId="1"/>
  </si>
  <si>
    <t>2-1</t>
    <phoneticPr fontId="1"/>
  </si>
  <si>
    <t>インターネット上のドメイン名についての名前解決</t>
    <rPh sb="7" eb="8">
      <t>ウエ</t>
    </rPh>
    <rPh sb="13" eb="14">
      <t>メイ</t>
    </rPh>
    <rPh sb="19" eb="23">
      <t>ナマエカイケツ</t>
    </rPh>
    <phoneticPr fontId="1"/>
  </si>
  <si>
    <t>2-2</t>
    <phoneticPr fontId="1"/>
  </si>
  <si>
    <t>サーバーの設定チェックリスト</t>
    <rPh sb="5" eb="7">
      <t>セッテイ</t>
    </rPh>
    <phoneticPr fontId="1"/>
  </si>
  <si>
    <t>DMZサーバーがプロキシに接続可能</t>
    <rPh sb="13" eb="15">
      <t>セツゾク</t>
    </rPh>
    <rPh sb="15" eb="17">
      <t>カノウ</t>
    </rPh>
    <phoneticPr fontId="1"/>
  </si>
  <si>
    <t>許可ポートのみ</t>
    <rPh sb="0" eb="2">
      <t>キョカ</t>
    </rPh>
    <phoneticPr fontId="1"/>
  </si>
  <si>
    <t>Internetへのメールの送信を許可されていない従業員が、送信出来る問題</t>
    <rPh sb="14" eb="16">
      <t>ソウシン</t>
    </rPh>
    <rPh sb="17" eb="19">
      <t>キョカ</t>
    </rPh>
    <rPh sb="25" eb="28">
      <t>ジュウギョウイン</t>
    </rPh>
    <rPh sb="30" eb="32">
      <t>ソウシン</t>
    </rPh>
    <rPh sb="32" eb="34">
      <t>デキ</t>
    </rPh>
    <rPh sb="35" eb="37">
      <t>モンダイ</t>
    </rPh>
    <phoneticPr fontId="1"/>
  </si>
  <si>
    <t>送信者メールアドレスを詐称したメールを送信できるという問題</t>
    <rPh sb="0" eb="3">
      <t>ソウシンシャ</t>
    </rPh>
    <rPh sb="11" eb="13">
      <t>サショウ</t>
    </rPh>
    <rPh sb="19" eb="21">
      <t>ソウシン</t>
    </rPh>
    <rPh sb="27" eb="29">
      <t>モンダイ</t>
    </rPh>
    <phoneticPr fontId="1"/>
  </si>
  <si>
    <t>3-1</t>
    <phoneticPr fontId="1"/>
  </si>
  <si>
    <t>3-2</t>
    <phoneticPr fontId="1"/>
  </si>
  <si>
    <t>運用PCからの接続も拒否できるように変更する</t>
    <rPh sb="0" eb="2">
      <t>ウンヨウ</t>
    </rPh>
    <rPh sb="7" eb="9">
      <t>セツゾク</t>
    </rPh>
    <rPh sb="10" eb="12">
      <t>キョヒ</t>
    </rPh>
    <rPh sb="18" eb="20">
      <t>ヘンコウ</t>
    </rPh>
    <phoneticPr fontId="1"/>
  </si>
  <si>
    <t>運用PCから接続できるURLは、ベンダのもののみに制限するように変更する</t>
    <rPh sb="0" eb="2">
      <t>ウンヨウ</t>
    </rPh>
    <rPh sb="6" eb="8">
      <t>セツゾク</t>
    </rPh>
    <rPh sb="25" eb="27">
      <t>セイゲン</t>
    </rPh>
    <rPh sb="32" eb="34">
      <t>ヘンコウ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</si>
</sst>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4"/>
  <sheetViews>
    <sheetView tabSelected="1" workbookViewId="0">
      <selection activeCell="J8" sqref="J8"/>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90</v>
      </c>
      <c r="E2">
        <v>100</v>
      </c>
    </row>
    <row r="3" spans="1:6">
      <c r="A3">
        <v>2</v>
      </c>
      <c r="B3" s="2" t="s">
        <v>12</v>
      </c>
      <c r="C3" s="2" t="s">
        <v>83</v>
      </c>
      <c r="D3">
        <v>50</v>
      </c>
      <c r="E3">
        <v>50</v>
      </c>
    </row>
    <row r="4" spans="1:6">
      <c r="A4">
        <v>3</v>
      </c>
      <c r="B4" s="2" t="s">
        <v>12</v>
      </c>
      <c r="C4" s="2" t="s">
        <v>103</v>
      </c>
      <c r="D4">
        <v>50</v>
      </c>
      <c r="E4">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82BF5-C629-45AD-9971-992BDE45ACC8}">
  <sheetPr codeName="Sheet4"/>
  <dimension ref="A1:Q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8.375" style="1" customWidth="1"/>
    <col min="3" max="3" width="9.75" customWidth="1"/>
  </cols>
  <sheetData>
    <row r="1" spans="1:17">
      <c r="A1" s="2" t="s">
        <v>0</v>
      </c>
      <c r="B1" s="1" t="s">
        <v>13</v>
      </c>
    </row>
    <row r="2" spans="1:17">
      <c r="A2" s="2" t="s">
        <v>2</v>
      </c>
      <c r="B2" s="3" t="s">
        <v>15</v>
      </c>
      <c r="D2">
        <f>SUM(D4:D1000)</f>
        <v>90</v>
      </c>
      <c r="E2">
        <f>SUM(E4:E1000)</f>
        <v>100</v>
      </c>
    </row>
    <row r="3" spans="1:17">
      <c r="A3" s="2" t="s">
        <v>1</v>
      </c>
      <c r="B3" s="1" t="s">
        <v>3</v>
      </c>
      <c r="C3" t="s">
        <v>6</v>
      </c>
      <c r="D3" t="s">
        <v>4</v>
      </c>
      <c r="E3" t="s">
        <v>5</v>
      </c>
    </row>
    <row r="4" spans="1:17">
      <c r="A4" s="2" t="s">
        <v>41</v>
      </c>
      <c r="B4" s="1" t="s">
        <v>42</v>
      </c>
      <c r="C4">
        <f>IF(B4&lt;&gt;"",LEN(B4),"")</f>
        <v>28</v>
      </c>
      <c r="D4">
        <f>E4*F4</f>
        <v>8</v>
      </c>
      <c r="E4">
        <v>8</v>
      </c>
      <c r="F4">
        <v>1</v>
      </c>
      <c r="G4" t="s">
        <v>16</v>
      </c>
      <c r="I4" t="s">
        <v>22</v>
      </c>
      <c r="K4" t="s">
        <v>28</v>
      </c>
      <c r="M4" t="s">
        <v>34</v>
      </c>
      <c r="O4" t="s">
        <v>27</v>
      </c>
      <c r="Q4" t="s">
        <v>53</v>
      </c>
    </row>
    <row r="5" spans="1:17">
      <c r="A5" s="2" t="s">
        <v>46</v>
      </c>
      <c r="B5" s="1" t="s">
        <v>47</v>
      </c>
      <c r="C5">
        <f t="shared" ref="C5:C68" si="0">IF(B5&lt;&gt;"",LEN(B5),"")</f>
        <v>19</v>
      </c>
      <c r="D5">
        <f t="shared" ref="D5:D19" si="1">E5*F5</f>
        <v>8</v>
      </c>
      <c r="E5">
        <v>8</v>
      </c>
      <c r="F5">
        <v>1</v>
      </c>
      <c r="G5" t="s">
        <v>17</v>
      </c>
      <c r="I5" t="s">
        <v>23</v>
      </c>
      <c r="K5" t="s">
        <v>29</v>
      </c>
      <c r="M5" t="s">
        <v>35</v>
      </c>
      <c r="O5" t="s">
        <v>40</v>
      </c>
      <c r="Q5" t="s">
        <v>54</v>
      </c>
    </row>
    <row r="6" spans="1:17">
      <c r="A6" s="2" t="s">
        <v>48</v>
      </c>
      <c r="B6" s="1" t="s">
        <v>50</v>
      </c>
      <c r="C6">
        <f t="shared" si="0"/>
        <v>7</v>
      </c>
      <c r="D6">
        <f t="shared" si="1"/>
        <v>8</v>
      </c>
      <c r="E6">
        <v>8</v>
      </c>
      <c r="F6">
        <v>1</v>
      </c>
      <c r="G6" t="s">
        <v>18</v>
      </c>
      <c r="I6" t="s">
        <v>24</v>
      </c>
      <c r="K6" t="s">
        <v>30</v>
      </c>
      <c r="M6" t="s">
        <v>36</v>
      </c>
      <c r="O6" t="s">
        <v>43</v>
      </c>
    </row>
    <row r="7" spans="1:17" ht="37.5">
      <c r="A7" s="2" t="s">
        <v>51</v>
      </c>
      <c r="B7" s="1" t="s">
        <v>52</v>
      </c>
      <c r="C7">
        <f t="shared" si="0"/>
        <v>36</v>
      </c>
      <c r="D7">
        <f t="shared" si="1"/>
        <v>8</v>
      </c>
      <c r="E7">
        <v>8</v>
      </c>
      <c r="F7">
        <v>1</v>
      </c>
      <c r="G7" t="s">
        <v>19</v>
      </c>
      <c r="I7" t="s">
        <v>25</v>
      </c>
      <c r="K7" t="s">
        <v>31</v>
      </c>
      <c r="M7" t="s">
        <v>37</v>
      </c>
      <c r="O7" t="s">
        <v>44</v>
      </c>
    </row>
    <row r="8" spans="1:17">
      <c r="A8" s="2" t="s">
        <v>55</v>
      </c>
      <c r="B8" s="1" t="s">
        <v>56</v>
      </c>
      <c r="C8">
        <f t="shared" si="0"/>
        <v>15</v>
      </c>
      <c r="D8">
        <f t="shared" si="1"/>
        <v>4</v>
      </c>
      <c r="E8">
        <v>4</v>
      </c>
      <c r="F8">
        <v>1</v>
      </c>
      <c r="G8" t="s">
        <v>20</v>
      </c>
      <c r="I8" t="s">
        <v>26</v>
      </c>
      <c r="K8" t="s">
        <v>32</v>
      </c>
      <c r="M8" t="s">
        <v>38</v>
      </c>
      <c r="O8" t="s">
        <v>45</v>
      </c>
    </row>
    <row r="9" spans="1:17">
      <c r="B9" s="1" t="s">
        <v>57</v>
      </c>
      <c r="C9">
        <f t="shared" si="0"/>
        <v>9</v>
      </c>
      <c r="D9">
        <f t="shared" si="1"/>
        <v>4</v>
      </c>
      <c r="E9">
        <v>4</v>
      </c>
      <c r="F9">
        <v>1</v>
      </c>
      <c r="G9" t="s">
        <v>21</v>
      </c>
      <c r="I9" t="s">
        <v>27</v>
      </c>
      <c r="K9" t="s">
        <v>33</v>
      </c>
      <c r="M9" t="s">
        <v>39</v>
      </c>
      <c r="O9" t="s">
        <v>49</v>
      </c>
    </row>
    <row r="10" spans="1:17">
      <c r="B10" s="1" t="s">
        <v>58</v>
      </c>
      <c r="C10">
        <f t="shared" si="0"/>
        <v>7</v>
      </c>
      <c r="D10">
        <f t="shared" si="1"/>
        <v>4</v>
      </c>
      <c r="E10">
        <v>4</v>
      </c>
      <c r="F10">
        <v>1</v>
      </c>
      <c r="G10" t="s">
        <v>64</v>
      </c>
      <c r="I10" t="s">
        <v>68</v>
      </c>
      <c r="K10" t="s">
        <v>72</v>
      </c>
    </row>
    <row r="11" spans="1:17">
      <c r="B11" s="1" t="s">
        <v>59</v>
      </c>
      <c r="C11">
        <f t="shared" si="0"/>
        <v>9</v>
      </c>
      <c r="D11">
        <f t="shared" si="1"/>
        <v>4</v>
      </c>
      <c r="E11">
        <v>4</v>
      </c>
      <c r="F11">
        <v>1</v>
      </c>
      <c r="G11" t="s">
        <v>65</v>
      </c>
      <c r="I11" t="s">
        <v>69</v>
      </c>
    </row>
    <row r="12" spans="1:17">
      <c r="A12" s="2" t="s">
        <v>60</v>
      </c>
      <c r="B12" s="1" t="s">
        <v>61</v>
      </c>
      <c r="C12">
        <f t="shared" si="0"/>
        <v>5</v>
      </c>
      <c r="D12">
        <f t="shared" si="1"/>
        <v>4</v>
      </c>
      <c r="E12">
        <v>4</v>
      </c>
      <c r="F12">
        <v>1</v>
      </c>
      <c r="G12" t="s">
        <v>66</v>
      </c>
      <c r="I12" t="s">
        <v>70</v>
      </c>
    </row>
    <row r="13" spans="1:17">
      <c r="B13" s="1" t="s">
        <v>62</v>
      </c>
      <c r="C13">
        <f t="shared" si="0"/>
        <v>4</v>
      </c>
      <c r="D13">
        <f t="shared" si="1"/>
        <v>4</v>
      </c>
      <c r="E13">
        <v>4</v>
      </c>
      <c r="F13">
        <v>1</v>
      </c>
      <c r="G13" t="s">
        <v>67</v>
      </c>
      <c r="I13" t="s">
        <v>71</v>
      </c>
    </row>
    <row r="14" spans="1:17">
      <c r="A14" s="2" t="s">
        <v>63</v>
      </c>
      <c r="B14" s="1" t="s">
        <v>73</v>
      </c>
      <c r="C14">
        <f t="shared" si="0"/>
        <v>1</v>
      </c>
      <c r="D14">
        <f t="shared" si="1"/>
        <v>4</v>
      </c>
      <c r="E14">
        <v>4</v>
      </c>
      <c r="F14">
        <v>1</v>
      </c>
    </row>
    <row r="15" spans="1:17">
      <c r="A15" s="2" t="s">
        <v>74</v>
      </c>
      <c r="B15" s="1" t="s">
        <v>75</v>
      </c>
      <c r="C15">
        <f t="shared" si="0"/>
        <v>33</v>
      </c>
      <c r="D15">
        <f t="shared" si="1"/>
        <v>8</v>
      </c>
      <c r="E15">
        <v>8</v>
      </c>
      <c r="F15">
        <v>1</v>
      </c>
    </row>
    <row r="16" spans="1:17">
      <c r="A16" s="2" t="s">
        <v>76</v>
      </c>
      <c r="B16" s="1" t="s">
        <v>77</v>
      </c>
      <c r="C16">
        <f t="shared" si="0"/>
        <v>13</v>
      </c>
      <c r="D16">
        <f t="shared" si="1"/>
        <v>6</v>
      </c>
      <c r="E16">
        <v>6</v>
      </c>
      <c r="F16">
        <v>1</v>
      </c>
    </row>
    <row r="17" spans="1:6">
      <c r="B17" s="1" t="s">
        <v>78</v>
      </c>
      <c r="C17">
        <f t="shared" si="0"/>
        <v>14</v>
      </c>
      <c r="D17">
        <f t="shared" si="1"/>
        <v>6</v>
      </c>
      <c r="E17">
        <v>6</v>
      </c>
      <c r="F17">
        <v>1</v>
      </c>
    </row>
    <row r="18" spans="1:6">
      <c r="A18" s="2" t="s">
        <v>79</v>
      </c>
      <c r="B18" s="1" t="s">
        <v>80</v>
      </c>
      <c r="C18">
        <f t="shared" si="0"/>
        <v>28</v>
      </c>
      <c r="D18">
        <f t="shared" si="1"/>
        <v>5</v>
      </c>
      <c r="E18">
        <v>10</v>
      </c>
      <c r="F18">
        <v>0.5</v>
      </c>
    </row>
    <row r="19" spans="1:6" ht="37.5">
      <c r="A19" s="2" t="s">
        <v>81</v>
      </c>
      <c r="B19" s="1" t="s">
        <v>82</v>
      </c>
      <c r="C19">
        <f t="shared" si="0"/>
        <v>33</v>
      </c>
      <c r="D19">
        <f t="shared" si="1"/>
        <v>5</v>
      </c>
      <c r="E19">
        <v>10</v>
      </c>
      <c r="F19">
        <v>0.5</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605B1-DA82-4F7C-9C65-D6C9B8ACD763}">
  <sheetPr codeName="Sheet5"/>
  <dimension ref="A1:G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6.5" style="1" customWidth="1"/>
    <col min="3" max="3" width="9.75" customWidth="1"/>
  </cols>
  <sheetData>
    <row r="1" spans="1:7">
      <c r="A1" s="2" t="s">
        <v>0</v>
      </c>
      <c r="B1" s="1" t="s">
        <v>13</v>
      </c>
    </row>
    <row r="2" spans="1:7">
      <c r="A2" s="2" t="s">
        <v>2</v>
      </c>
      <c r="B2" s="3" t="s">
        <v>84</v>
      </c>
      <c r="D2">
        <f>SUM(D4:D1000)</f>
        <v>50</v>
      </c>
      <c r="E2">
        <f>SUM(E4:E1000)</f>
        <v>50</v>
      </c>
    </row>
    <row r="3" spans="1:7">
      <c r="A3" s="2" t="s">
        <v>1</v>
      </c>
      <c r="B3" s="1" t="s">
        <v>3</v>
      </c>
      <c r="C3" t="s">
        <v>6</v>
      </c>
      <c r="D3" t="s">
        <v>4</v>
      </c>
      <c r="E3" t="s">
        <v>5</v>
      </c>
    </row>
    <row r="4" spans="1:7">
      <c r="A4" s="2" t="s">
        <v>86</v>
      </c>
      <c r="B4" s="1" t="s">
        <v>87</v>
      </c>
      <c r="C4">
        <f>IF(B4&lt;&gt;"",LEN(B4),"")</f>
        <v>4</v>
      </c>
      <c r="D4">
        <f>E4*F4</f>
        <v>4</v>
      </c>
      <c r="E4">
        <v>4</v>
      </c>
      <c r="F4">
        <v>1</v>
      </c>
      <c r="G4" t="s">
        <v>85</v>
      </c>
    </row>
    <row r="5" spans="1:7">
      <c r="B5" s="1" t="s">
        <v>88</v>
      </c>
      <c r="C5">
        <f t="shared" ref="C5:C68" si="0">IF(B5&lt;&gt;"",LEN(B5),"")</f>
        <v>4</v>
      </c>
      <c r="D5">
        <f t="shared" ref="D5:D13" si="1">E5*F5</f>
        <v>4</v>
      </c>
      <c r="E5">
        <v>4</v>
      </c>
      <c r="F5">
        <v>1</v>
      </c>
      <c r="G5" t="s">
        <v>90</v>
      </c>
    </row>
    <row r="6" spans="1:7">
      <c r="A6" s="2" t="s">
        <v>51</v>
      </c>
      <c r="B6" s="1" t="s">
        <v>89</v>
      </c>
      <c r="C6">
        <f t="shared" si="0"/>
        <v>10</v>
      </c>
      <c r="D6">
        <f t="shared" si="1"/>
        <v>4</v>
      </c>
      <c r="E6">
        <v>4</v>
      </c>
      <c r="F6">
        <v>1</v>
      </c>
      <c r="G6" t="s">
        <v>91</v>
      </c>
    </row>
    <row r="7" spans="1:7">
      <c r="A7" s="2" t="s">
        <v>55</v>
      </c>
      <c r="B7" s="1" t="s">
        <v>92</v>
      </c>
      <c r="C7">
        <f t="shared" si="0"/>
        <v>1</v>
      </c>
      <c r="D7">
        <f t="shared" si="1"/>
        <v>4</v>
      </c>
      <c r="E7">
        <v>4</v>
      </c>
      <c r="F7">
        <v>1</v>
      </c>
    </row>
    <row r="8" spans="1:7">
      <c r="A8" s="2" t="s">
        <v>93</v>
      </c>
      <c r="B8" s="1" t="s">
        <v>96</v>
      </c>
      <c r="C8">
        <f t="shared" si="0"/>
        <v>10</v>
      </c>
      <c r="D8">
        <f t="shared" si="1"/>
        <v>6</v>
      </c>
      <c r="E8">
        <v>6</v>
      </c>
      <c r="F8">
        <v>1</v>
      </c>
    </row>
    <row r="9" spans="1:7">
      <c r="A9" s="2" t="s">
        <v>79</v>
      </c>
      <c r="B9" s="1" t="s">
        <v>94</v>
      </c>
      <c r="C9">
        <f t="shared" si="0"/>
        <v>6</v>
      </c>
      <c r="D9">
        <f t="shared" si="1"/>
        <v>4</v>
      </c>
      <c r="E9">
        <v>4</v>
      </c>
      <c r="F9">
        <v>1</v>
      </c>
    </row>
    <row r="10" spans="1:7" ht="37.5">
      <c r="A10" s="2" t="s">
        <v>81</v>
      </c>
      <c r="B10" s="1" t="s">
        <v>95</v>
      </c>
      <c r="C10">
        <f t="shared" si="0"/>
        <v>36</v>
      </c>
      <c r="D10">
        <f t="shared" si="1"/>
        <v>6</v>
      </c>
      <c r="E10">
        <v>6</v>
      </c>
      <c r="F10">
        <v>1</v>
      </c>
    </row>
    <row r="11" spans="1:7">
      <c r="A11" s="2" t="s">
        <v>97</v>
      </c>
      <c r="B11" s="1" t="s">
        <v>98</v>
      </c>
      <c r="C11">
        <f t="shared" si="0"/>
        <v>1</v>
      </c>
      <c r="D11">
        <f t="shared" si="1"/>
        <v>6</v>
      </c>
      <c r="E11">
        <v>6</v>
      </c>
      <c r="F11">
        <v>1</v>
      </c>
    </row>
    <row r="12" spans="1:7">
      <c r="A12" s="2" t="s">
        <v>99</v>
      </c>
      <c r="B12" s="1" t="s">
        <v>101</v>
      </c>
      <c r="C12">
        <f t="shared" si="0"/>
        <v>13</v>
      </c>
      <c r="D12">
        <f t="shared" si="1"/>
        <v>6</v>
      </c>
      <c r="E12">
        <v>6</v>
      </c>
      <c r="F12">
        <v>1</v>
      </c>
    </row>
    <row r="13" spans="1:7">
      <c r="A13" s="2" t="s">
        <v>100</v>
      </c>
      <c r="B13" s="1" t="s">
        <v>102</v>
      </c>
      <c r="C13">
        <f t="shared" si="0"/>
        <v>12</v>
      </c>
      <c r="D13">
        <f t="shared" si="1"/>
        <v>6</v>
      </c>
      <c r="E13">
        <v>6</v>
      </c>
      <c r="F13">
        <v>1</v>
      </c>
    </row>
    <row r="14" spans="1:7">
      <c r="C14" t="str">
        <f t="shared" si="0"/>
        <v/>
      </c>
    </row>
    <row r="15" spans="1:7">
      <c r="C15" t="str">
        <f t="shared" si="0"/>
        <v/>
      </c>
    </row>
    <row r="16" spans="1:7">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76DD4-D680-459F-83B2-4338DE652FC8}">
  <sheetPr codeName="Sheet6"/>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D4" sqref="D4:D12"/>
    </sheetView>
  </sheetViews>
  <sheetFormatPr defaultRowHeight="18.75"/>
  <cols>
    <col min="1" max="1" width="9" style="2"/>
    <col min="2" max="2" width="51.25" style="1" customWidth="1"/>
    <col min="3" max="3" width="9.75" customWidth="1"/>
  </cols>
  <sheetData>
    <row r="1" spans="1:11">
      <c r="A1" s="2" t="s">
        <v>0</v>
      </c>
      <c r="B1" s="1" t="s">
        <v>13</v>
      </c>
    </row>
    <row r="2" spans="1:11">
      <c r="A2" s="2" t="s">
        <v>2</v>
      </c>
      <c r="B2" s="3" t="s">
        <v>104</v>
      </c>
      <c r="D2">
        <f>SUM(D4:D1000)</f>
        <v>50</v>
      </c>
      <c r="E2">
        <f>SUM(E4:E1000)</f>
        <v>50</v>
      </c>
    </row>
    <row r="3" spans="1:11">
      <c r="A3" s="2" t="s">
        <v>1</v>
      </c>
      <c r="B3" s="1" t="s">
        <v>3</v>
      </c>
      <c r="C3" t="s">
        <v>6</v>
      </c>
      <c r="D3" t="s">
        <v>4</v>
      </c>
      <c r="E3" t="s">
        <v>5</v>
      </c>
    </row>
    <row r="4" spans="1:11">
      <c r="A4" s="2" t="s">
        <v>41</v>
      </c>
      <c r="B4" s="1" t="s">
        <v>112</v>
      </c>
      <c r="C4">
        <f>IF(B4&lt;&gt;"",LEN(B4),"")</f>
        <v>13</v>
      </c>
      <c r="D4">
        <f>E4*F4</f>
        <v>4</v>
      </c>
      <c r="E4">
        <v>4</v>
      </c>
      <c r="F4">
        <v>1</v>
      </c>
      <c r="G4" t="s">
        <v>105</v>
      </c>
      <c r="I4" t="s">
        <v>111</v>
      </c>
      <c r="K4" t="s">
        <v>124</v>
      </c>
    </row>
    <row r="5" spans="1:11">
      <c r="A5" s="2" t="s">
        <v>46</v>
      </c>
      <c r="B5" s="1" t="s">
        <v>118</v>
      </c>
      <c r="C5">
        <f t="shared" ref="C5:C68" si="0">IF(B5&lt;&gt;"",LEN(B5),"")</f>
        <v>14</v>
      </c>
      <c r="D5">
        <f t="shared" ref="D5:D12" si="1">E5*F5</f>
        <v>4</v>
      </c>
      <c r="E5">
        <v>4</v>
      </c>
      <c r="F5">
        <v>1</v>
      </c>
      <c r="G5" t="s">
        <v>106</v>
      </c>
      <c r="I5" t="s">
        <v>113</v>
      </c>
      <c r="K5" t="s">
        <v>125</v>
      </c>
    </row>
    <row r="6" spans="1:11">
      <c r="B6" s="1" t="s">
        <v>120</v>
      </c>
      <c r="C6">
        <f t="shared" si="0"/>
        <v>13</v>
      </c>
      <c r="D6">
        <f t="shared" si="1"/>
        <v>6</v>
      </c>
      <c r="E6">
        <v>6</v>
      </c>
      <c r="F6">
        <v>1</v>
      </c>
      <c r="G6" t="s">
        <v>107</v>
      </c>
      <c r="I6" t="s">
        <v>114</v>
      </c>
      <c r="K6" t="s">
        <v>126</v>
      </c>
    </row>
    <row r="7" spans="1:11">
      <c r="B7" s="1" t="s">
        <v>119</v>
      </c>
      <c r="C7">
        <f t="shared" si="0"/>
        <v>11</v>
      </c>
      <c r="D7">
        <f t="shared" si="1"/>
        <v>6</v>
      </c>
      <c r="E7">
        <v>6</v>
      </c>
      <c r="F7">
        <v>1</v>
      </c>
      <c r="G7" t="s">
        <v>108</v>
      </c>
      <c r="I7" t="s">
        <v>115</v>
      </c>
    </row>
    <row r="8" spans="1:11">
      <c r="A8" s="2" t="s">
        <v>121</v>
      </c>
      <c r="B8" s="1" t="s">
        <v>122</v>
      </c>
      <c r="C8">
        <f t="shared" si="0"/>
        <v>23</v>
      </c>
      <c r="D8">
        <f t="shared" si="1"/>
        <v>6</v>
      </c>
      <c r="E8">
        <v>6</v>
      </c>
      <c r="F8">
        <v>1</v>
      </c>
      <c r="G8" t="s">
        <v>109</v>
      </c>
      <c r="I8" t="s">
        <v>116</v>
      </c>
    </row>
    <row r="9" spans="1:11" ht="37.5">
      <c r="A9" s="2" t="s">
        <v>123</v>
      </c>
      <c r="B9" s="1" t="s">
        <v>127</v>
      </c>
      <c r="C9">
        <f t="shared" si="0"/>
        <v>37</v>
      </c>
      <c r="D9">
        <f t="shared" si="1"/>
        <v>6</v>
      </c>
      <c r="E9">
        <v>6</v>
      </c>
      <c r="F9">
        <v>1</v>
      </c>
      <c r="G9" t="s">
        <v>110</v>
      </c>
      <c r="I9" t="s">
        <v>117</v>
      </c>
    </row>
    <row r="10" spans="1:11" ht="37.5">
      <c r="B10" s="1" t="s">
        <v>128</v>
      </c>
      <c r="C10">
        <f t="shared" si="0"/>
        <v>29</v>
      </c>
      <c r="D10">
        <f t="shared" si="1"/>
        <v>6</v>
      </c>
      <c r="E10">
        <v>6</v>
      </c>
      <c r="F10">
        <v>1</v>
      </c>
    </row>
    <row r="11" spans="1:11">
      <c r="A11" s="2" t="s">
        <v>129</v>
      </c>
      <c r="B11" s="1" t="s">
        <v>131</v>
      </c>
      <c r="C11">
        <f t="shared" si="0"/>
        <v>22</v>
      </c>
      <c r="D11">
        <f t="shared" si="1"/>
        <v>6</v>
      </c>
      <c r="E11">
        <v>6</v>
      </c>
      <c r="F11">
        <v>1</v>
      </c>
    </row>
    <row r="12" spans="1:11" ht="37.5">
      <c r="A12" s="2" t="s">
        <v>130</v>
      </c>
      <c r="B12" s="1" t="s">
        <v>132</v>
      </c>
      <c r="C12">
        <f t="shared" si="0"/>
        <v>36</v>
      </c>
      <c r="D12">
        <f t="shared" si="1"/>
        <v>6</v>
      </c>
      <c r="E12">
        <v>6</v>
      </c>
      <c r="F12">
        <v>1</v>
      </c>
    </row>
    <row r="13" spans="1:11">
      <c r="C13" t="str">
        <f t="shared" si="0"/>
        <v/>
      </c>
    </row>
    <row r="14" spans="1:11">
      <c r="C14" t="str">
        <f t="shared" si="0"/>
        <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2025-03-08T07:06:57Z</dcterms:modified>
</cp:coreProperties>
</file>