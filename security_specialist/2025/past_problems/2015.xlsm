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2E6AD099-E7DB-4FC4-B8AA-E8E10BD05671}" xr6:coauthVersionLast="47" xr6:coauthVersionMax="47" xr10:uidLastSave="{00000000-0000-0000-0000-000000000000}"/>
  <bookViews>
    <workbookView xWindow="-120" yWindow="-120" windowWidth="29040" windowHeight="15720" xr2:uid="{00000000-000D-0000-FFFF-FFFF00000000}"/>
  </bookViews>
  <sheets>
    <sheet name="レビュー" sheetId="2" r:id="rId1"/>
    <sheet name="format" sheetId="4" r:id="rId2"/>
    <sheet name="1" sheetId="5" r:id="rId3"/>
    <sheet name="2" sheetId="6" r:id="rId4"/>
    <sheet name="3" sheetId="7"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7" l="1"/>
  <c r="D10" i="7"/>
  <c r="D9" i="7"/>
  <c r="D8" i="7"/>
  <c r="D7" i="7"/>
  <c r="D6" i="7"/>
  <c r="D5" i="7"/>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13" i="6"/>
  <c r="D12" i="6"/>
  <c r="D11" i="6"/>
  <c r="D10" i="6"/>
  <c r="D9" i="6"/>
  <c r="D8" i="6"/>
  <c r="D7" i="6"/>
  <c r="D2" i="6" s="1"/>
  <c r="D6" i="6"/>
  <c r="D5" i="6"/>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7" l="1"/>
  <c r="D2" i="5"/>
</calcChain>
</file>

<file path=xl/sharedStrings.xml><?xml version="1.0" encoding="utf-8"?>
<sst xmlns="http://schemas.openxmlformats.org/spreadsheetml/2006/main" count="168" uniqueCount="133">
  <si>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</si>
  <si>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</si>
  <si>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</si>
  <si>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</si>
  <si>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</si>
  <si>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</si>
  <si>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</si>
  <si>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</si>
  <si>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</si>
  <si>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</si>
  <si>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</si>
  <si>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</si>
  <si>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2015-春</t>
  </si>
  <si>
    <t>2015-春</t>
    <rPh sb="5" eb="6">
      <t>ハル</t>
    </rPh>
    <phoneticPr fontId="1"/>
  </si>
  <si>
    <t>PM2-1</t>
  </si>
  <si>
    <t>PM2-1</t>
    <phoneticPr fontId="1"/>
  </si>
  <si>
    <t>システム会社</t>
    <rPh sb="4" eb="6">
      <t>カイシャ</t>
    </rPh>
    <phoneticPr fontId="1"/>
  </si>
  <si>
    <t>西日本</t>
    <rPh sb="0" eb="3">
      <t>ニシニホン</t>
    </rPh>
    <phoneticPr fontId="1"/>
  </si>
  <si>
    <t>メール</t>
    <phoneticPr fontId="1"/>
  </si>
  <si>
    <t>情報システム</t>
    <rPh sb="0" eb="2">
      <t>ジョウホウ</t>
    </rPh>
    <phoneticPr fontId="1"/>
  </si>
  <si>
    <t>2重か</t>
    <rPh sb="1" eb="2">
      <t>ジュウ</t>
    </rPh>
    <phoneticPr fontId="1"/>
  </si>
  <si>
    <t>どこかに接続</t>
    <rPh sb="4" eb="6">
      <t>セツゾク</t>
    </rPh>
    <phoneticPr fontId="1"/>
  </si>
  <si>
    <t>DNS拡張</t>
    <rPh sb="3" eb="5">
      <t>カクチョウ</t>
    </rPh>
    <phoneticPr fontId="1"/>
  </si>
  <si>
    <t>a: DNSSEC</t>
    <phoneticPr fontId="1"/>
  </si>
  <si>
    <t>b: オープン</t>
    <phoneticPr fontId="1"/>
  </si>
  <si>
    <t>c: エンベロープ</t>
    <phoneticPr fontId="1"/>
  </si>
  <si>
    <t>d: n-sha.co.jp</t>
    <phoneticPr fontId="1"/>
  </si>
  <si>
    <t>1-1</t>
    <phoneticPr fontId="1"/>
  </si>
  <si>
    <t>1-2</t>
    <phoneticPr fontId="1"/>
  </si>
  <si>
    <t>プロキシにはURLフィルタリング</t>
    <phoneticPr fontId="1"/>
  </si>
  <si>
    <t>ホワイトリスト</t>
    <phoneticPr fontId="1"/>
  </si>
  <si>
    <t>ファイルSV1</t>
    <phoneticPr fontId="1"/>
  </si>
  <si>
    <t>V社ウイルス</t>
    <rPh sb="1" eb="2">
      <t>シャ</t>
    </rPh>
    <phoneticPr fontId="1"/>
  </si>
  <si>
    <t>1-3</t>
    <phoneticPr fontId="1"/>
  </si>
  <si>
    <t>ウイルススキャンならする</t>
    <phoneticPr fontId="1"/>
  </si>
  <si>
    <t>2</t>
    <phoneticPr fontId="1"/>
  </si>
  <si>
    <t>e: 送信元のメールアドレス</t>
    <rPh sb="3" eb="6">
      <t>ソウシンモト</t>
    </rPh>
    <phoneticPr fontId="1"/>
  </si>
  <si>
    <t>PCから貸与</t>
    <rPh sb="4" eb="6">
      <t>タイヨ</t>
    </rPh>
    <phoneticPr fontId="1"/>
  </si>
  <si>
    <t>初期設定</t>
    <rPh sb="0" eb="4">
      <t>ショキセッテイ</t>
    </rPh>
    <phoneticPr fontId="1"/>
  </si>
  <si>
    <t>DVD-R</t>
    <phoneticPr fontId="1"/>
  </si>
  <si>
    <t>3</t>
    <phoneticPr fontId="1"/>
  </si>
  <si>
    <t>初期設定ネットワーク</t>
    <rPh sb="0" eb="4">
      <t>ショキセッテイ</t>
    </rPh>
    <phoneticPr fontId="1"/>
  </si>
  <si>
    <t>ブロードバンドルータ</t>
    <phoneticPr fontId="1"/>
  </si>
  <si>
    <t>脆弱性修正プログラムやウイルス定義ファイルを配布するサイトに制限する</t>
    <rPh sb="0" eb="3">
      <t>ゼイジャクセイ</t>
    </rPh>
    <rPh sb="3" eb="5">
      <t>シュウセイ</t>
    </rPh>
    <rPh sb="15" eb="17">
      <t>テイギ</t>
    </rPh>
    <rPh sb="22" eb="24">
      <t>ハイフ</t>
    </rPh>
    <rPh sb="30" eb="32">
      <t>セイゲン</t>
    </rPh>
    <phoneticPr fontId="1"/>
  </si>
  <si>
    <t>4-1</t>
    <phoneticPr fontId="1"/>
  </si>
  <si>
    <t>ネットワークから遮断</t>
    <rPh sb="8" eb="10">
      <t>シャダン</t>
    </rPh>
    <phoneticPr fontId="1"/>
  </si>
  <si>
    <t>W社サイトにX</t>
    <rPh sb="1" eb="2">
      <t>シャ</t>
    </rPh>
    <phoneticPr fontId="1"/>
  </si>
  <si>
    <t>C&amp;Cに接続</t>
    <rPh sb="4" eb="6">
      <t>セツゾク</t>
    </rPh>
    <phoneticPr fontId="1"/>
  </si>
  <si>
    <t>初期設定用ネットワークに接続し、W社の駆除ツールをダウンロードして、適用した。</t>
    <rPh sb="0" eb="5">
      <t>ショキセッテイヨウ</t>
    </rPh>
    <rPh sb="12" eb="14">
      <t>セツゾク</t>
    </rPh>
    <rPh sb="17" eb="18">
      <t>シャ</t>
    </rPh>
    <rPh sb="19" eb="21">
      <t>クジョ</t>
    </rPh>
    <rPh sb="34" eb="36">
      <t>テキヨウ</t>
    </rPh>
    <phoneticPr fontId="1"/>
  </si>
  <si>
    <t>SMTP</t>
    <phoneticPr fontId="1"/>
  </si>
  <si>
    <t>4-2</t>
    <phoneticPr fontId="1"/>
  </si>
  <si>
    <t>中継サーバーのFQDNを部分一致でマッチさせる</t>
    <rPh sb="0" eb="2">
      <t>チュウケイ</t>
    </rPh>
    <rPh sb="12" eb="16">
      <t>ブブンイッチ</t>
    </rPh>
    <phoneticPr fontId="1"/>
  </si>
  <si>
    <t>4-3</t>
    <phoneticPr fontId="1"/>
  </si>
  <si>
    <t>営業本部の他のメンバーのもとにマルウェアXが添付されたメールが来てないか確認し、ウイルス駆除を行う</t>
    <rPh sb="0" eb="4">
      <t>エイギョウホンブ</t>
    </rPh>
    <rPh sb="5" eb="6">
      <t>ホカ</t>
    </rPh>
    <rPh sb="22" eb="24">
      <t>テンプ</t>
    </rPh>
    <rPh sb="31" eb="32">
      <t>キ</t>
    </rPh>
    <rPh sb="36" eb="38">
      <t>カクニン</t>
    </rPh>
    <rPh sb="44" eb="46">
      <t>クジョ</t>
    </rPh>
    <rPh sb="47" eb="48">
      <t>オコナ</t>
    </rPh>
    <phoneticPr fontId="1"/>
  </si>
  <si>
    <t>4-4</t>
    <phoneticPr fontId="1"/>
  </si>
  <si>
    <t>不検出およびスキャン不能の場合も、結果を通知する</t>
    <rPh sb="0" eb="3">
      <t>フケンシュツ</t>
    </rPh>
    <rPh sb="10" eb="12">
      <t>フノウ</t>
    </rPh>
    <rPh sb="13" eb="15">
      <t>バアイ</t>
    </rPh>
    <rPh sb="17" eb="19">
      <t>ケッカ</t>
    </rPh>
    <rPh sb="20" eb="22">
      <t>ツウチ</t>
    </rPh>
    <phoneticPr fontId="1"/>
  </si>
  <si>
    <t>管理サーバーに設置</t>
    <rPh sb="0" eb="2">
      <t>カンリ</t>
    </rPh>
    <rPh sb="7" eb="9">
      <t>セッチ</t>
    </rPh>
    <phoneticPr fontId="1"/>
  </si>
  <si>
    <t>ウイルス定義ファイル</t>
    <rPh sb="4" eb="6">
      <t>テイギ</t>
    </rPh>
    <phoneticPr fontId="1"/>
  </si>
  <si>
    <t>対策集中管理</t>
    <rPh sb="0" eb="6">
      <t>タイサクシュウチュウカンリ</t>
    </rPh>
    <phoneticPr fontId="1"/>
  </si>
  <si>
    <t>5</t>
    <phoneticPr fontId="1"/>
  </si>
  <si>
    <t>ウイルス定義ファイルが更新されてないPCにリモートで、更新するように指示を出す</t>
    <rPh sb="4" eb="6">
      <t>テイギ</t>
    </rPh>
    <rPh sb="11" eb="13">
      <t>コウシン</t>
    </rPh>
    <rPh sb="27" eb="29">
      <t>コウシン</t>
    </rPh>
    <rPh sb="34" eb="36">
      <t>シジ</t>
    </rPh>
    <rPh sb="37" eb="38">
      <t>ダ</t>
    </rPh>
    <phoneticPr fontId="1"/>
  </si>
  <si>
    <t>ウイルス定義ファイルが更新後に、リモートでフルスキャンを実行するように指示を出す</t>
    <rPh sb="4" eb="6">
      <t>テイギ</t>
    </rPh>
    <rPh sb="11" eb="14">
      <t>コウシンアト</t>
    </rPh>
    <rPh sb="28" eb="30">
      <t>ジッコウ</t>
    </rPh>
    <rPh sb="35" eb="37">
      <t>シジ</t>
    </rPh>
    <rPh sb="38" eb="39">
      <t>ダ</t>
    </rPh>
    <phoneticPr fontId="1"/>
  </si>
  <si>
    <t>アップロードされるウイルス感染情報を基に、感染したPCを特定し、ウイルス駆除を実施する</t>
    <rPh sb="13" eb="17">
      <t>カンセンジョウホウ</t>
    </rPh>
    <rPh sb="18" eb="19">
      <t>モト</t>
    </rPh>
    <rPh sb="21" eb="23">
      <t>カンセン</t>
    </rPh>
    <rPh sb="28" eb="30">
      <t>トクテイ</t>
    </rPh>
    <rPh sb="36" eb="38">
      <t>クジョ</t>
    </rPh>
    <rPh sb="39" eb="41">
      <t>ジッシ</t>
    </rPh>
    <phoneticPr fontId="1"/>
  </si>
  <si>
    <t>6-1</t>
    <phoneticPr fontId="1"/>
  </si>
  <si>
    <t>ウイルス対策強化</t>
    <rPh sb="4" eb="6">
      <t>タイサク</t>
    </rPh>
    <rPh sb="6" eb="8">
      <t>キョウカ</t>
    </rPh>
    <phoneticPr fontId="1"/>
  </si>
  <si>
    <t>運用グループ</t>
    <rPh sb="0" eb="2">
      <t>ウンヨウ</t>
    </rPh>
    <phoneticPr fontId="1"/>
  </si>
  <si>
    <t>問い合わせ内容に攻撃者が用意したサーバーのURLを記載し、誘導する</t>
    <rPh sb="0" eb="1">
      <t>ト</t>
    </rPh>
    <rPh sb="2" eb="3">
      <t>ア</t>
    </rPh>
    <rPh sb="5" eb="7">
      <t>ナイヨウ</t>
    </rPh>
    <rPh sb="8" eb="11">
      <t>コウゲキシャ</t>
    </rPh>
    <rPh sb="12" eb="14">
      <t>ヨウイ</t>
    </rPh>
    <rPh sb="25" eb="27">
      <t>キサイ</t>
    </rPh>
    <rPh sb="29" eb="31">
      <t>ユウドウ</t>
    </rPh>
    <phoneticPr fontId="1"/>
  </si>
  <si>
    <t>6-2</t>
    <phoneticPr fontId="1"/>
  </si>
  <si>
    <t>httttpsps</t>
    <phoneticPr fontId="1"/>
  </si>
  <si>
    <t>S社</t>
    <rPh sb="1" eb="2">
      <t>シャ</t>
    </rPh>
    <phoneticPr fontId="1"/>
  </si>
  <si>
    <t>セキュリティプロフェッショナル</t>
    <phoneticPr fontId="1"/>
  </si>
  <si>
    <t>webアプリ脆弱性</t>
    <rPh sb="6" eb="9">
      <t>ゼイジャクセイ</t>
    </rPh>
    <phoneticPr fontId="1"/>
  </si>
  <si>
    <t>画面Eへのリンク</t>
    <rPh sb="0" eb="2">
      <t>ガメン</t>
    </rPh>
    <phoneticPr fontId="1"/>
  </si>
  <si>
    <t>検索フィールド</t>
    <rPh sb="0" eb="2">
      <t>ケンサク</t>
    </rPh>
    <phoneticPr fontId="1"/>
  </si>
  <si>
    <t>画面E</t>
    <rPh sb="0" eb="2">
      <t>ガメン</t>
    </rPh>
    <phoneticPr fontId="1"/>
  </si>
  <si>
    <t>検索文字列クリック</t>
    <rPh sb="0" eb="2">
      <t>ケンサク</t>
    </rPh>
    <rPh sb="2" eb="5">
      <t>モジレツ</t>
    </rPh>
    <phoneticPr fontId="1"/>
  </si>
  <si>
    <t>secureないとhttpで出る</t>
    <rPh sb="14" eb="15">
      <t>デ</t>
    </rPh>
    <phoneticPr fontId="1"/>
  </si>
  <si>
    <t>検索ボタン</t>
    <rPh sb="0" eb="2">
      <t>ケンサク</t>
    </rPh>
    <phoneticPr fontId="1"/>
  </si>
  <si>
    <t>未ログイン</t>
    <rPh sb="0" eb="1">
      <t>ミ</t>
    </rPh>
    <phoneticPr fontId="1"/>
  </si>
  <si>
    <t>URLエンコーダでSVに送信</t>
    <rPh sb="12" eb="14">
      <t>ソウシン</t>
    </rPh>
    <phoneticPr fontId="1"/>
  </si>
  <si>
    <t>session idとするset cookie</t>
    <phoneticPr fontId="1"/>
  </si>
  <si>
    <t>検索文字列</t>
    <rPh sb="0" eb="2">
      <t>ケンサク</t>
    </rPh>
    <rPh sb="2" eb="5">
      <t>モジレツ</t>
    </rPh>
    <phoneticPr fontId="1"/>
  </si>
  <si>
    <t>set cookieヘッダ</t>
    <phoneticPr fontId="1"/>
  </si>
  <si>
    <t>SetCookie</t>
    <phoneticPr fontId="1"/>
  </si>
  <si>
    <t>HTTPパラを変更する</t>
    <rPh sb="7" eb="9">
      <t>ヘンコウ</t>
    </rPh>
    <phoneticPr fontId="1"/>
  </si>
  <si>
    <t>画面B</t>
    <rPh sb="0" eb="2">
      <t>ガメン</t>
    </rPh>
    <phoneticPr fontId="1"/>
  </si>
  <si>
    <t>暗号化されていないHTTP通信で、セッションIDが送信されるため</t>
    <rPh sb="0" eb="3">
      <t>アンゴウカ</t>
    </rPh>
    <rPh sb="13" eb="15">
      <t>ツウシン</t>
    </rPh>
    <rPh sb="25" eb="27">
      <t>ソウシン</t>
    </rPh>
    <phoneticPr fontId="1"/>
  </si>
  <si>
    <t>図7のa</t>
    <rPh sb="0" eb="1">
      <t>ズ</t>
    </rPh>
    <phoneticPr fontId="1"/>
  </si>
  <si>
    <t>2-1</t>
    <phoneticPr fontId="1"/>
  </si>
  <si>
    <t>%0d%0a%0d%0a</t>
    <phoneticPr fontId="1"/>
  </si>
  <si>
    <t>URLエンコード</t>
    <phoneticPr fontId="1"/>
  </si>
  <si>
    <t>2-2</t>
    <phoneticPr fontId="1"/>
  </si>
  <si>
    <t>b: ウ</t>
    <phoneticPr fontId="1"/>
  </si>
  <si>
    <t>2-3</t>
    <phoneticPr fontId="1"/>
  </si>
  <si>
    <t>c: 出力文字列に改行コードがある場合、エラー画面を出力する</t>
    <rPh sb="3" eb="5">
      <t>シュツリョク</t>
    </rPh>
    <rPh sb="5" eb="8">
      <t>モジレツ</t>
    </rPh>
    <rPh sb="9" eb="11">
      <t>カイギョウ</t>
    </rPh>
    <rPh sb="17" eb="19">
      <t>バアイ</t>
    </rPh>
    <rPh sb="23" eb="25">
      <t>ガメン</t>
    </rPh>
    <rPh sb="26" eb="28">
      <t>シュツリョク</t>
    </rPh>
    <phoneticPr fontId="1"/>
  </si>
  <si>
    <t>3-1</t>
    <phoneticPr fontId="1"/>
  </si>
  <si>
    <t>d: 09</t>
    <phoneticPr fontId="1"/>
  </si>
  <si>
    <t>e: 17</t>
    <phoneticPr fontId="1"/>
  </si>
  <si>
    <t>3-2</t>
    <phoneticPr fontId="1"/>
  </si>
  <si>
    <t>f: %03</t>
    <phoneticPr fontId="1"/>
  </si>
  <si>
    <t>3-3</t>
    <phoneticPr fontId="1"/>
  </si>
  <si>
    <t>攻撃者Jが用意したセッションIDで利用者Kにログインさせているため</t>
    <rPh sb="0" eb="3">
      <t>コウゲキシャ</t>
    </rPh>
    <rPh sb="5" eb="7">
      <t>ヨウイ</t>
    </rPh>
    <rPh sb="17" eb="20">
      <t>リヨウシャ</t>
    </rPh>
    <phoneticPr fontId="1"/>
  </si>
  <si>
    <t>3-4</t>
    <phoneticPr fontId="1"/>
  </si>
  <si>
    <t>新しいセッションIDによるセッションを開始する</t>
    <rPh sb="0" eb="1">
      <t>アタラ</t>
    </rPh>
    <rPh sb="19" eb="21">
      <t>カイシ</t>
    </rPh>
    <phoneticPr fontId="1"/>
  </si>
  <si>
    <t>PM2-3</t>
  </si>
  <si>
    <t>PM2-3</t>
    <phoneticPr fontId="1"/>
  </si>
  <si>
    <t>Z社は衣料品販売</t>
    <rPh sb="1" eb="2">
      <t>シャ</t>
    </rPh>
    <rPh sb="3" eb="6">
      <t>イリョウヒン</t>
    </rPh>
    <rPh sb="6" eb="8">
      <t>ハンバイ</t>
    </rPh>
    <phoneticPr fontId="1"/>
  </si>
  <si>
    <t>Zサイトを運営</t>
    <rPh sb="5" eb="7">
      <t>ウンエイ</t>
    </rPh>
    <phoneticPr fontId="1"/>
  </si>
  <si>
    <t>オンライン決済</t>
    <rPh sb="5" eb="7">
      <t>ケッサイ</t>
    </rPh>
    <phoneticPr fontId="1"/>
  </si>
  <si>
    <t>メールアドレス</t>
    <phoneticPr fontId="1"/>
  </si>
  <si>
    <t>パスワード</t>
    <phoneticPr fontId="1"/>
  </si>
  <si>
    <t>システム部A主任</t>
    <rPh sb="4" eb="5">
      <t>ブ</t>
    </rPh>
    <rPh sb="6" eb="8">
      <t>シュニン</t>
    </rPh>
    <phoneticPr fontId="1"/>
  </si>
  <si>
    <t>オンラインクレジットの利用</t>
    <rPh sb="11" eb="13">
      <t>リヨウ</t>
    </rPh>
    <phoneticPr fontId="1"/>
  </si>
  <si>
    <t>メアド</t>
    <phoneticPr fontId="1"/>
  </si>
  <si>
    <t>PW６桁</t>
    <rPh sb="3" eb="4">
      <t>ケタ</t>
    </rPh>
    <phoneticPr fontId="1"/>
  </si>
  <si>
    <t>不正アクセス</t>
    <rPh sb="0" eb="2">
      <t>フセイ</t>
    </rPh>
    <phoneticPr fontId="1"/>
  </si>
  <si>
    <t>パスワード固定</t>
    <rPh sb="5" eb="7">
      <t>コテイ</t>
    </rPh>
    <phoneticPr fontId="1"/>
  </si>
  <si>
    <t>利用者ID</t>
    <rPh sb="0" eb="3">
      <t>リヨウシャ</t>
    </rPh>
    <phoneticPr fontId="1"/>
  </si>
  <si>
    <t>PW固定</t>
    <rPh sb="2" eb="4">
      <t>コテイ</t>
    </rPh>
    <phoneticPr fontId="1"/>
  </si>
  <si>
    <t>アカウント管理問題</t>
    <rPh sb="5" eb="7">
      <t>カンリ</t>
    </rPh>
    <rPh sb="7" eb="9">
      <t>モンダイ</t>
    </rPh>
    <phoneticPr fontId="1"/>
  </si>
  <si>
    <t>多くの文字列のハッシュ値を事前に計算したものと、漏洩したファイルのハッシュ値を照合し、パスワードを推測する攻撃</t>
    <rPh sb="0" eb="1">
      <t>オオ</t>
    </rPh>
    <rPh sb="3" eb="6">
      <t>モジレツ</t>
    </rPh>
    <rPh sb="11" eb="12">
      <t>アタイ</t>
    </rPh>
    <rPh sb="13" eb="15">
      <t>ジゼン</t>
    </rPh>
    <rPh sb="16" eb="18">
      <t>ケイサン</t>
    </rPh>
    <rPh sb="24" eb="26">
      <t>ロウエイ</t>
    </rPh>
    <rPh sb="37" eb="38">
      <t>アタイ</t>
    </rPh>
    <rPh sb="39" eb="41">
      <t>ショウゴウ</t>
    </rPh>
    <rPh sb="49" eb="51">
      <t>スイソク</t>
    </rPh>
    <rPh sb="53" eb="55">
      <t>コウゲキ</t>
    </rPh>
    <phoneticPr fontId="1"/>
  </si>
  <si>
    <t>1</t>
    <phoneticPr fontId="1"/>
  </si>
  <si>
    <t>a: 32</t>
    <phoneticPr fontId="1"/>
  </si>
  <si>
    <t>ソルトの保存領域の追加</t>
    <rPh sb="4" eb="8">
      <t>ホゾンリョウイキ</t>
    </rPh>
    <rPh sb="9" eb="11">
      <t>ツイカ</t>
    </rPh>
    <phoneticPr fontId="1"/>
  </si>
  <si>
    <t>単位時間当たりの同一IPアドレスからのログイン失敗回数</t>
    <rPh sb="0" eb="4">
      <t>タンイジカン</t>
    </rPh>
    <rPh sb="4" eb="5">
      <t>ア</t>
    </rPh>
    <rPh sb="8" eb="10">
      <t>ドウイツ</t>
    </rPh>
    <rPh sb="23" eb="25">
      <t>シッパイ</t>
    </rPh>
    <rPh sb="25" eb="27">
      <t>カイスウ</t>
    </rPh>
    <phoneticPr fontId="1"/>
  </si>
  <si>
    <t>c: 複数のIPアドレス</t>
    <rPh sb="3" eb="5">
      <t>フクスウ</t>
    </rPh>
    <phoneticPr fontId="1"/>
  </si>
  <si>
    <t>パスワード攻撃の監視と対応</t>
    <rPh sb="5" eb="7">
      <t>コウゲキ</t>
    </rPh>
    <rPh sb="8" eb="10">
      <t>カンシ</t>
    </rPh>
    <rPh sb="11" eb="13">
      <t>タイオウ</t>
    </rPh>
    <phoneticPr fontId="1"/>
  </si>
  <si>
    <t>パスワード攻撃には検知できないものがある</t>
    <rPh sb="5" eb="7">
      <t>コウゲキ</t>
    </rPh>
    <rPh sb="9" eb="11">
      <t>ケンチ</t>
    </rPh>
    <phoneticPr fontId="1"/>
  </si>
  <si>
    <t>d: 10^6</t>
    <phoneticPr fontId="1"/>
  </si>
  <si>
    <t>e: 200</t>
    <phoneticPr fontId="1"/>
  </si>
  <si>
    <t>f: 80^8</t>
    <phoneticPr fontId="1"/>
  </si>
  <si>
    <t>4</t>
    <phoneticPr fontId="1"/>
  </si>
  <si>
    <t>他サイトより流出した利用者IDとパスワードの組合せによるパスワード攻撃</t>
    <rPh sb="0" eb="1">
      <t>ホカ</t>
    </rPh>
    <rPh sb="6" eb="8">
      <t>リュウシュツ</t>
    </rPh>
    <rPh sb="10" eb="13">
      <t>リヨウシャ</t>
    </rPh>
    <rPh sb="22" eb="24">
      <t>クミアワ</t>
    </rPh>
    <rPh sb="33" eb="35">
      <t>コウゲキ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</si>
</sst>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2" borderId="0" xfId="0" applyNumberFormat="1" applyFill="1"/>
    <xf numFmtId="0" fontId="0" fillId="2" borderId="0" xfId="0" applyFill="1" applyAlignment="1">
      <alignment wrapText="1"/>
    </xf>
    <xf numFmtId="0" fontId="0" fillId="2" borderId="0" xfId="0" applyFill="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4"/>
  <sheetViews>
    <sheetView tabSelected="1" zoomScaleNormal="100" workbookViewId="0">
      <selection activeCell="C4" sqref="C4"/>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78</v>
      </c>
      <c r="E2">
        <v>100</v>
      </c>
    </row>
    <row r="3" spans="1:6">
      <c r="A3">
        <v>2</v>
      </c>
      <c r="B3" s="2" t="s">
        <v>12</v>
      </c>
      <c r="C3" s="2" t="s">
        <v>14</v>
      </c>
      <c r="D3">
        <v>30</v>
      </c>
      <c r="E3">
        <v>50</v>
      </c>
    </row>
    <row r="4" spans="1:6">
      <c r="A4">
        <v>3</v>
      </c>
      <c r="B4" s="2" t="s">
        <v>12</v>
      </c>
      <c r="C4" s="2" t="s">
        <v>104</v>
      </c>
      <c r="D4">
        <v>44</v>
      </c>
      <c r="E4">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6" sqref="B6"/>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583F3-A4AE-4500-8478-2D1F29EB2653}">
  <sheetPr codeName="Sheet4"/>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2.875" style="1" customWidth="1"/>
    <col min="3" max="3" width="9.75" customWidth="1"/>
  </cols>
  <sheetData>
    <row r="1" spans="1:13">
      <c r="A1" s="2" t="s">
        <v>0</v>
      </c>
      <c r="B1" s="1" t="s">
        <v>13</v>
      </c>
    </row>
    <row r="2" spans="1:13">
      <c r="A2" s="2" t="s">
        <v>2</v>
      </c>
      <c r="B2" s="3" t="s">
        <v>15</v>
      </c>
      <c r="D2">
        <f>SUM(D4:D1000)</f>
        <v>78</v>
      </c>
      <c r="E2">
        <f>SUM(E4:E1000)</f>
        <v>100</v>
      </c>
    </row>
    <row r="3" spans="1:13">
      <c r="A3" s="2" t="s">
        <v>1</v>
      </c>
      <c r="B3" s="1" t="s">
        <v>3</v>
      </c>
      <c r="C3" t="s">
        <v>6</v>
      </c>
      <c r="D3" t="s">
        <v>4</v>
      </c>
      <c r="E3" t="s">
        <v>5</v>
      </c>
    </row>
    <row r="4" spans="1:13">
      <c r="A4" s="2" t="s">
        <v>27</v>
      </c>
      <c r="B4" s="1" t="s">
        <v>23</v>
      </c>
      <c r="C4">
        <f>IF(B4&lt;&gt;"",LEN(B4),"")</f>
        <v>9</v>
      </c>
      <c r="D4">
        <f>E4*F4</f>
        <v>4</v>
      </c>
      <c r="E4">
        <v>4</v>
      </c>
      <c r="F4">
        <v>1</v>
      </c>
      <c r="G4" t="s">
        <v>16</v>
      </c>
      <c r="I4" t="s">
        <v>21</v>
      </c>
      <c r="K4" t="s">
        <v>32</v>
      </c>
      <c r="M4" t="s">
        <v>41</v>
      </c>
    </row>
    <row r="5" spans="1:13">
      <c r="A5" s="2" t="s">
        <v>28</v>
      </c>
      <c r="B5" s="1" t="s">
        <v>24</v>
      </c>
      <c r="C5">
        <f t="shared" ref="C5:C68" si="0">IF(B5&lt;&gt;"",LEN(B5),"")</f>
        <v>7</v>
      </c>
      <c r="D5">
        <f t="shared" ref="D5:D17" si="1">E5*F5</f>
        <v>6</v>
      </c>
      <c r="E5">
        <v>6</v>
      </c>
      <c r="F5">
        <v>1</v>
      </c>
      <c r="G5" t="s">
        <v>17</v>
      </c>
      <c r="I5" t="s">
        <v>22</v>
      </c>
      <c r="K5" t="s">
        <v>34</v>
      </c>
      <c r="M5" t="s">
        <v>42</v>
      </c>
    </row>
    <row r="6" spans="1:13">
      <c r="B6" s="1" t="s">
        <v>25</v>
      </c>
      <c r="C6">
        <f t="shared" si="0"/>
        <v>9</v>
      </c>
      <c r="D6">
        <f t="shared" si="1"/>
        <v>6</v>
      </c>
      <c r="E6">
        <v>6</v>
      </c>
      <c r="F6">
        <v>1</v>
      </c>
      <c r="G6" t="s">
        <v>18</v>
      </c>
      <c r="I6" t="s">
        <v>29</v>
      </c>
      <c r="K6" t="s">
        <v>37</v>
      </c>
      <c r="M6" t="s">
        <v>45</v>
      </c>
    </row>
    <row r="7" spans="1:13">
      <c r="A7" s="2" t="s">
        <v>33</v>
      </c>
      <c r="B7" s="1" t="s">
        <v>26</v>
      </c>
      <c r="C7">
        <f t="shared" si="0"/>
        <v>14</v>
      </c>
      <c r="D7">
        <f t="shared" si="1"/>
        <v>6</v>
      </c>
      <c r="E7">
        <v>6</v>
      </c>
      <c r="F7">
        <v>1</v>
      </c>
      <c r="G7" t="s">
        <v>19</v>
      </c>
      <c r="I7" t="s">
        <v>30</v>
      </c>
      <c r="K7" t="s">
        <v>38</v>
      </c>
      <c r="M7" t="s">
        <v>46</v>
      </c>
    </row>
    <row r="8" spans="1:13">
      <c r="A8" s="2" t="s">
        <v>35</v>
      </c>
      <c r="B8" s="1" t="s">
        <v>36</v>
      </c>
      <c r="C8">
        <f t="shared" si="0"/>
        <v>14</v>
      </c>
      <c r="D8">
        <f t="shared" si="1"/>
        <v>6</v>
      </c>
      <c r="E8">
        <v>6</v>
      </c>
      <c r="F8">
        <v>1</v>
      </c>
      <c r="G8" t="s">
        <v>20</v>
      </c>
      <c r="I8" t="s">
        <v>31</v>
      </c>
      <c r="K8" t="s">
        <v>39</v>
      </c>
      <c r="M8" t="s">
        <v>56</v>
      </c>
    </row>
    <row r="9" spans="1:13" ht="37.5">
      <c r="A9" s="2" t="s">
        <v>40</v>
      </c>
      <c r="B9" s="1" t="s">
        <v>43</v>
      </c>
      <c r="C9">
        <f t="shared" si="0"/>
        <v>34</v>
      </c>
      <c r="D9">
        <f t="shared" si="1"/>
        <v>8</v>
      </c>
      <c r="E9">
        <v>8</v>
      </c>
      <c r="F9">
        <v>1</v>
      </c>
      <c r="G9" t="s">
        <v>47</v>
      </c>
      <c r="I9" t="s">
        <v>57</v>
      </c>
      <c r="K9" t="s">
        <v>64</v>
      </c>
    </row>
    <row r="10" spans="1:13" ht="37.5">
      <c r="A10" s="2" t="s">
        <v>44</v>
      </c>
      <c r="B10" s="1" t="s">
        <v>48</v>
      </c>
      <c r="C10">
        <f t="shared" si="0"/>
        <v>39</v>
      </c>
      <c r="D10">
        <f t="shared" si="1"/>
        <v>8</v>
      </c>
      <c r="E10">
        <v>8</v>
      </c>
      <c r="F10">
        <v>1</v>
      </c>
      <c r="G10" t="s">
        <v>49</v>
      </c>
      <c r="I10" t="s">
        <v>58</v>
      </c>
      <c r="K10" t="s">
        <v>65</v>
      </c>
    </row>
    <row r="11" spans="1:13">
      <c r="A11" s="2" t="s">
        <v>50</v>
      </c>
      <c r="B11" s="1" t="s">
        <v>51</v>
      </c>
      <c r="C11">
        <f t="shared" si="0"/>
        <v>23</v>
      </c>
      <c r="D11">
        <f t="shared" si="1"/>
        <v>8</v>
      </c>
      <c r="E11">
        <v>8</v>
      </c>
      <c r="F11">
        <v>1</v>
      </c>
    </row>
    <row r="12" spans="1:13" ht="37.5">
      <c r="A12" s="2" t="s">
        <v>52</v>
      </c>
      <c r="B12" s="1" t="s">
        <v>53</v>
      </c>
      <c r="C12">
        <f t="shared" si="0"/>
        <v>49</v>
      </c>
      <c r="D12">
        <f t="shared" si="1"/>
        <v>0</v>
      </c>
      <c r="E12">
        <v>8</v>
      </c>
      <c r="F12">
        <v>0</v>
      </c>
    </row>
    <row r="13" spans="1:13">
      <c r="A13" s="2" t="s">
        <v>54</v>
      </c>
      <c r="B13" s="1" t="s">
        <v>55</v>
      </c>
      <c r="C13">
        <f t="shared" si="0"/>
        <v>24</v>
      </c>
      <c r="D13">
        <f t="shared" si="1"/>
        <v>8</v>
      </c>
      <c r="E13">
        <v>8</v>
      </c>
      <c r="F13">
        <v>1</v>
      </c>
    </row>
    <row r="14" spans="1:13" ht="37.5">
      <c r="A14" s="2" t="s">
        <v>59</v>
      </c>
      <c r="B14" s="1" t="s">
        <v>60</v>
      </c>
      <c r="C14">
        <f t="shared" si="0"/>
        <v>39</v>
      </c>
      <c r="D14">
        <f t="shared" si="1"/>
        <v>8</v>
      </c>
      <c r="E14">
        <v>8</v>
      </c>
      <c r="F14">
        <v>1</v>
      </c>
    </row>
    <row r="15" spans="1:13" ht="37.5">
      <c r="B15" s="1" t="s">
        <v>61</v>
      </c>
      <c r="C15">
        <f t="shared" si="0"/>
        <v>40</v>
      </c>
      <c r="D15">
        <f t="shared" si="1"/>
        <v>0</v>
      </c>
      <c r="E15">
        <v>8</v>
      </c>
      <c r="F15">
        <v>0</v>
      </c>
      <c r="H15" t="s">
        <v>62</v>
      </c>
    </row>
    <row r="16" spans="1:13" ht="37.5">
      <c r="A16" s="2" t="s">
        <v>63</v>
      </c>
      <c r="B16" s="1" t="s">
        <v>66</v>
      </c>
      <c r="C16">
        <f t="shared" si="0"/>
        <v>33</v>
      </c>
      <c r="D16">
        <f t="shared" si="1"/>
        <v>10</v>
      </c>
      <c r="E16">
        <v>10</v>
      </c>
      <c r="F16">
        <v>1</v>
      </c>
    </row>
    <row r="17" spans="1:6">
      <c r="A17" s="2" t="s">
        <v>67</v>
      </c>
      <c r="B17" s="1" t="s">
        <v>68</v>
      </c>
      <c r="C17">
        <f t="shared" si="0"/>
        <v>9</v>
      </c>
      <c r="D17">
        <f t="shared" si="1"/>
        <v>0</v>
      </c>
      <c r="E17">
        <v>6</v>
      </c>
      <c r="F17">
        <v>0</v>
      </c>
    </row>
    <row r="18" spans="1:6">
      <c r="C18" t="str">
        <f t="shared" si="0"/>
        <v/>
      </c>
    </row>
    <row r="19" spans="1:6">
      <c r="C19" t="str">
        <f t="shared" si="0"/>
        <v/>
      </c>
    </row>
    <row r="20" spans="1:6">
      <c r="C20" t="str">
        <f t="shared" si="0"/>
        <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38D6B-5866-4475-B00F-AFBE56F864B4}">
  <sheetPr codeName="Sheet5"/>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4.75" style="1" customWidth="1"/>
    <col min="3" max="3" width="9.75" customWidth="1"/>
  </cols>
  <sheetData>
    <row r="1" spans="1:13">
      <c r="A1" s="2" t="s">
        <v>0</v>
      </c>
      <c r="B1" s="1" t="s">
        <v>13</v>
      </c>
      <c r="H1" t="s">
        <v>90</v>
      </c>
    </row>
    <row r="2" spans="1:13">
      <c r="A2" s="2" t="s">
        <v>2</v>
      </c>
      <c r="B2" s="3" t="s">
        <v>15</v>
      </c>
      <c r="D2">
        <f>SUM(D4:D1000)</f>
        <v>30</v>
      </c>
      <c r="E2">
        <f>SUM(E4:E1000)</f>
        <v>50</v>
      </c>
    </row>
    <row r="3" spans="1:13">
      <c r="A3" s="2" t="s">
        <v>1</v>
      </c>
      <c r="B3" s="1" t="s">
        <v>3</v>
      </c>
      <c r="C3" t="s">
        <v>6</v>
      </c>
      <c r="D3" t="s">
        <v>4</v>
      </c>
      <c r="E3" t="s">
        <v>5</v>
      </c>
    </row>
    <row r="4" spans="1:13">
      <c r="A4" s="2" t="s">
        <v>27</v>
      </c>
      <c r="B4" s="1" t="s">
        <v>85</v>
      </c>
      <c r="C4">
        <f>IF(B4&lt;&gt;"",LEN(B4),"")</f>
        <v>3</v>
      </c>
      <c r="D4">
        <f>E4*F4</f>
        <v>4</v>
      </c>
      <c r="E4">
        <v>4</v>
      </c>
      <c r="F4">
        <v>1</v>
      </c>
      <c r="G4" t="s">
        <v>69</v>
      </c>
      <c r="I4" t="s">
        <v>75</v>
      </c>
      <c r="K4" t="s">
        <v>81</v>
      </c>
      <c r="M4" t="s">
        <v>87</v>
      </c>
    </row>
    <row r="5" spans="1:13" ht="37.5">
      <c r="A5" s="2" t="s">
        <v>28</v>
      </c>
      <c r="B5" s="1" t="s">
        <v>86</v>
      </c>
      <c r="C5">
        <f t="shared" ref="C5:C68" si="0">IF(B5&lt;&gt;"",LEN(B5),"")</f>
        <v>32</v>
      </c>
      <c r="D5">
        <f t="shared" ref="D5:D13" si="1">E5*F5</f>
        <v>6</v>
      </c>
      <c r="E5">
        <v>6</v>
      </c>
      <c r="F5">
        <v>1</v>
      </c>
      <c r="G5" t="s">
        <v>70</v>
      </c>
      <c r="I5" t="s">
        <v>76</v>
      </c>
      <c r="K5" t="s">
        <v>82</v>
      </c>
    </row>
    <row r="6" spans="1:13">
      <c r="A6" s="2" t="s">
        <v>88</v>
      </c>
      <c r="B6" s="1" t="s">
        <v>89</v>
      </c>
      <c r="C6">
        <f t="shared" si="0"/>
        <v>12</v>
      </c>
      <c r="D6">
        <f t="shared" si="1"/>
        <v>0</v>
      </c>
      <c r="E6">
        <v>6</v>
      </c>
      <c r="F6">
        <v>0</v>
      </c>
      <c r="G6" t="s">
        <v>71</v>
      </c>
      <c r="I6" t="s">
        <v>77</v>
      </c>
      <c r="K6" t="s">
        <v>83</v>
      </c>
    </row>
    <row r="7" spans="1:13">
      <c r="A7" s="2" t="s">
        <v>91</v>
      </c>
      <c r="B7" s="1" t="s">
        <v>92</v>
      </c>
      <c r="C7">
        <f t="shared" si="0"/>
        <v>4</v>
      </c>
      <c r="D7">
        <f t="shared" si="1"/>
        <v>4</v>
      </c>
      <c r="E7">
        <v>4</v>
      </c>
      <c r="F7">
        <v>1</v>
      </c>
      <c r="G7" t="s">
        <v>72</v>
      </c>
      <c r="I7" t="s">
        <v>78</v>
      </c>
      <c r="K7" t="s">
        <v>84</v>
      </c>
    </row>
    <row r="8" spans="1:13" ht="37.5">
      <c r="A8" s="2" t="s">
        <v>93</v>
      </c>
      <c r="B8" s="1" t="s">
        <v>94</v>
      </c>
      <c r="C8">
        <f t="shared" si="0"/>
        <v>30</v>
      </c>
      <c r="D8">
        <f t="shared" si="1"/>
        <v>6</v>
      </c>
      <c r="E8">
        <v>6</v>
      </c>
      <c r="F8">
        <v>1</v>
      </c>
      <c r="G8" t="s">
        <v>73</v>
      </c>
      <c r="I8" t="s">
        <v>79</v>
      </c>
    </row>
    <row r="9" spans="1:13">
      <c r="A9" s="2" t="s">
        <v>95</v>
      </c>
      <c r="B9" s="1" t="s">
        <v>96</v>
      </c>
      <c r="C9">
        <f t="shared" si="0"/>
        <v>5</v>
      </c>
      <c r="D9">
        <f t="shared" si="1"/>
        <v>4</v>
      </c>
      <c r="E9">
        <v>4</v>
      </c>
      <c r="F9">
        <v>1</v>
      </c>
      <c r="G9" t="s">
        <v>74</v>
      </c>
      <c r="I9" t="s">
        <v>80</v>
      </c>
    </row>
    <row r="10" spans="1:13">
      <c r="B10" s="1" t="s">
        <v>97</v>
      </c>
      <c r="C10">
        <f t="shared" si="0"/>
        <v>5</v>
      </c>
      <c r="D10">
        <f t="shared" si="1"/>
        <v>0</v>
      </c>
      <c r="E10">
        <v>4</v>
      </c>
      <c r="F10">
        <v>0</v>
      </c>
    </row>
    <row r="11" spans="1:13">
      <c r="A11" s="2" t="s">
        <v>98</v>
      </c>
      <c r="B11" s="1" t="s">
        <v>99</v>
      </c>
      <c r="C11">
        <f t="shared" si="0"/>
        <v>6</v>
      </c>
      <c r="D11">
        <f t="shared" si="1"/>
        <v>0</v>
      </c>
      <c r="E11">
        <v>4</v>
      </c>
      <c r="F11">
        <v>0</v>
      </c>
    </row>
    <row r="12" spans="1:13" ht="37.5">
      <c r="A12" s="2" t="s">
        <v>100</v>
      </c>
      <c r="B12" s="1" t="s">
        <v>101</v>
      </c>
      <c r="C12">
        <f t="shared" si="0"/>
        <v>33</v>
      </c>
      <c r="D12">
        <f t="shared" si="1"/>
        <v>3</v>
      </c>
      <c r="E12">
        <v>6</v>
      </c>
      <c r="F12">
        <v>0.5</v>
      </c>
    </row>
    <row r="13" spans="1:13">
      <c r="A13" s="2" t="s">
        <v>102</v>
      </c>
      <c r="B13" s="1" t="s">
        <v>103</v>
      </c>
      <c r="C13">
        <f t="shared" si="0"/>
        <v>23</v>
      </c>
      <c r="D13">
        <f t="shared" si="1"/>
        <v>3</v>
      </c>
      <c r="E13">
        <v>6</v>
      </c>
      <c r="F13">
        <v>0.5</v>
      </c>
    </row>
    <row r="14" spans="1:13">
      <c r="C14" t="str">
        <f t="shared" si="0"/>
        <v/>
      </c>
    </row>
    <row r="15" spans="1:13">
      <c r="C15" t="str">
        <f t="shared" si="0"/>
        <v/>
      </c>
    </row>
    <row r="16" spans="1:13">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F02D6-09E0-45F1-A9D5-68A7E17CFD90}">
  <sheetPr codeName="Sheet6"/>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D4" sqref="D4:D11"/>
    </sheetView>
  </sheetViews>
  <sheetFormatPr defaultRowHeight="18.75"/>
  <cols>
    <col min="1" max="1" width="9" style="2"/>
    <col min="2" max="2" width="56.125" style="1" customWidth="1"/>
    <col min="3" max="3" width="9.75" customWidth="1"/>
  </cols>
  <sheetData>
    <row r="1" spans="1:13">
      <c r="A1" s="2" t="s">
        <v>0</v>
      </c>
      <c r="B1" s="1" t="s">
        <v>13</v>
      </c>
    </row>
    <row r="2" spans="1:13">
      <c r="A2" s="2" t="s">
        <v>2</v>
      </c>
      <c r="B2" s="3" t="s">
        <v>105</v>
      </c>
      <c r="D2">
        <f>SUM(D4:D1000)</f>
        <v>44</v>
      </c>
      <c r="E2">
        <f>SUM(E4:E1000)</f>
        <v>50</v>
      </c>
    </row>
    <row r="3" spans="1:13">
      <c r="A3" s="2" t="s">
        <v>1</v>
      </c>
      <c r="B3" s="1" t="s">
        <v>3</v>
      </c>
      <c r="C3" t="s">
        <v>6</v>
      </c>
      <c r="D3" t="s">
        <v>4</v>
      </c>
      <c r="E3" t="s">
        <v>5</v>
      </c>
    </row>
    <row r="4" spans="1:13" ht="37.5">
      <c r="A4" s="2" t="s">
        <v>121</v>
      </c>
      <c r="B4" s="1" t="s">
        <v>120</v>
      </c>
      <c r="C4">
        <f>IF(B4&lt;&gt;"",LEN(B4),"")</f>
        <v>55</v>
      </c>
      <c r="D4">
        <f>E4*F4</f>
        <v>8</v>
      </c>
      <c r="E4">
        <v>8</v>
      </c>
      <c r="F4">
        <v>1</v>
      </c>
      <c r="G4" t="s">
        <v>110</v>
      </c>
      <c r="I4" t="s">
        <v>111</v>
      </c>
      <c r="K4" t="s">
        <v>116</v>
      </c>
      <c r="M4" t="s">
        <v>123</v>
      </c>
    </row>
    <row r="5" spans="1:13">
      <c r="A5" s="4" t="s">
        <v>88</v>
      </c>
      <c r="B5" s="5" t="s">
        <v>122</v>
      </c>
      <c r="C5" s="6">
        <f t="shared" ref="C5:C68" si="0">IF(B5&lt;&gt;"",LEN(B5),"")</f>
        <v>5</v>
      </c>
      <c r="D5">
        <f t="shared" ref="D5:D11" si="1">E5*F5</f>
        <v>0</v>
      </c>
      <c r="E5">
        <v>6</v>
      </c>
      <c r="F5">
        <v>0</v>
      </c>
      <c r="G5" t="s">
        <v>106</v>
      </c>
      <c r="I5" t="s">
        <v>112</v>
      </c>
      <c r="K5" t="s">
        <v>117</v>
      </c>
    </row>
    <row r="6" spans="1:13">
      <c r="A6" s="2" t="s">
        <v>91</v>
      </c>
      <c r="B6" s="1" t="s">
        <v>124</v>
      </c>
      <c r="C6">
        <f t="shared" si="0"/>
        <v>27</v>
      </c>
      <c r="D6">
        <f t="shared" si="1"/>
        <v>8</v>
      </c>
      <c r="E6">
        <v>8</v>
      </c>
      <c r="F6">
        <v>1</v>
      </c>
      <c r="G6" t="s">
        <v>107</v>
      </c>
      <c r="I6" t="s">
        <v>113</v>
      </c>
      <c r="K6" t="s">
        <v>118</v>
      </c>
    </row>
    <row r="7" spans="1:13">
      <c r="A7" s="2" t="s">
        <v>93</v>
      </c>
      <c r="B7" s="1" t="s">
        <v>125</v>
      </c>
      <c r="C7">
        <f t="shared" si="0"/>
        <v>12</v>
      </c>
      <c r="D7">
        <f t="shared" si="1"/>
        <v>6</v>
      </c>
      <c r="E7">
        <v>6</v>
      </c>
      <c r="F7">
        <v>1</v>
      </c>
      <c r="G7" t="s">
        <v>108</v>
      </c>
      <c r="I7" t="s">
        <v>114</v>
      </c>
      <c r="K7" t="s">
        <v>117</v>
      </c>
    </row>
    <row r="8" spans="1:13">
      <c r="A8" s="2" t="s">
        <v>40</v>
      </c>
      <c r="B8" s="1" t="s">
        <v>128</v>
      </c>
      <c r="C8">
        <f t="shared" si="0"/>
        <v>7</v>
      </c>
      <c r="D8">
        <f t="shared" si="1"/>
        <v>4</v>
      </c>
      <c r="E8">
        <v>4</v>
      </c>
      <c r="F8">
        <v>1</v>
      </c>
      <c r="G8" t="s">
        <v>109</v>
      </c>
      <c r="I8" t="s">
        <v>115</v>
      </c>
      <c r="K8" t="s">
        <v>119</v>
      </c>
    </row>
    <row r="9" spans="1:13">
      <c r="B9" s="1" t="s">
        <v>129</v>
      </c>
      <c r="C9">
        <f t="shared" si="0"/>
        <v>6</v>
      </c>
      <c r="D9">
        <f t="shared" si="1"/>
        <v>4</v>
      </c>
      <c r="E9">
        <v>4</v>
      </c>
      <c r="F9">
        <v>1</v>
      </c>
      <c r="G9" t="s">
        <v>126</v>
      </c>
    </row>
    <row r="10" spans="1:13">
      <c r="B10" s="1" t="s">
        <v>130</v>
      </c>
      <c r="C10">
        <f t="shared" si="0"/>
        <v>7</v>
      </c>
      <c r="D10">
        <f t="shared" si="1"/>
        <v>4</v>
      </c>
      <c r="E10">
        <v>4</v>
      </c>
      <c r="F10">
        <v>1</v>
      </c>
      <c r="G10" t="s">
        <v>127</v>
      </c>
    </row>
    <row r="11" spans="1:13" ht="37.5">
      <c r="A11" s="2" t="s">
        <v>131</v>
      </c>
      <c r="B11" s="1" t="s">
        <v>132</v>
      </c>
      <c r="C11">
        <f t="shared" si="0"/>
        <v>35</v>
      </c>
      <c r="D11">
        <f t="shared" si="1"/>
        <v>10</v>
      </c>
      <c r="E11">
        <v>10</v>
      </c>
      <c r="F11">
        <v>1</v>
      </c>
    </row>
    <row r="12" spans="1:13">
      <c r="C12" t="str">
        <f t="shared" si="0"/>
        <v/>
      </c>
    </row>
    <row r="13" spans="1:13">
      <c r="C13" t="str">
        <f t="shared" si="0"/>
        <v/>
      </c>
    </row>
    <row r="14" spans="1:13">
      <c r="C14" t="str">
        <f t="shared" si="0"/>
        <v/>
      </c>
    </row>
    <row r="15" spans="1:13">
      <c r="C15" t="str">
        <f t="shared" si="0"/>
        <v/>
      </c>
    </row>
    <row r="16" spans="1:13">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2025-02-24T02:58:30Z</dcterms:modified>
</cp:coreProperties>
</file>