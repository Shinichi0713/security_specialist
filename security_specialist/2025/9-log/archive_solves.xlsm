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9-log\"/>
    </mc:Choice>
  </mc:AlternateContent>
  <xr:revisionPtr revIDLastSave="0" documentId="13_ncr:1_{E3DBD456-95AB-4C11-A54C-A51F4FADD84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レビュー" sheetId="2" r:id="rId1"/>
    <sheet name="format" sheetId="4" r:id="rId2"/>
    <sheet name="1" sheetId="7" r:id="rId3"/>
    <sheet name="2" sheetId="8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7" i="8" l="1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E2" i="8"/>
  <c r="D2" i="8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2" i="7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<sst xmlns="http://schemas.openxmlformats.org/spreadsheetml/2006/main" count="119" uniqueCount="92">
  <si>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</si>
  <si>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</si>
  <si>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</si>
  <si>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</si>
  <si>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</si>
  <si>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</si>
  <si>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</si>
  <si>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</si>
  <si>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</si>
  <si>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</si>
  <si>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</si>
  <si>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</si>
  <si>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重点対策</t>
  </si>
  <si>
    <t>1-(1)</t>
    <phoneticPr fontId="1"/>
  </si>
  <si>
    <t>a:ウ</t>
    <phoneticPr fontId="1"/>
  </si>
  <si>
    <t>b:イ</t>
    <phoneticPr fontId="1"/>
  </si>
  <si>
    <t>2-(2)</t>
    <phoneticPr fontId="1"/>
  </si>
  <si>
    <t>d:ウ</t>
    <phoneticPr fontId="1"/>
  </si>
  <si>
    <t>1-(2)</t>
    <phoneticPr fontId="1"/>
  </si>
  <si>
    <t>2-(1)</t>
    <phoneticPr fontId="1"/>
  </si>
  <si>
    <t>2-(3)</t>
    <phoneticPr fontId="1"/>
  </si>
  <si>
    <t>4-(1)</t>
    <phoneticPr fontId="1"/>
  </si>
  <si>
    <t>重点対策</t>
    <rPh sb="0" eb="4">
      <t>ジュウテンタイサク</t>
    </rPh>
    <phoneticPr fontId="1"/>
  </si>
  <si>
    <t>9-2</t>
    <phoneticPr fontId="1"/>
  </si>
  <si>
    <t>A社</t>
    <rPh sb="1" eb="2">
      <t>シャ</t>
    </rPh>
    <phoneticPr fontId="1"/>
  </si>
  <si>
    <t>インシデント</t>
    <phoneticPr fontId="1"/>
  </si>
  <si>
    <t>サーバーLAN</t>
    <phoneticPr fontId="1"/>
  </si>
  <si>
    <t>DMZ以外は固定のプライベート</t>
    <rPh sb="3" eb="5">
      <t>イガイ</t>
    </rPh>
    <rPh sb="6" eb="8">
      <t>コテイ</t>
    </rPh>
    <phoneticPr fontId="1"/>
  </si>
  <si>
    <t>インシデントP</t>
    <phoneticPr fontId="1"/>
  </si>
  <si>
    <t>開発サーバーと部門サーバ</t>
    <rPh sb="0" eb="2">
      <t>カイハツ</t>
    </rPh>
    <rPh sb="7" eb="9">
      <t>ブモン</t>
    </rPh>
    <phoneticPr fontId="1"/>
  </si>
  <si>
    <t>インシデント対応経験者がいない</t>
    <rPh sb="6" eb="8">
      <t>タイオウ</t>
    </rPh>
    <rPh sb="8" eb="11">
      <t>ケイケンシャ</t>
    </rPh>
    <phoneticPr fontId="1"/>
  </si>
  <si>
    <t>インシデント対応ポリシ</t>
    <rPh sb="6" eb="8">
      <t>タイオウ</t>
    </rPh>
    <phoneticPr fontId="1"/>
  </si>
  <si>
    <t>c:ケ</t>
    <phoneticPr fontId="1"/>
  </si>
  <si>
    <t>e:コ</t>
    <phoneticPr fontId="1"/>
  </si>
  <si>
    <t>f:収集する内容</t>
    <rPh sb="2" eb="4">
      <t>シュウシュウ</t>
    </rPh>
    <rPh sb="6" eb="8">
      <t>ナイヨウ</t>
    </rPh>
    <phoneticPr fontId="1"/>
  </si>
  <si>
    <t>g:ログを収集する機器</t>
    <rPh sb="5" eb="7">
      <t>シュウシュウ</t>
    </rPh>
    <rPh sb="9" eb="11">
      <t>キキ</t>
    </rPh>
    <phoneticPr fontId="1"/>
  </si>
  <si>
    <t>h:保存期間</t>
    <rPh sb="2" eb="6">
      <t>ホゾンキカン</t>
    </rPh>
    <phoneticPr fontId="1"/>
  </si>
  <si>
    <t>i:タイムゾーン</t>
    <phoneticPr fontId="1"/>
  </si>
  <si>
    <t>j:統一</t>
    <rPh sb="2" eb="4">
      <t>トウイツ</t>
    </rPh>
    <phoneticPr fontId="1"/>
  </si>
  <si>
    <t>異常が起こったかの比較基準として利用する。</t>
    <rPh sb="0" eb="2">
      <t>イジョウ</t>
    </rPh>
    <rPh sb="3" eb="4">
      <t>オ</t>
    </rPh>
    <rPh sb="9" eb="13">
      <t>ヒカクキジュン</t>
    </rPh>
    <rPh sb="16" eb="18">
      <t>リヨウ</t>
    </rPh>
    <phoneticPr fontId="1"/>
  </si>
  <si>
    <t>3-(1)</t>
    <phoneticPr fontId="1"/>
  </si>
  <si>
    <t>サイトM</t>
    <phoneticPr fontId="1"/>
  </si>
  <si>
    <t>new3.exe</t>
    <phoneticPr fontId="1"/>
  </si>
  <si>
    <t>MW K</t>
    <phoneticPr fontId="1"/>
  </si>
  <si>
    <t>プロキシサーバーのログよりサイトMにアクセスしたエントリを抽出し、エントリよりPC-AのIPアドレスを取得した</t>
    <rPh sb="29" eb="31">
      <t>チュウシュツ</t>
    </rPh>
    <rPh sb="51" eb="53">
      <t>シュトク</t>
    </rPh>
    <phoneticPr fontId="1"/>
  </si>
  <si>
    <t>3-(2)</t>
    <phoneticPr fontId="1"/>
  </si>
  <si>
    <t>レスポンス：C&amp;Cサーバーからマルウェアに対する指示。</t>
    <rPh sb="21" eb="22">
      <t>タイ</t>
    </rPh>
    <rPh sb="24" eb="26">
      <t>シジ</t>
    </rPh>
    <phoneticPr fontId="1"/>
  </si>
  <si>
    <t>リクエスト：C&amp;Cサーバーに指示の要求</t>
    <rPh sb="14" eb="16">
      <t>シジ</t>
    </rPh>
    <rPh sb="17" eb="19">
      <t>ヨウキュウ</t>
    </rPh>
    <phoneticPr fontId="1"/>
  </si>
  <si>
    <t>3-(3)</t>
    <phoneticPr fontId="1"/>
  </si>
  <si>
    <t>問題：PC-Aのネットワーク接続情報が失われる。</t>
    <rPh sb="0" eb="2">
      <t>モンダイ</t>
    </rPh>
    <rPh sb="14" eb="18">
      <t>セツゾクジョウホウ</t>
    </rPh>
    <rPh sb="19" eb="20">
      <t>ウシナ</t>
    </rPh>
    <phoneticPr fontId="1"/>
  </si>
  <si>
    <t>対策：ネットワーク接続情報をメモリダンプする。</t>
    <rPh sb="0" eb="2">
      <t>タイサク</t>
    </rPh>
    <rPh sb="9" eb="13">
      <t>セツゾクジョウホウ</t>
    </rPh>
    <phoneticPr fontId="1"/>
  </si>
  <si>
    <t>ネットワークインターフェースや通信の状態</t>
    <rPh sb="15" eb="17">
      <t>ツウシン</t>
    </rPh>
    <rPh sb="18" eb="20">
      <t>ジョウタイ</t>
    </rPh>
    <phoneticPr fontId="1"/>
  </si>
  <si>
    <t>3-(4)</t>
    <phoneticPr fontId="1"/>
  </si>
  <si>
    <t>PC-Aと同じ特定のサイトにアクセスしているほかのPCがないかを、プロキシサーバのログより確認する</t>
    <rPh sb="5" eb="6">
      <t>オナ</t>
    </rPh>
    <rPh sb="7" eb="9">
      <t>トクテイ</t>
    </rPh>
    <rPh sb="45" eb="47">
      <t>カクニン</t>
    </rPh>
    <phoneticPr fontId="1"/>
  </si>
  <si>
    <t>3-(5)</t>
    <phoneticPr fontId="1"/>
  </si>
  <si>
    <t>3-(6)</t>
    <phoneticPr fontId="1"/>
  </si>
  <si>
    <t>ハッシュ値</t>
    <rPh sb="4" eb="5">
      <t>アタイ</t>
    </rPh>
    <phoneticPr fontId="1"/>
  </si>
  <si>
    <t>3-(7)</t>
    <phoneticPr fontId="1"/>
  </si>
  <si>
    <t>ファイルサイズが通常のメッセージサイズよりも大きい。</t>
    <rPh sb="8" eb="10">
      <t>ツウジョウ</t>
    </rPh>
    <rPh sb="22" eb="23">
      <t>オオ</t>
    </rPh>
    <phoneticPr fontId="1"/>
  </si>
  <si>
    <t>ア：9/4 14:34</t>
    <phoneticPr fontId="1"/>
  </si>
  <si>
    <t>イ：9/4 14:37</t>
    <phoneticPr fontId="1"/>
  </si>
  <si>
    <t>ウ：9/5 10:41</t>
    <phoneticPr fontId="1"/>
  </si>
  <si>
    <t>4-(2)</t>
    <phoneticPr fontId="1"/>
  </si>
  <si>
    <t>n:コ</t>
    <phoneticPr fontId="1"/>
  </si>
  <si>
    <t>m:タ</t>
    <phoneticPr fontId="1"/>
  </si>
  <si>
    <t>o:ソ</t>
    <phoneticPr fontId="1"/>
  </si>
  <si>
    <t>p:ケ</t>
    <phoneticPr fontId="1"/>
  </si>
  <si>
    <t>q:シ</t>
    <phoneticPr fontId="1"/>
  </si>
  <si>
    <t>r:カ</t>
    <phoneticPr fontId="1"/>
  </si>
  <si>
    <t>s:オ</t>
    <phoneticPr fontId="1"/>
  </si>
  <si>
    <t>5</t>
    <phoneticPr fontId="1"/>
  </si>
  <si>
    <t>インシデントQ</t>
    <phoneticPr fontId="1"/>
  </si>
  <si>
    <t>PとQ</t>
    <phoneticPr fontId="1"/>
  </si>
  <si>
    <t>課題：b</t>
    <rPh sb="0" eb="2">
      <t>カダイ</t>
    </rPh>
    <phoneticPr fontId="1"/>
  </si>
  <si>
    <t>措置：発生したインシデントと、対応内容を記録として公開する</t>
    <rPh sb="0" eb="2">
      <t>ソチ</t>
    </rPh>
    <rPh sb="3" eb="5">
      <t>ハッセイ</t>
    </rPh>
    <rPh sb="15" eb="19">
      <t>タイオウナイヨウ</t>
    </rPh>
    <rPh sb="20" eb="22">
      <t>キロク</t>
    </rPh>
    <rPh sb="25" eb="27">
      <t>コウカイ</t>
    </rPh>
    <phoneticPr fontId="1"/>
  </si>
  <si>
    <t>9-1</t>
    <phoneticPr fontId="1"/>
  </si>
  <si>
    <t>Webアクセス、電子メール</t>
    <rPh sb="8" eb="10">
      <t>デンシ</t>
    </rPh>
    <phoneticPr fontId="1"/>
  </si>
  <si>
    <t>セキュリティポリシ</t>
    <phoneticPr fontId="1"/>
  </si>
  <si>
    <t>業務サーバーの秘密情報を送信</t>
    <rPh sb="0" eb="2">
      <t>ギョウム</t>
    </rPh>
    <rPh sb="7" eb="11">
      <t>ヒミツジョウホウ</t>
    </rPh>
    <rPh sb="12" eb="14">
      <t>ソウシン</t>
    </rPh>
    <phoneticPr fontId="1"/>
  </si>
  <si>
    <t>C&amp;Cサーバー</t>
    <phoneticPr fontId="1"/>
  </si>
  <si>
    <t>Pサービス</t>
    <phoneticPr fontId="1"/>
  </si>
  <si>
    <t>Rシステム</t>
    <phoneticPr fontId="1"/>
  </si>
  <si>
    <t>C&amp;Cへの通信→通知</t>
    <rPh sb="5" eb="7">
      <t>ツウシン</t>
    </rPh>
    <rPh sb="8" eb="10">
      <t>ツウチ</t>
    </rPh>
    <phoneticPr fontId="1"/>
  </si>
  <si>
    <t>メモリ上の情報が失われないようにするため</t>
    <rPh sb="3" eb="4">
      <t>ウエ</t>
    </rPh>
    <rPh sb="5" eb="7">
      <t>ジョウホウ</t>
    </rPh>
    <rPh sb="8" eb="9">
      <t>ウシナ</t>
    </rPh>
    <phoneticPr fontId="1"/>
  </si>
  <si>
    <t>・社内LANを介して感染を広げる。</t>
    <rPh sb="1" eb="3">
      <t>シャナイ</t>
    </rPh>
    <rPh sb="7" eb="8">
      <t>カイ</t>
    </rPh>
    <rPh sb="10" eb="12">
      <t>カンセン</t>
    </rPh>
    <rPh sb="13" eb="14">
      <t>ヒロ</t>
    </rPh>
    <phoneticPr fontId="1"/>
  </si>
  <si>
    <t>・外部のC&amp;Cサーバーと通信する。</t>
    <rPh sb="1" eb="3">
      <t>ガイブ</t>
    </rPh>
    <rPh sb="12" eb="14">
      <t>ツウシン</t>
    </rPh>
    <phoneticPr fontId="1"/>
  </si>
  <si>
    <t>2</t>
    <phoneticPr fontId="1"/>
  </si>
  <si>
    <t>c:エ</t>
    <phoneticPr fontId="1"/>
  </si>
  <si>
    <t>d:ア</t>
    <phoneticPr fontId="1"/>
  </si>
  <si>
    <t>e:C&amp;Cサーバーとの通信履歴</t>
    <rPh sb="11" eb="13">
      <t>ツウシン</t>
    </rPh>
    <rPh sb="13" eb="15">
      <t>リレキ</t>
    </rPh>
    <phoneticPr fontId="1"/>
  </si>
  <si>
    <t>マルウェアに感染後に、ネットワークより隔離された状態。</t>
    <rPh sb="6" eb="8">
      <t>カンセン</t>
    </rPh>
    <rPh sb="8" eb="9">
      <t>アト</t>
    </rPh>
    <rPh sb="19" eb="21">
      <t>カクリ</t>
    </rPh>
    <rPh sb="24" eb="26">
      <t>ジョウタイ</t>
    </rPh>
    <phoneticPr fontId="1"/>
  </si>
  <si>
    <t>マルウェアのハッシュ値が存在するかを確認する</t>
    <rPh sb="10" eb="11">
      <t>アタイ</t>
    </rPh>
    <rPh sb="12" eb="14">
      <t>ソンザイ</t>
    </rPh>
    <rPh sb="18" eb="20">
      <t>カクニン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</si>
</sst>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3"/>
  <sheetViews>
    <sheetView tabSelected="1" topLeftCell="C1" workbookViewId="0">
      <selection activeCell="J7" sqref="J7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3" t="s">
        <v>23</v>
      </c>
      <c r="D2">
        <v>90</v>
      </c>
      <c r="E2">
        <v>100</v>
      </c>
    </row>
    <row r="3" spans="1:6">
      <c r="A3">
        <v>2</v>
      </c>
      <c r="B3" s="2" t="s">
        <v>12</v>
      </c>
      <c r="C3" s="2" t="s">
        <v>75</v>
      </c>
      <c r="D3">
        <v>44</v>
      </c>
      <c r="E3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9A18A-277E-49DB-BDF9-08FA2D7C97C2}">
  <sheetPr codeName="Sheet4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11">
      <c r="A1" s="2" t="s">
        <v>0</v>
      </c>
      <c r="B1" s="1" t="s">
        <v>22</v>
      </c>
    </row>
    <row r="2" spans="1:11">
      <c r="A2" s="2" t="s">
        <v>2</v>
      </c>
      <c r="B2" s="3" t="s">
        <v>23</v>
      </c>
      <c r="D2">
        <f>SUM(D4:D1000)</f>
        <v>90</v>
      </c>
      <c r="E2">
        <f>SUM(E4:E1000)</f>
        <v>100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13</v>
      </c>
      <c r="B4" s="1" t="s">
        <v>14</v>
      </c>
      <c r="C4">
        <f>IF(B4&lt;&gt;"",LEN(B4),"")</f>
        <v>3</v>
      </c>
      <c r="D4">
        <v>0</v>
      </c>
      <c r="E4">
        <v>2</v>
      </c>
    </row>
    <row r="5" spans="1:11">
      <c r="B5" s="1" t="s">
        <v>15</v>
      </c>
      <c r="C5">
        <f t="shared" ref="C5:C68" si="0">IF(B5&lt;&gt;"",LEN(B5),"")</f>
        <v>3</v>
      </c>
      <c r="D5">
        <v>2</v>
      </c>
      <c r="E5">
        <v>2</v>
      </c>
      <c r="G5" t="s">
        <v>24</v>
      </c>
      <c r="H5" t="s">
        <v>26</v>
      </c>
      <c r="K5" t="s">
        <v>31</v>
      </c>
    </row>
    <row r="6" spans="1:11">
      <c r="A6" s="2" t="s">
        <v>18</v>
      </c>
      <c r="B6" s="1" t="s">
        <v>32</v>
      </c>
      <c r="C6">
        <f t="shared" si="0"/>
        <v>3</v>
      </c>
      <c r="D6">
        <v>2</v>
      </c>
      <c r="E6">
        <v>2</v>
      </c>
      <c r="G6" t="s">
        <v>25</v>
      </c>
      <c r="H6" t="s">
        <v>27</v>
      </c>
    </row>
    <row r="7" spans="1:11">
      <c r="B7" s="1" t="s">
        <v>17</v>
      </c>
      <c r="C7">
        <f t="shared" si="0"/>
        <v>3</v>
      </c>
      <c r="D7">
        <v>2</v>
      </c>
      <c r="E7">
        <v>2</v>
      </c>
      <c r="G7" t="s">
        <v>28</v>
      </c>
      <c r="I7" t="s">
        <v>30</v>
      </c>
    </row>
    <row r="8" spans="1:11">
      <c r="B8" s="1" t="s">
        <v>33</v>
      </c>
      <c r="C8">
        <f t="shared" si="0"/>
        <v>3</v>
      </c>
      <c r="D8">
        <v>2</v>
      </c>
      <c r="E8">
        <v>2</v>
      </c>
      <c r="G8" t="s">
        <v>29</v>
      </c>
    </row>
    <row r="9" spans="1:11">
      <c r="A9" s="2" t="s">
        <v>19</v>
      </c>
      <c r="B9" s="1" t="s">
        <v>34</v>
      </c>
      <c r="C9">
        <f t="shared" si="0"/>
        <v>8</v>
      </c>
      <c r="D9">
        <v>0</v>
      </c>
      <c r="E9">
        <v>3</v>
      </c>
      <c r="G9" t="s">
        <v>41</v>
      </c>
      <c r="I9" t="s">
        <v>43</v>
      </c>
    </row>
    <row r="10" spans="1:11">
      <c r="B10" s="1" t="s">
        <v>35</v>
      </c>
      <c r="C10">
        <f t="shared" si="0"/>
        <v>11</v>
      </c>
      <c r="D10">
        <v>3</v>
      </c>
      <c r="E10">
        <v>3</v>
      </c>
      <c r="G10" t="s">
        <v>42</v>
      </c>
    </row>
    <row r="11" spans="1:11">
      <c r="B11" s="1" t="s">
        <v>36</v>
      </c>
      <c r="C11">
        <f t="shared" si="0"/>
        <v>6</v>
      </c>
      <c r="D11">
        <v>3</v>
      </c>
      <c r="E11">
        <v>3</v>
      </c>
    </row>
    <row r="12" spans="1:11">
      <c r="A12" s="2" t="s">
        <v>16</v>
      </c>
      <c r="B12" s="1" t="s">
        <v>37</v>
      </c>
      <c r="C12">
        <f t="shared" si="0"/>
        <v>8</v>
      </c>
      <c r="D12">
        <v>3</v>
      </c>
      <c r="E12">
        <v>3</v>
      </c>
    </row>
    <row r="13" spans="1:11">
      <c r="B13" s="1" t="s">
        <v>38</v>
      </c>
      <c r="C13">
        <f t="shared" si="0"/>
        <v>4</v>
      </c>
      <c r="D13">
        <v>3</v>
      </c>
      <c r="E13">
        <v>3</v>
      </c>
    </row>
    <row r="14" spans="1:11">
      <c r="A14" s="2" t="s">
        <v>20</v>
      </c>
      <c r="B14" s="1" t="s">
        <v>39</v>
      </c>
      <c r="C14">
        <f t="shared" si="0"/>
        <v>21</v>
      </c>
      <c r="D14">
        <v>5</v>
      </c>
      <c r="E14">
        <v>5</v>
      </c>
    </row>
    <row r="15" spans="1:11" ht="37.5">
      <c r="A15" s="2" t="s">
        <v>40</v>
      </c>
      <c r="B15" s="1" t="s">
        <v>44</v>
      </c>
      <c r="C15">
        <f t="shared" si="0"/>
        <v>55</v>
      </c>
      <c r="D15">
        <v>5</v>
      </c>
      <c r="E15">
        <v>5</v>
      </c>
    </row>
    <row r="16" spans="1:11">
      <c r="A16" s="2" t="s">
        <v>45</v>
      </c>
      <c r="B16" s="1" t="s">
        <v>47</v>
      </c>
      <c r="C16">
        <f t="shared" si="0"/>
        <v>19</v>
      </c>
      <c r="D16">
        <v>5</v>
      </c>
      <c r="E16">
        <v>5</v>
      </c>
    </row>
    <row r="17" spans="1:7">
      <c r="B17" s="1" t="s">
        <v>46</v>
      </c>
      <c r="C17">
        <f t="shared" si="0"/>
        <v>27</v>
      </c>
      <c r="D17">
        <v>5</v>
      </c>
      <c r="E17">
        <v>5</v>
      </c>
    </row>
    <row r="18" spans="1:7">
      <c r="A18" s="2" t="s">
        <v>48</v>
      </c>
      <c r="B18" s="1" t="s">
        <v>49</v>
      </c>
      <c r="C18">
        <f t="shared" si="0"/>
        <v>24</v>
      </c>
      <c r="D18">
        <v>5</v>
      </c>
      <c r="E18">
        <v>5</v>
      </c>
    </row>
    <row r="19" spans="1:7">
      <c r="B19" s="1" t="s">
        <v>50</v>
      </c>
      <c r="C19">
        <f t="shared" si="0"/>
        <v>23</v>
      </c>
      <c r="D19">
        <v>5</v>
      </c>
      <c r="E19">
        <v>5</v>
      </c>
      <c r="G19" t="s">
        <v>51</v>
      </c>
    </row>
    <row r="20" spans="1:7">
      <c r="A20" s="2" t="s">
        <v>52</v>
      </c>
      <c r="B20" s="1" t="s">
        <v>53</v>
      </c>
      <c r="C20">
        <f t="shared" si="0"/>
        <v>49</v>
      </c>
      <c r="D20">
        <v>5</v>
      </c>
      <c r="E20">
        <v>5</v>
      </c>
    </row>
    <row r="21" spans="1:7">
      <c r="A21" s="2" t="s">
        <v>54</v>
      </c>
      <c r="B21" s="1">
        <v>7</v>
      </c>
      <c r="C21">
        <f t="shared" si="0"/>
        <v>1</v>
      </c>
      <c r="D21">
        <v>3</v>
      </c>
      <c r="E21">
        <v>3</v>
      </c>
      <c r="G21" t="s">
        <v>71</v>
      </c>
    </row>
    <row r="22" spans="1:7">
      <c r="A22" s="2" t="s">
        <v>55</v>
      </c>
      <c r="B22" s="1" t="s">
        <v>56</v>
      </c>
      <c r="C22">
        <f t="shared" si="0"/>
        <v>5</v>
      </c>
      <c r="D22">
        <v>3</v>
      </c>
      <c r="E22">
        <v>3</v>
      </c>
      <c r="G22" t="s">
        <v>72</v>
      </c>
    </row>
    <row r="23" spans="1:7">
      <c r="A23" s="2" t="s">
        <v>57</v>
      </c>
      <c r="B23" s="1">
        <v>28</v>
      </c>
      <c r="C23">
        <f t="shared" si="0"/>
        <v>2</v>
      </c>
      <c r="D23">
        <v>2</v>
      </c>
      <c r="E23">
        <v>2</v>
      </c>
    </row>
    <row r="24" spans="1:7">
      <c r="B24" s="1" t="s">
        <v>58</v>
      </c>
      <c r="C24">
        <f t="shared" si="0"/>
        <v>26</v>
      </c>
      <c r="D24">
        <v>5</v>
      </c>
      <c r="E24">
        <v>5</v>
      </c>
    </row>
    <row r="25" spans="1:7">
      <c r="A25" s="2" t="s">
        <v>21</v>
      </c>
      <c r="B25" s="1" t="s">
        <v>59</v>
      </c>
      <c r="C25">
        <f t="shared" si="0"/>
        <v>11</v>
      </c>
      <c r="D25">
        <v>0</v>
      </c>
      <c r="E25">
        <v>2</v>
      </c>
    </row>
    <row r="26" spans="1:7">
      <c r="B26" s="1" t="s">
        <v>60</v>
      </c>
      <c r="C26">
        <f t="shared" si="0"/>
        <v>11</v>
      </c>
      <c r="D26">
        <v>2</v>
      </c>
      <c r="E26">
        <v>2</v>
      </c>
    </row>
    <row r="27" spans="1:7">
      <c r="B27" s="1" t="s">
        <v>61</v>
      </c>
      <c r="C27">
        <f t="shared" si="0"/>
        <v>11</v>
      </c>
      <c r="D27">
        <v>2</v>
      </c>
      <c r="E27">
        <v>2</v>
      </c>
    </row>
    <row r="28" spans="1:7">
      <c r="A28" s="2" t="s">
        <v>62</v>
      </c>
      <c r="B28" s="1" t="s">
        <v>64</v>
      </c>
      <c r="C28">
        <f t="shared" si="0"/>
        <v>3</v>
      </c>
      <c r="D28">
        <v>2</v>
      </c>
      <c r="E28">
        <v>2</v>
      </c>
    </row>
    <row r="29" spans="1:7">
      <c r="B29" s="1" t="s">
        <v>63</v>
      </c>
      <c r="C29">
        <f t="shared" si="0"/>
        <v>3</v>
      </c>
      <c r="D29">
        <v>2</v>
      </c>
      <c r="E29">
        <v>2</v>
      </c>
    </row>
    <row r="30" spans="1:7">
      <c r="B30" s="1" t="s">
        <v>65</v>
      </c>
      <c r="C30">
        <f t="shared" si="0"/>
        <v>3</v>
      </c>
      <c r="D30">
        <v>2</v>
      </c>
      <c r="E30">
        <v>2</v>
      </c>
    </row>
    <row r="31" spans="1:7">
      <c r="B31" s="1" t="s">
        <v>66</v>
      </c>
      <c r="C31">
        <f t="shared" si="0"/>
        <v>3</v>
      </c>
      <c r="D31">
        <v>2</v>
      </c>
      <c r="E31">
        <v>2</v>
      </c>
    </row>
    <row r="32" spans="1:7">
      <c r="B32" s="1" t="s">
        <v>67</v>
      </c>
      <c r="C32">
        <f t="shared" si="0"/>
        <v>3</v>
      </c>
      <c r="D32">
        <v>2</v>
      </c>
      <c r="E32">
        <v>2</v>
      </c>
    </row>
    <row r="33" spans="1:5">
      <c r="B33" s="1" t="s">
        <v>68</v>
      </c>
      <c r="C33">
        <f t="shared" si="0"/>
        <v>3</v>
      </c>
      <c r="D33">
        <v>2</v>
      </c>
      <c r="E33">
        <v>2</v>
      </c>
    </row>
    <row r="34" spans="1:5">
      <c r="B34" s="1" t="s">
        <v>69</v>
      </c>
      <c r="C34">
        <f t="shared" si="0"/>
        <v>3</v>
      </c>
      <c r="D34">
        <v>2</v>
      </c>
      <c r="E34">
        <v>2</v>
      </c>
    </row>
    <row r="35" spans="1:5">
      <c r="A35" s="2" t="s">
        <v>70</v>
      </c>
      <c r="B35" s="1" t="s">
        <v>73</v>
      </c>
      <c r="C35">
        <f t="shared" si="0"/>
        <v>4</v>
      </c>
      <c r="D35">
        <v>2</v>
      </c>
      <c r="E35">
        <v>2</v>
      </c>
    </row>
    <row r="36" spans="1:5">
      <c r="B36" s="1" t="s">
        <v>74</v>
      </c>
      <c r="C36">
        <f t="shared" si="0"/>
        <v>29</v>
      </c>
      <c r="D36">
        <v>2</v>
      </c>
      <c r="E36">
        <v>5</v>
      </c>
    </row>
    <row r="37" spans="1:5">
      <c r="C37" t="str">
        <f t="shared" si="0"/>
        <v/>
      </c>
    </row>
    <row r="38" spans="1:5">
      <c r="C38" t="str">
        <f t="shared" si="0"/>
        <v/>
      </c>
    </row>
    <row r="39" spans="1:5">
      <c r="C39" t="str">
        <f t="shared" si="0"/>
        <v/>
      </c>
    </row>
    <row r="40" spans="1:5">
      <c r="C40" t="str">
        <f t="shared" si="0"/>
        <v/>
      </c>
    </row>
    <row r="41" spans="1:5">
      <c r="C41" t="str">
        <f t="shared" si="0"/>
        <v/>
      </c>
    </row>
    <row r="42" spans="1:5">
      <c r="C42" t="str">
        <f t="shared" si="0"/>
        <v/>
      </c>
    </row>
    <row r="43" spans="1:5">
      <c r="C43" t="str">
        <f t="shared" si="0"/>
        <v/>
      </c>
    </row>
    <row r="44" spans="1:5">
      <c r="C44" t="str">
        <f t="shared" si="0"/>
        <v/>
      </c>
    </row>
    <row r="45" spans="1:5">
      <c r="C45" t="str">
        <f t="shared" si="0"/>
        <v/>
      </c>
    </row>
    <row r="46" spans="1:5">
      <c r="C46" t="str">
        <f t="shared" si="0"/>
        <v/>
      </c>
    </row>
    <row r="47" spans="1:5">
      <c r="C47" t="str">
        <f t="shared" si="0"/>
        <v/>
      </c>
    </row>
    <row r="48" spans="1:5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1359B-EEED-486B-AD47-B44A0203E1C3}">
  <sheetPr codeName="Sheet5"/>
  <dimension ref="A1:J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2" sqref="D2:E2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10">
      <c r="A1" s="2" t="s">
        <v>0</v>
      </c>
      <c r="B1" s="1" t="s">
        <v>22</v>
      </c>
    </row>
    <row r="2" spans="1:10">
      <c r="A2" s="2" t="s">
        <v>2</v>
      </c>
      <c r="B2" s="3" t="s">
        <v>75</v>
      </c>
      <c r="D2">
        <f>SUM(D4:D1000)</f>
        <v>44</v>
      </c>
      <c r="E2">
        <f>SUM(E4:E1000)</f>
        <v>50</v>
      </c>
    </row>
    <row r="3" spans="1:10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0">
      <c r="A4" s="2" t="s">
        <v>13</v>
      </c>
      <c r="B4" s="1" t="s">
        <v>83</v>
      </c>
      <c r="C4">
        <f>IF(B4&lt;&gt;"",LEN(B4),"")</f>
        <v>20</v>
      </c>
      <c r="D4">
        <v>6</v>
      </c>
      <c r="E4">
        <v>6</v>
      </c>
      <c r="G4" t="s">
        <v>76</v>
      </c>
      <c r="J4" t="s">
        <v>79</v>
      </c>
    </row>
    <row r="5" spans="1:10">
      <c r="A5" s="2" t="s">
        <v>18</v>
      </c>
      <c r="B5" s="1" t="s">
        <v>84</v>
      </c>
      <c r="C5">
        <f t="shared" ref="C5:C68" si="0">IF(B5&lt;&gt;"",LEN(B5),"")</f>
        <v>17</v>
      </c>
      <c r="D5">
        <v>6</v>
      </c>
      <c r="E5">
        <v>6</v>
      </c>
      <c r="G5" t="s">
        <v>77</v>
      </c>
      <c r="J5" t="s">
        <v>80</v>
      </c>
    </row>
    <row r="6" spans="1:10">
      <c r="B6" s="1" t="s">
        <v>85</v>
      </c>
      <c r="C6">
        <f t="shared" si="0"/>
        <v>17</v>
      </c>
      <c r="D6">
        <v>3</v>
      </c>
      <c r="E6">
        <v>6</v>
      </c>
      <c r="G6" t="s">
        <v>78</v>
      </c>
      <c r="J6" t="s">
        <v>81</v>
      </c>
    </row>
    <row r="7" spans="1:10">
      <c r="A7" s="2" t="s">
        <v>86</v>
      </c>
      <c r="B7" s="1" t="s">
        <v>14</v>
      </c>
      <c r="C7">
        <f t="shared" si="0"/>
        <v>3</v>
      </c>
      <c r="D7">
        <v>3</v>
      </c>
      <c r="E7">
        <v>3</v>
      </c>
      <c r="G7" t="s">
        <v>80</v>
      </c>
    </row>
    <row r="8" spans="1:10">
      <c r="B8" s="1" t="s">
        <v>15</v>
      </c>
      <c r="C8">
        <f t="shared" si="0"/>
        <v>3</v>
      </c>
      <c r="D8">
        <v>3</v>
      </c>
      <c r="E8">
        <v>3</v>
      </c>
      <c r="G8" t="s">
        <v>82</v>
      </c>
    </row>
    <row r="9" spans="1:10">
      <c r="B9" s="1" t="s">
        <v>87</v>
      </c>
      <c r="C9">
        <f t="shared" si="0"/>
        <v>3</v>
      </c>
      <c r="D9">
        <v>0</v>
      </c>
      <c r="E9">
        <v>3</v>
      </c>
    </row>
    <row r="10" spans="1:10">
      <c r="B10" s="1" t="s">
        <v>88</v>
      </c>
      <c r="C10">
        <f t="shared" si="0"/>
        <v>3</v>
      </c>
      <c r="D10">
        <v>3</v>
      </c>
      <c r="E10">
        <v>3</v>
      </c>
    </row>
    <row r="11" spans="1:10">
      <c r="A11" s="2" t="s">
        <v>40</v>
      </c>
      <c r="B11" s="1" t="s">
        <v>89</v>
      </c>
      <c r="C11">
        <f t="shared" si="0"/>
        <v>15</v>
      </c>
      <c r="D11">
        <v>6</v>
      </c>
      <c r="E11">
        <v>6</v>
      </c>
    </row>
    <row r="12" spans="1:10">
      <c r="A12" s="2" t="s">
        <v>45</v>
      </c>
      <c r="B12" s="1" t="s">
        <v>90</v>
      </c>
      <c r="C12">
        <f t="shared" si="0"/>
        <v>27</v>
      </c>
      <c r="D12">
        <v>8</v>
      </c>
      <c r="E12">
        <v>8</v>
      </c>
    </row>
    <row r="13" spans="1:10">
      <c r="A13" s="2" t="s">
        <v>48</v>
      </c>
      <c r="B13" s="1" t="s">
        <v>91</v>
      </c>
      <c r="C13">
        <f t="shared" si="0"/>
        <v>22</v>
      </c>
      <c r="D13">
        <v>6</v>
      </c>
      <c r="E13">
        <v>6</v>
      </c>
    </row>
    <row r="14" spans="1:10">
      <c r="C14" t="str">
        <f t="shared" si="0"/>
        <v/>
      </c>
    </row>
    <row r="15" spans="1:10">
      <c r="C15" t="str">
        <f t="shared" si="0"/>
        <v/>
      </c>
    </row>
    <row r="16" spans="1:10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レビュー</vt:lpstr>
      <vt:lpstr>format</vt:lpstr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2025-01-23T21:21:40Z</dcterms:modified>
</cp:coreProperties>
</file>