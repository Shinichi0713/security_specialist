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227" codeName="{957460C9-B318-DD5D-5CC9-C049C1E746C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oshinaga\Documents\Python Scripts\security_specialist\terms\2-PKI\"/>
    </mc:Choice>
  </mc:AlternateContent>
  <xr:revisionPtr revIDLastSave="0" documentId="13_ncr:1_{B5A38639-363F-4529-89DE-974C8008C211}" xr6:coauthVersionLast="47" xr6:coauthVersionMax="47" xr10:uidLastSave="{00000000-0000-0000-0000-000000000000}"/>
  <bookViews>
    <workbookView xWindow="-120" yWindow="-120" windowWidth="29040" windowHeight="15720" activeTab="2" xr2:uid="{00000000-000D-0000-FFFF-FFFF00000000}"/>
  </bookViews>
  <sheets>
    <sheet name="レビュー" sheetId="2" r:id="rId1"/>
    <sheet name="format" sheetId="4" r:id="rId2"/>
    <sheet name="1" sheetId="5" r:id="rId3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67" i="5" l="1"/>
  <c r="C166" i="5"/>
  <c r="C165" i="5"/>
  <c r="C164" i="5"/>
  <c r="C163" i="5"/>
  <c r="C162" i="5"/>
  <c r="C161" i="5"/>
  <c r="C160" i="5"/>
  <c r="C159" i="5"/>
  <c r="C158" i="5"/>
  <c r="C157" i="5"/>
  <c r="C156" i="5"/>
  <c r="C155" i="5"/>
  <c r="C154" i="5"/>
  <c r="C153" i="5"/>
  <c r="C152" i="5"/>
  <c r="C151" i="5"/>
  <c r="C150" i="5"/>
  <c r="C149" i="5"/>
  <c r="C148" i="5"/>
  <c r="C147" i="5"/>
  <c r="C146" i="5"/>
  <c r="C145" i="5"/>
  <c r="C144" i="5"/>
  <c r="C143" i="5"/>
  <c r="C142" i="5"/>
  <c r="C141" i="5"/>
  <c r="C140" i="5"/>
  <c r="C139" i="5"/>
  <c r="C138" i="5"/>
  <c r="C137" i="5"/>
  <c r="C136" i="5"/>
  <c r="C135" i="5"/>
  <c r="C134" i="5"/>
  <c r="C133" i="5"/>
  <c r="C132" i="5"/>
  <c r="C131" i="5"/>
  <c r="C130" i="5"/>
  <c r="C129" i="5"/>
  <c r="C128" i="5"/>
  <c r="C127" i="5"/>
  <c r="C126" i="5"/>
  <c r="C125" i="5"/>
  <c r="C124" i="5"/>
  <c r="C123" i="5"/>
  <c r="C122" i="5"/>
  <c r="C121" i="5"/>
  <c r="C120" i="5"/>
  <c r="C119" i="5"/>
  <c r="C118" i="5"/>
  <c r="C117" i="5"/>
  <c r="C116" i="5"/>
  <c r="C115" i="5"/>
  <c r="C114" i="5"/>
  <c r="C113" i="5"/>
  <c r="C112" i="5"/>
  <c r="C111" i="5"/>
  <c r="C110" i="5"/>
  <c r="C109" i="5"/>
  <c r="C108" i="5"/>
  <c r="C107" i="5"/>
  <c r="C106" i="5"/>
  <c r="C105" i="5"/>
  <c r="C104" i="5"/>
  <c r="C103" i="5"/>
  <c r="C102" i="5"/>
  <c r="C101" i="5"/>
  <c r="C100" i="5"/>
  <c r="C99" i="5"/>
  <c r="C98" i="5"/>
  <c r="C97" i="5"/>
  <c r="C96" i="5"/>
  <c r="C95" i="5"/>
  <c r="C94" i="5"/>
  <c r="C93" i="5"/>
  <c r="C92" i="5"/>
  <c r="C91" i="5"/>
  <c r="C90" i="5"/>
  <c r="C89" i="5"/>
  <c r="C88" i="5"/>
  <c r="C87" i="5"/>
  <c r="C86" i="5"/>
  <c r="C85" i="5"/>
  <c r="C84" i="5"/>
  <c r="C83" i="5"/>
  <c r="C82" i="5"/>
  <c r="C81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8" i="5"/>
  <c r="C37" i="5"/>
  <c r="C36" i="5"/>
  <c r="C35" i="5"/>
  <c r="C34" i="5"/>
  <c r="C33" i="5"/>
  <c r="C32" i="5"/>
  <c r="C31" i="5"/>
  <c r="C30" i="5"/>
  <c r="C29" i="5"/>
  <c r="C28" i="5"/>
  <c r="C27" i="5"/>
  <c r="C26" i="5"/>
  <c r="C25" i="5"/>
  <c r="C24" i="5"/>
  <c r="C23" i="5"/>
  <c r="C22" i="5"/>
  <c r="C21" i="5"/>
  <c r="C20" i="5"/>
  <c r="C19" i="5"/>
  <c r="C18" i="5"/>
  <c r="C17" i="5"/>
  <c r="C16" i="5"/>
  <c r="C15" i="5"/>
  <c r="C14" i="5"/>
  <c r="C13" i="5"/>
  <c r="C12" i="5"/>
  <c r="C11" i="5"/>
  <c r="C10" i="5"/>
  <c r="C9" i="5"/>
  <c r="C8" i="5"/>
  <c r="C7" i="5"/>
  <c r="C6" i="5"/>
  <c r="C5" i="5"/>
  <c r="C4" i="5"/>
  <c r="E2" i="5"/>
  <c r="D2" i="5"/>
  <c r="C167" i="4"/>
  <c r="C166" i="4"/>
  <c r="C165" i="4"/>
  <c r="C164" i="4"/>
  <c r="C163" i="4"/>
  <c r="C162" i="4"/>
  <c r="C161" i="4"/>
  <c r="C160" i="4"/>
  <c r="C159" i="4"/>
  <c r="C158" i="4"/>
  <c r="C157" i="4"/>
  <c r="C156" i="4"/>
  <c r="C155" i="4"/>
  <c r="C154" i="4"/>
  <c r="C153" i="4"/>
  <c r="C152" i="4"/>
  <c r="C151" i="4"/>
  <c r="C150" i="4"/>
  <c r="C149" i="4"/>
  <c r="C148" i="4"/>
  <c r="C147" i="4"/>
  <c r="C146" i="4"/>
  <c r="C145" i="4"/>
  <c r="C144" i="4"/>
  <c r="C143" i="4"/>
  <c r="C142" i="4"/>
  <c r="C141" i="4"/>
  <c r="C140" i="4"/>
  <c r="C139" i="4"/>
  <c r="C138" i="4"/>
  <c r="C137" i="4"/>
  <c r="C136" i="4"/>
  <c r="C135" i="4"/>
  <c r="C134" i="4"/>
  <c r="C133" i="4"/>
  <c r="C132" i="4"/>
  <c r="C131" i="4"/>
  <c r="C130" i="4"/>
  <c r="C129" i="4"/>
  <c r="C128" i="4"/>
  <c r="C127" i="4"/>
  <c r="C126" i="4"/>
  <c r="C125" i="4"/>
  <c r="C124" i="4"/>
  <c r="C123" i="4"/>
  <c r="C122" i="4"/>
  <c r="C121" i="4"/>
  <c r="C120" i="4"/>
  <c r="C119" i="4"/>
  <c r="C118" i="4"/>
  <c r="C117" i="4"/>
  <c r="C116" i="4"/>
  <c r="C115" i="4"/>
  <c r="C114" i="4"/>
  <c r="C113" i="4"/>
  <c r="C112" i="4"/>
  <c r="C111" i="4"/>
  <c r="C110" i="4"/>
  <c r="C109" i="4"/>
  <c r="C108" i="4"/>
  <c r="C107" i="4"/>
  <c r="C106" i="4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C5" i="4"/>
  <c r="C4" i="4"/>
  <c r="E2" i="4"/>
  <c r="D2" i="4"/>
</calcChain>
</file>

<file path=xl/sharedStrings.xml><?xml version="1.0" encoding="utf-8"?>
<sst xmlns="http://schemas.openxmlformats.org/spreadsheetml/2006/main" count="50" uniqueCount="42">
  <si>
    <t>問題集</t>
    <rPh sb="0" eb="2">
      <t>モンダイ</t>
    </rPh>
    <rPh sb="2" eb="3">
      <t>アツ</t>
    </rPh>
    <phoneticPr fontId="1"/>
  </si>
  <si>
    <t>問題番号</t>
    <rPh sb="0" eb="2">
      <t>モンダイ</t>
    </rPh>
    <rPh sb="2" eb="4">
      <t>バンゴウ</t>
    </rPh>
    <phoneticPr fontId="1"/>
  </si>
  <si>
    <t>大問番号</t>
    <rPh sb="0" eb="2">
      <t>ダイモン</t>
    </rPh>
    <rPh sb="2" eb="4">
      <t>バンゴウ</t>
    </rPh>
    <phoneticPr fontId="1"/>
  </si>
  <si>
    <t>解答</t>
    <rPh sb="0" eb="2">
      <t>カイトウ</t>
    </rPh>
    <phoneticPr fontId="1"/>
  </si>
  <si>
    <t>採点</t>
    <rPh sb="0" eb="2">
      <t>サイテン</t>
    </rPh>
    <phoneticPr fontId="1"/>
  </si>
  <si>
    <t>配点</t>
    <rPh sb="0" eb="2">
      <t>ハイテン</t>
    </rPh>
    <phoneticPr fontId="1"/>
  </si>
  <si>
    <t>文字数</t>
    <rPh sb="0" eb="3">
      <t>モジスウ</t>
    </rPh>
    <phoneticPr fontId="1"/>
  </si>
  <si>
    <t>重点対策</t>
    <rPh sb="0" eb="2">
      <t>ジュウテン</t>
    </rPh>
    <rPh sb="2" eb="4">
      <t>タイサク</t>
    </rPh>
    <phoneticPr fontId="1"/>
  </si>
  <si>
    <t>2-1</t>
    <phoneticPr fontId="1"/>
  </si>
  <si>
    <t>C社</t>
    <rPh sb="1" eb="2">
      <t>シャ</t>
    </rPh>
    <phoneticPr fontId="1"/>
  </si>
  <si>
    <t>ECサイトの立ち上げ</t>
    <rPh sb="6" eb="7">
      <t>タ</t>
    </rPh>
    <rPh sb="8" eb="9">
      <t>ア</t>
    </rPh>
    <phoneticPr fontId="1"/>
  </si>
  <si>
    <t>サーバ証明書がQサイトに公開されている</t>
    <rPh sb="3" eb="6">
      <t>ショウメイショ</t>
    </rPh>
    <rPh sb="12" eb="14">
      <t>コウカイ</t>
    </rPh>
    <phoneticPr fontId="1"/>
  </si>
  <si>
    <t>秘密キーの危殆か</t>
    <rPh sb="0" eb="2">
      <t>ヒミツ</t>
    </rPh>
    <rPh sb="5" eb="7">
      <t>キタイ</t>
    </rPh>
    <phoneticPr fontId="1"/>
  </si>
  <si>
    <t>1-(1)</t>
    <phoneticPr fontId="1"/>
  </si>
  <si>
    <t>a:キ</t>
    <phoneticPr fontId="1"/>
  </si>
  <si>
    <t>b:カ</t>
    <phoneticPr fontId="1"/>
  </si>
  <si>
    <t>c:オ</t>
    <phoneticPr fontId="1"/>
  </si>
  <si>
    <t>d:イ</t>
    <phoneticPr fontId="1"/>
  </si>
  <si>
    <t>公開鍵を使ったデジタル証明書の検証→デジタル署名技術</t>
    <rPh sb="0" eb="2">
      <t>コウカイ</t>
    </rPh>
    <rPh sb="2" eb="3">
      <t>カギ</t>
    </rPh>
    <rPh sb="4" eb="5">
      <t>ツカ</t>
    </rPh>
    <rPh sb="11" eb="14">
      <t>ショウメイショ</t>
    </rPh>
    <rPh sb="15" eb="17">
      <t>ケンショウ</t>
    </rPh>
    <rPh sb="22" eb="24">
      <t>ショメイ</t>
    </rPh>
    <rPh sb="24" eb="26">
      <t>ギジュツ</t>
    </rPh>
    <phoneticPr fontId="1"/>
  </si>
  <si>
    <t>1-(2)</t>
    <phoneticPr fontId="1"/>
  </si>
  <si>
    <t>正規サイトにアクセスしたつもりのユーザーを偽のECサイトに誘導する</t>
    <rPh sb="0" eb="2">
      <t>セイキ</t>
    </rPh>
    <rPh sb="21" eb="22">
      <t>ニセ</t>
    </rPh>
    <rPh sb="29" eb="31">
      <t>ユウドウ</t>
    </rPh>
    <phoneticPr fontId="1"/>
  </si>
  <si>
    <t>1-(3)</t>
    <phoneticPr fontId="1"/>
  </si>
  <si>
    <t>エ</t>
    <phoneticPr fontId="1"/>
  </si>
  <si>
    <t>2-(1)</t>
    <phoneticPr fontId="1"/>
  </si>
  <si>
    <t>ア: 利用</t>
    <rPh sb="3" eb="5">
      <t>リヨウ</t>
    </rPh>
    <phoneticPr fontId="1"/>
  </si>
  <si>
    <t>イ: 無効化</t>
    <rPh sb="3" eb="6">
      <t>ムコウカ</t>
    </rPh>
    <phoneticPr fontId="1"/>
  </si>
  <si>
    <t>鯖ー証明書は失効！無効化ではない</t>
    <rPh sb="0" eb="1">
      <t>サバ</t>
    </rPh>
    <rPh sb="2" eb="5">
      <t>ショウメイショ</t>
    </rPh>
    <rPh sb="6" eb="8">
      <t>シッコウ</t>
    </rPh>
    <rPh sb="9" eb="12">
      <t>ムコウカ</t>
    </rPh>
    <phoneticPr fontId="1"/>
  </si>
  <si>
    <t>2-(2)</t>
    <phoneticPr fontId="1"/>
  </si>
  <si>
    <t>秘密鍵が危殆かしたと考えられる日時。</t>
    <rPh sb="0" eb="3">
      <t>ヒミツカギ</t>
    </rPh>
    <rPh sb="4" eb="6">
      <t>キタイ</t>
    </rPh>
    <rPh sb="10" eb="11">
      <t>カンガ</t>
    </rPh>
    <rPh sb="15" eb="17">
      <t>ニチジ</t>
    </rPh>
    <phoneticPr fontId="1"/>
  </si>
  <si>
    <t>秘密鍵を利用していたWEBサイトのFQDN。</t>
    <rPh sb="0" eb="3">
      <t>ヒミツカギ</t>
    </rPh>
    <rPh sb="4" eb="6">
      <t>リヨウ</t>
    </rPh>
    <phoneticPr fontId="1"/>
  </si>
  <si>
    <t>2-(3)</t>
    <phoneticPr fontId="1"/>
  </si>
  <si>
    <t>新規の鍵ペア</t>
    <rPh sb="0" eb="2">
      <t>シンキ</t>
    </rPh>
    <rPh sb="3" eb="4">
      <t>カギ</t>
    </rPh>
    <phoneticPr fontId="1"/>
  </si>
  <si>
    <t>3-(1)</t>
    <phoneticPr fontId="1"/>
  </si>
  <si>
    <t>SSL3.0を利用できないよう設定する。</t>
    <rPh sb="7" eb="9">
      <t>リヨウ</t>
    </rPh>
    <rPh sb="15" eb="17">
      <t>セッテイ</t>
    </rPh>
    <phoneticPr fontId="1"/>
  </si>
  <si>
    <t>3-(2)</t>
    <phoneticPr fontId="1"/>
  </si>
  <si>
    <t>オ、カ</t>
    <phoneticPr fontId="1"/>
  </si>
  <si>
    <t>PFSをもつのは使い捨てのアルゴリズム</t>
    <rPh sb="8" eb="9">
      <t>ツカ</t>
    </rPh>
    <rPh sb="10" eb="11">
      <t>ス</t>
    </rPh>
    <phoneticPr fontId="1"/>
  </si>
  <si>
    <t>DH</t>
    <phoneticPr fontId="1"/>
  </si>
  <si>
    <t>ECDHE</t>
    <phoneticPr fontId="1"/>
  </si>
  <si>
    <t>3-(3)</t>
    <phoneticPr fontId="1"/>
  </si>
  <si>
    <t>3-(4)</t>
    <phoneticPr fontId="1"/>
  </si>
  <si>
    <t>組織が架空のものであるかを保証することが出来ないため。</t>
    <rPh sb="0" eb="2">
      <t>ソシキ</t>
    </rPh>
    <rPh sb="3" eb="5">
      <t>カクウ</t>
    </rPh>
    <rPh sb="13" eb="15">
      <t>ホショウ</t>
    </rPh>
    <rPh sb="20" eb="22">
      <t>デキ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</si>
</sst>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wrapText="1"/>
    </xf>
    <xf numFmtId="49" fontId="0" fillId="0" borderId="0" xfId="0" applyNumberFormat="1"/>
    <xf numFmtId="49" fontId="0" fillId="0" borderId="0" xfId="0" applyNumberFormat="1" applyAlignment="1">
      <alignment wrapText="1"/>
    </xf>
    <xf numFmtId="0" fontId="0" fillId="2" borderId="0" xfId="0" applyFill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142875</xdr:colOff>
          <xdr:row>1</xdr:row>
          <xdr:rowOff>38100</xdr:rowOff>
        </xdr:from>
        <xdr:to>
          <xdr:col>13</xdr:col>
          <xdr:colOff>590550</xdr:colOff>
          <xdr:row>2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シート作成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8EC62-6D75-4E9D-B77E-7094BE41A7A1}">
  <sheetPr codeName="Sheet2"/>
  <dimension ref="A1"/>
  <sheetViews>
    <sheetView workbookViewId="0">
      <selection activeCell="M10" sqref="M10"/>
    </sheetView>
  </sheetViews>
  <sheetFormatPr defaultRowHeight="18.75"/>
  <sheetData/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ddSheetWithSerialNumber">
                <anchor moveWithCells="1" sizeWithCells="1">
                  <from>
                    <xdr:col>12</xdr:col>
                    <xdr:colOff>142875</xdr:colOff>
                    <xdr:row>1</xdr:row>
                    <xdr:rowOff>38100</xdr:rowOff>
                  </from>
                  <to>
                    <xdr:col>13</xdr:col>
                    <xdr:colOff>590550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9978A-10F6-4DA3-9F55-46A14E19160E}">
  <sheetPr codeName="Sheet3"/>
  <dimension ref="A1:E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24" sqref="B24"/>
    </sheetView>
  </sheetViews>
  <sheetFormatPr defaultRowHeight="18.75"/>
  <cols>
    <col min="1" max="1" width="8.75" style="2"/>
    <col min="2" max="2" width="96.875" style="1" customWidth="1"/>
    <col min="3" max="3" width="9.75" customWidth="1"/>
  </cols>
  <sheetData>
    <row r="1" spans="1:5">
      <c r="A1" s="2" t="s">
        <v>0</v>
      </c>
    </row>
    <row r="2" spans="1:5">
      <c r="A2" s="2" t="s">
        <v>2</v>
      </c>
      <c r="D2">
        <f>SUM(D4:D1000)</f>
        <v>0</v>
      </c>
      <c r="E2">
        <f>SUM(E4:E1000)</f>
        <v>0</v>
      </c>
    </row>
    <row r="3" spans="1:5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5">
      <c r="C4" t="str">
        <f>IF(B4&lt;&gt;"",LEN(B4),"")</f>
        <v/>
      </c>
    </row>
    <row r="5" spans="1:5">
      <c r="C5" t="str">
        <f t="shared" ref="C5:C68" si="0">IF(B5&lt;&gt;"",LEN(B5),"")</f>
        <v/>
      </c>
    </row>
    <row r="6" spans="1:5">
      <c r="C6" t="str">
        <f t="shared" si="0"/>
        <v/>
      </c>
    </row>
    <row r="7" spans="1:5">
      <c r="C7" t="str">
        <f t="shared" si="0"/>
        <v/>
      </c>
    </row>
    <row r="8" spans="1:5">
      <c r="C8" t="str">
        <f t="shared" si="0"/>
        <v/>
      </c>
    </row>
    <row r="9" spans="1:5">
      <c r="C9" t="str">
        <f t="shared" si="0"/>
        <v/>
      </c>
    </row>
    <row r="10" spans="1:5">
      <c r="C10" t="str">
        <f t="shared" si="0"/>
        <v/>
      </c>
    </row>
    <row r="11" spans="1:5">
      <c r="C11" t="str">
        <f t="shared" si="0"/>
        <v/>
      </c>
    </row>
    <row r="12" spans="1:5">
      <c r="C12" t="str">
        <f t="shared" si="0"/>
        <v/>
      </c>
    </row>
    <row r="13" spans="1:5">
      <c r="C13" t="str">
        <f t="shared" si="0"/>
        <v/>
      </c>
    </row>
    <row r="14" spans="1:5">
      <c r="C14" t="str">
        <f t="shared" si="0"/>
        <v/>
      </c>
    </row>
    <row r="15" spans="1:5">
      <c r="C15" t="str">
        <f t="shared" si="0"/>
        <v/>
      </c>
    </row>
    <row r="16" spans="1:5">
      <c r="C16" t="str">
        <f t="shared" si="0"/>
        <v/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CF4F87-4078-421C-B0AF-90B54359538D}">
  <sheetPr codeName="Sheet4"/>
  <dimension ref="A1:J167"/>
  <sheetViews>
    <sheetView tabSelected="1"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M11" sqref="M11"/>
    </sheetView>
  </sheetViews>
  <sheetFormatPr defaultRowHeight="18.75"/>
  <cols>
    <col min="1" max="1" width="9" style="2"/>
    <col min="2" max="2" width="96.875" style="1" customWidth="1"/>
    <col min="3" max="3" width="9.75" customWidth="1"/>
  </cols>
  <sheetData>
    <row r="1" spans="1:10">
      <c r="A1" s="2" t="s">
        <v>0</v>
      </c>
      <c r="B1" s="1" t="s">
        <v>7</v>
      </c>
    </row>
    <row r="2" spans="1:10">
      <c r="A2" s="2" t="s">
        <v>2</v>
      </c>
      <c r="B2" s="3" t="s">
        <v>8</v>
      </c>
      <c r="D2">
        <f>SUM(D4:D1000)</f>
        <v>39</v>
      </c>
      <c r="E2">
        <f>SUM(E4:E1000)</f>
        <v>50</v>
      </c>
    </row>
    <row r="3" spans="1:10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0">
      <c r="A4" s="2" t="s">
        <v>13</v>
      </c>
      <c r="B4" s="1" t="s">
        <v>14</v>
      </c>
      <c r="C4">
        <f>IF(B4&lt;&gt;"",LEN(B4),"")</f>
        <v>3</v>
      </c>
      <c r="D4" s="4">
        <v>0</v>
      </c>
      <c r="E4" s="4">
        <v>2</v>
      </c>
    </row>
    <row r="5" spans="1:10">
      <c r="B5" s="1" t="s">
        <v>15</v>
      </c>
      <c r="C5">
        <f t="shared" ref="C5:C68" si="0">IF(B5&lt;&gt;"",LEN(B5),"")</f>
        <v>3</v>
      </c>
      <c r="D5">
        <v>2</v>
      </c>
      <c r="E5">
        <v>2</v>
      </c>
      <c r="G5" t="s">
        <v>9</v>
      </c>
      <c r="J5" t="s">
        <v>18</v>
      </c>
    </row>
    <row r="6" spans="1:10">
      <c r="B6" s="1" t="s">
        <v>16</v>
      </c>
      <c r="C6">
        <f t="shared" si="0"/>
        <v>3</v>
      </c>
      <c r="D6">
        <v>2</v>
      </c>
      <c r="E6">
        <v>2</v>
      </c>
      <c r="G6" t="s">
        <v>10</v>
      </c>
      <c r="J6" t="s">
        <v>26</v>
      </c>
    </row>
    <row r="7" spans="1:10">
      <c r="B7" s="1" t="s">
        <v>17</v>
      </c>
      <c r="C7">
        <f t="shared" si="0"/>
        <v>3</v>
      </c>
      <c r="D7">
        <v>2</v>
      </c>
      <c r="E7">
        <v>2</v>
      </c>
      <c r="G7" t="s">
        <v>11</v>
      </c>
    </row>
    <row r="8" spans="1:10">
      <c r="A8" s="2" t="s">
        <v>19</v>
      </c>
      <c r="B8" s="1" t="s">
        <v>20</v>
      </c>
      <c r="C8">
        <f t="shared" si="0"/>
        <v>33</v>
      </c>
      <c r="D8">
        <v>6</v>
      </c>
      <c r="E8">
        <v>6</v>
      </c>
      <c r="G8" t="s">
        <v>12</v>
      </c>
    </row>
    <row r="9" spans="1:10">
      <c r="A9" s="2" t="s">
        <v>21</v>
      </c>
      <c r="B9" s="1" t="s">
        <v>22</v>
      </c>
      <c r="C9">
        <f t="shared" si="0"/>
        <v>1</v>
      </c>
      <c r="D9">
        <v>2</v>
      </c>
      <c r="E9">
        <v>2</v>
      </c>
    </row>
    <row r="10" spans="1:10">
      <c r="A10" s="2" t="s">
        <v>23</v>
      </c>
      <c r="B10" s="1" t="s">
        <v>24</v>
      </c>
      <c r="C10">
        <f t="shared" si="0"/>
        <v>5</v>
      </c>
      <c r="D10">
        <v>2</v>
      </c>
      <c r="E10">
        <v>2</v>
      </c>
      <c r="G10" t="s">
        <v>36</v>
      </c>
    </row>
    <row r="11" spans="1:10">
      <c r="B11" s="1" t="s">
        <v>25</v>
      </c>
      <c r="C11">
        <f t="shared" si="0"/>
        <v>6</v>
      </c>
      <c r="D11" s="4">
        <v>0</v>
      </c>
      <c r="E11" s="4">
        <v>2</v>
      </c>
      <c r="G11" t="s">
        <v>37</v>
      </c>
    </row>
    <row r="12" spans="1:10">
      <c r="A12" s="2" t="s">
        <v>27</v>
      </c>
      <c r="B12" s="1" t="s">
        <v>28</v>
      </c>
      <c r="C12">
        <f t="shared" si="0"/>
        <v>18</v>
      </c>
      <c r="D12">
        <v>4</v>
      </c>
      <c r="E12">
        <v>4</v>
      </c>
      <c r="G12" t="s">
        <v>38</v>
      </c>
    </row>
    <row r="13" spans="1:10">
      <c r="B13" s="1" t="s">
        <v>29</v>
      </c>
      <c r="C13">
        <f t="shared" si="0"/>
        <v>22</v>
      </c>
      <c r="D13">
        <v>4</v>
      </c>
      <c r="E13">
        <v>4</v>
      </c>
    </row>
    <row r="14" spans="1:10">
      <c r="A14" s="2" t="s">
        <v>30</v>
      </c>
      <c r="B14" s="1" t="s">
        <v>31</v>
      </c>
      <c r="C14">
        <f t="shared" si="0"/>
        <v>6</v>
      </c>
      <c r="D14">
        <v>3</v>
      </c>
      <c r="E14">
        <v>3</v>
      </c>
    </row>
    <row r="15" spans="1:10">
      <c r="A15" s="2" t="s">
        <v>32</v>
      </c>
      <c r="B15" s="1" t="s">
        <v>33</v>
      </c>
      <c r="C15">
        <f t="shared" si="0"/>
        <v>20</v>
      </c>
      <c r="D15">
        <v>6</v>
      </c>
      <c r="E15">
        <v>6</v>
      </c>
    </row>
    <row r="16" spans="1:10">
      <c r="A16" s="2" t="s">
        <v>34</v>
      </c>
      <c r="B16" s="1" t="s">
        <v>35</v>
      </c>
      <c r="C16">
        <f t="shared" si="0"/>
        <v>3</v>
      </c>
      <c r="D16" s="4">
        <v>0</v>
      </c>
      <c r="E16" s="4">
        <v>4</v>
      </c>
    </row>
    <row r="17" spans="1:5">
      <c r="A17" s="2" t="s">
        <v>39</v>
      </c>
      <c r="B17" s="1" t="s">
        <v>22</v>
      </c>
      <c r="C17">
        <f t="shared" si="0"/>
        <v>1</v>
      </c>
      <c r="D17">
        <v>3</v>
      </c>
      <c r="E17">
        <v>3</v>
      </c>
    </row>
    <row r="18" spans="1:5">
      <c r="A18" s="2" t="s">
        <v>40</v>
      </c>
      <c r="B18" s="1" t="s">
        <v>41</v>
      </c>
      <c r="C18">
        <f t="shared" si="0"/>
        <v>27</v>
      </c>
      <c r="D18" s="4">
        <v>3</v>
      </c>
      <c r="E18" s="4">
        <v>6</v>
      </c>
    </row>
    <row r="19" spans="1:5">
      <c r="C19" t="str">
        <f t="shared" si="0"/>
        <v/>
      </c>
    </row>
    <row r="20" spans="1:5">
      <c r="C20" t="str">
        <f t="shared" si="0"/>
        <v/>
      </c>
    </row>
    <row r="21" spans="1:5">
      <c r="C21" t="str">
        <f t="shared" si="0"/>
        <v/>
      </c>
    </row>
    <row r="22" spans="1:5">
      <c r="C22" t="str">
        <f t="shared" si="0"/>
        <v/>
      </c>
    </row>
    <row r="23" spans="1:5">
      <c r="C23" t="str">
        <f t="shared" si="0"/>
        <v/>
      </c>
    </row>
    <row r="24" spans="1:5">
      <c r="C24" t="str">
        <f t="shared" si="0"/>
        <v/>
      </c>
    </row>
    <row r="25" spans="1:5">
      <c r="C25" t="str">
        <f t="shared" si="0"/>
        <v/>
      </c>
    </row>
    <row r="26" spans="1:5">
      <c r="C26" t="str">
        <f t="shared" si="0"/>
        <v/>
      </c>
    </row>
    <row r="27" spans="1:5">
      <c r="C27" t="str">
        <f t="shared" si="0"/>
        <v/>
      </c>
    </row>
    <row r="28" spans="1:5">
      <c r="C28" t="str">
        <f t="shared" si="0"/>
        <v/>
      </c>
    </row>
    <row r="29" spans="1:5">
      <c r="C29" t="str">
        <f t="shared" si="0"/>
        <v/>
      </c>
    </row>
    <row r="30" spans="1:5">
      <c r="C30" t="str">
        <f t="shared" si="0"/>
        <v/>
      </c>
    </row>
    <row r="31" spans="1:5">
      <c r="C31" t="str">
        <f t="shared" si="0"/>
        <v/>
      </c>
    </row>
    <row r="32" spans="1:5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レビュー</vt:lpstr>
      <vt:lpstr>format</vt:lpstr>
      <vt:lpstr>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yoshinaga</dc:creator>
  <cp:lastModifiedBy>信一 吉永</cp:lastModifiedBy>
  <dcterms:created xsi:type="dcterms:W3CDTF">2015-06-05T18:19:34Z</dcterms:created>
  <dcterms:modified xsi:type="dcterms:W3CDTF">2025-01-01T05:03:15Z</dcterms:modified>
</cp:coreProperties>
</file>