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7-secure-programming\"/>
    </mc:Choice>
  </mc:AlternateContent>
  <xr:revisionPtr revIDLastSave="0" documentId="13_ncr:1_{B40CEA74-A8E6-4404-9693-3DE87DE1FD03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<sst xmlns="http://schemas.openxmlformats.org/spreadsheetml/2006/main" count="146" uniqueCount="120">
  <si>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</si>
  <si>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</si>
  <si>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</si>
  <si>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</si>
  <si>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</si>
  <si>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</si>
  <si>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</si>
  <si>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</si>
  <si>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</si>
  <si>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</si>
  <si>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</si>
  <si>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</si>
  <si>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</si>
  <si>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7-3</t>
    <phoneticPr fontId="1"/>
  </si>
  <si>
    <t>C社は合併でできた会社</t>
    <rPh sb="1" eb="2">
      <t>シャ</t>
    </rPh>
    <rPh sb="3" eb="5">
      <t>ガッペイ</t>
    </rPh>
    <rPh sb="9" eb="11">
      <t>カイシャ</t>
    </rPh>
    <phoneticPr fontId="1"/>
  </si>
  <si>
    <t>A百貨店、B百貨店</t>
    <rPh sb="1" eb="4">
      <t>ヒャッカテン</t>
    </rPh>
    <rPh sb="6" eb="9">
      <t>ヒャッカテン</t>
    </rPh>
    <phoneticPr fontId="1"/>
  </si>
  <si>
    <t>サイトP、サイトQ、サイトR</t>
    <phoneticPr fontId="1"/>
  </si>
  <si>
    <t>DXに藤堂する</t>
    <rPh sb="3" eb="5">
      <t>トウドウ</t>
    </rPh>
    <phoneticPr fontId="1"/>
  </si>
  <si>
    <t>LDAPで管理する</t>
    <rPh sb="5" eb="7">
      <t>カンリ</t>
    </rPh>
    <phoneticPr fontId="1"/>
  </si>
  <si>
    <t>P,Rが親アカウント</t>
    <rPh sb="4" eb="5">
      <t>オヤ</t>
    </rPh>
    <phoneticPr fontId="1"/>
  </si>
  <si>
    <t>サイトP,Q、Rのログイン</t>
    <phoneticPr fontId="1"/>
  </si>
  <si>
    <t>LDAP-Pのエントリに属性追加</t>
    <rPh sb="12" eb="14">
      <t>ゾクセイ</t>
    </rPh>
    <rPh sb="14" eb="16">
      <t>ツイカ</t>
    </rPh>
    <phoneticPr fontId="1"/>
  </si>
  <si>
    <t>１</t>
    <phoneticPr fontId="1"/>
  </si>
  <si>
    <t>Web-Pから送信</t>
    <rPh sb="7" eb="9">
      <t>ソウシン</t>
    </rPh>
    <phoneticPr fontId="1"/>
  </si>
  <si>
    <t>サイトPのアカウントを親アカウントとして、Q,Rをコア化</t>
    <rPh sb="11" eb="12">
      <t>オヤ</t>
    </rPh>
    <rPh sb="27" eb="28">
      <t>カ</t>
    </rPh>
    <phoneticPr fontId="1"/>
  </si>
  <si>
    <t>FW-Pで制御する</t>
    <rPh sb="5" eb="7">
      <t>セイギョ</t>
    </rPh>
    <phoneticPr fontId="1"/>
  </si>
  <si>
    <t>a:LDAP-P、LDAP-Q、LDAP-R</t>
    <phoneticPr fontId="1"/>
  </si>
  <si>
    <t>b:LDAP</t>
    <phoneticPr fontId="1"/>
  </si>
  <si>
    <t>2</t>
    <phoneticPr fontId="1"/>
  </si>
  <si>
    <t>利用者と合意した用途の範囲を超えた用途に対して、個人情報を活用すること。</t>
    <rPh sb="0" eb="3">
      <t>リヨウシャ</t>
    </rPh>
    <rPh sb="4" eb="6">
      <t>ゴウイ</t>
    </rPh>
    <rPh sb="8" eb="10">
      <t>ヨウト</t>
    </rPh>
    <rPh sb="11" eb="13">
      <t>ハンイ</t>
    </rPh>
    <rPh sb="14" eb="15">
      <t>コ</t>
    </rPh>
    <rPh sb="17" eb="19">
      <t>ヨウト</t>
    </rPh>
    <rPh sb="20" eb="21">
      <t>タイ</t>
    </rPh>
    <rPh sb="24" eb="28">
      <t>コジンジョウホウ</t>
    </rPh>
    <rPh sb="29" eb="31">
      <t>カツヨウ</t>
    </rPh>
    <phoneticPr fontId="1"/>
  </si>
  <si>
    <t>3-(1)</t>
    <phoneticPr fontId="1"/>
  </si>
  <si>
    <t>サイトP`の回収</t>
    <rPh sb="6" eb="8">
      <t>カイシュウ</t>
    </rPh>
    <phoneticPr fontId="1"/>
  </si>
  <si>
    <t>図４が実行コード</t>
    <rPh sb="0" eb="1">
      <t>ズ</t>
    </rPh>
    <rPh sb="3" eb="5">
      <t>ジッコウ</t>
    </rPh>
    <phoneticPr fontId="1"/>
  </si>
  <si>
    <t>c:ウ</t>
    <phoneticPr fontId="1"/>
  </si>
  <si>
    <t>d:ア</t>
    <phoneticPr fontId="1"/>
  </si>
  <si>
    <t>3-(2)</t>
    <phoneticPr fontId="1"/>
  </si>
  <si>
    <t>e:ウ</t>
    <phoneticPr fontId="1"/>
  </si>
  <si>
    <t>f:ケ</t>
    <phoneticPr fontId="1"/>
  </si>
  <si>
    <t>g:イ</t>
    <phoneticPr fontId="1"/>
  </si>
  <si>
    <t>h:キ</t>
    <phoneticPr fontId="1"/>
  </si>
  <si>
    <t>3-(3)</t>
    <phoneticPr fontId="1"/>
  </si>
  <si>
    <t>childCheckedの値をfalseに変更のあと、例外をスローする。</t>
    <rPh sb="13" eb="14">
      <t>アタイ</t>
    </rPh>
    <rPh sb="21" eb="23">
      <t>ヘンコウ</t>
    </rPh>
    <rPh sb="27" eb="29">
      <t>レイガイ</t>
    </rPh>
    <phoneticPr fontId="1"/>
  </si>
  <si>
    <t>4-(1)</t>
    <phoneticPr fontId="1"/>
  </si>
  <si>
    <t>本人確認がされていないメールアドレスに対してパスワードを送信できる</t>
    <rPh sb="0" eb="2">
      <t>ホンニン</t>
    </rPh>
    <rPh sb="2" eb="4">
      <t>カクニン</t>
    </rPh>
    <rPh sb="19" eb="20">
      <t>タイ</t>
    </rPh>
    <rPh sb="28" eb="30">
      <t>ソウシン</t>
    </rPh>
    <phoneticPr fontId="1"/>
  </si>
  <si>
    <t>4-(2)</t>
    <phoneticPr fontId="1"/>
  </si>
  <si>
    <t>k:サイトRへの登録メールアドレスに、再発行のリンク先が記載されたメールを送信する</t>
    <rPh sb="8" eb="10">
      <t>トウロク</t>
    </rPh>
    <rPh sb="19" eb="22">
      <t>サイハッコウ</t>
    </rPh>
    <rPh sb="26" eb="27">
      <t>サキ</t>
    </rPh>
    <rPh sb="28" eb="30">
      <t>キサイ</t>
    </rPh>
    <rPh sb="37" eb="39">
      <t>ソウシン</t>
    </rPh>
    <phoneticPr fontId="1"/>
  </si>
  <si>
    <t>4-(3)</t>
    <phoneticPr fontId="1"/>
  </si>
  <si>
    <t>利用者のポイントを不正利用して、商品の交換を行う</t>
    <rPh sb="0" eb="3">
      <t>リヨウシャ</t>
    </rPh>
    <rPh sb="9" eb="11">
      <t>フセイ</t>
    </rPh>
    <rPh sb="11" eb="13">
      <t>リヨウ</t>
    </rPh>
    <rPh sb="16" eb="18">
      <t>ショウヒン</t>
    </rPh>
    <rPh sb="19" eb="21">
      <t>コウカン</t>
    </rPh>
    <rPh sb="22" eb="23">
      <t>オコナ</t>
    </rPh>
    <phoneticPr fontId="1"/>
  </si>
  <si>
    <t>利用者のクレジットを不正に利用して、商品の購入を行う</t>
    <rPh sb="0" eb="3">
      <t>リヨウシャ</t>
    </rPh>
    <rPh sb="10" eb="12">
      <t>フセイ</t>
    </rPh>
    <rPh sb="13" eb="15">
      <t>リヨウ</t>
    </rPh>
    <rPh sb="18" eb="20">
      <t>ショウヒン</t>
    </rPh>
    <rPh sb="21" eb="23">
      <t>コウニュウ</t>
    </rPh>
    <rPh sb="24" eb="25">
      <t>オコナ</t>
    </rPh>
    <phoneticPr fontId="1"/>
  </si>
  <si>
    <t>5-(1)</t>
    <phoneticPr fontId="1"/>
  </si>
  <si>
    <t>い：2</t>
    <phoneticPr fontId="1"/>
  </si>
  <si>
    <t>う；3</t>
    <phoneticPr fontId="1"/>
  </si>
  <si>
    <t>5-(2)</t>
    <phoneticPr fontId="1"/>
  </si>
  <si>
    <t>あ：SP</t>
    <phoneticPr fontId="1"/>
  </si>
  <si>
    <t>い：IｄP</t>
    <phoneticPr fontId="1"/>
  </si>
  <si>
    <t>う：SP</t>
    <phoneticPr fontId="1"/>
  </si>
  <si>
    <t>5-(3)</t>
    <phoneticPr fontId="1"/>
  </si>
  <si>
    <t>え：SP</t>
    <phoneticPr fontId="1"/>
  </si>
  <si>
    <t>か：IdP</t>
    <phoneticPr fontId="1"/>
  </si>
  <si>
    <t>き：IdP</t>
    <phoneticPr fontId="1"/>
  </si>
  <si>
    <t>く：IdP</t>
    <phoneticPr fontId="1"/>
  </si>
  <si>
    <t>重点対策</t>
  </si>
  <si>
    <t>7-3</t>
  </si>
  <si>
    <t>7-2</t>
  </si>
  <si>
    <t>7-2</t>
    <phoneticPr fontId="1"/>
  </si>
  <si>
    <t>U社</t>
    <rPh sb="1" eb="2">
      <t>シャ</t>
    </rPh>
    <phoneticPr fontId="1"/>
  </si>
  <si>
    <t>IoT</t>
    <phoneticPr fontId="1"/>
  </si>
  <si>
    <t>C/C++</t>
    <phoneticPr fontId="1"/>
  </si>
  <si>
    <t>Linux</t>
    <phoneticPr fontId="1"/>
  </si>
  <si>
    <t>セキュリティリスクの強化</t>
    <rPh sb="10" eb="12">
      <t>キョウカ</t>
    </rPh>
    <phoneticPr fontId="1"/>
  </si>
  <si>
    <t>メモリ破壊攻撃</t>
    <rPh sb="3" eb="5">
      <t>ハカイ</t>
    </rPh>
    <rPh sb="5" eb="7">
      <t>コウゲキ</t>
    </rPh>
    <phoneticPr fontId="1"/>
  </si>
  <si>
    <t>BOF</t>
    <phoneticPr fontId="1"/>
  </si>
  <si>
    <t>1-(1)</t>
    <phoneticPr fontId="1"/>
  </si>
  <si>
    <t>a:キ</t>
    <phoneticPr fontId="1"/>
  </si>
  <si>
    <t>1-(2)</t>
    <phoneticPr fontId="1"/>
  </si>
  <si>
    <t>あ：ウ</t>
    <phoneticPr fontId="1"/>
  </si>
  <si>
    <t>1-(3)</t>
    <phoneticPr fontId="1"/>
  </si>
  <si>
    <t>shellコードが実行防止領域に存在するため。</t>
    <rPh sb="9" eb="13">
      <t>ジッコウボウシ</t>
    </rPh>
    <rPh sb="13" eb="15">
      <t>リョウイキ</t>
    </rPh>
    <rPh sb="16" eb="18">
      <t>ソンザイ</t>
    </rPh>
    <phoneticPr fontId="1"/>
  </si>
  <si>
    <t>c:ウ</t>
    <phoneticPr fontId="1"/>
  </si>
  <si>
    <t>b:カ</t>
    <phoneticPr fontId="1"/>
  </si>
  <si>
    <t>d:ア</t>
    <phoneticPr fontId="1"/>
  </si>
  <si>
    <t>2-(1)</t>
    <phoneticPr fontId="1"/>
  </si>
  <si>
    <t>e:canary</t>
    <phoneticPr fontId="1"/>
  </si>
  <si>
    <t>f:ASLR</t>
    <phoneticPr fontId="1"/>
  </si>
  <si>
    <t>2-(2)</t>
    <phoneticPr fontId="1"/>
  </si>
  <si>
    <t>g:strcpy</t>
    <phoneticPr fontId="1"/>
  </si>
  <si>
    <t>3-(1)</t>
    <phoneticPr fontId="1"/>
  </si>
  <si>
    <t>16行</t>
    <rPh sb="2" eb="3">
      <t>ギョウ</t>
    </rPh>
    <phoneticPr fontId="1"/>
  </si>
  <si>
    <t>ポインタを利用して、メモリを直接操作しているため</t>
    <rPh sb="5" eb="7">
      <t>リヨウ</t>
    </rPh>
    <rPh sb="14" eb="16">
      <t>チョクセツ</t>
    </rPh>
    <rPh sb="16" eb="18">
      <t>ソウサ</t>
    </rPh>
    <phoneticPr fontId="1"/>
  </si>
  <si>
    <t>3-(2)</t>
    <phoneticPr fontId="1"/>
  </si>
  <si>
    <t>SSPを適用できない開発環境。</t>
    <rPh sb="4" eb="6">
      <t>テキヨウ</t>
    </rPh>
    <rPh sb="10" eb="12">
      <t>カイハツ</t>
    </rPh>
    <rPh sb="12" eb="14">
      <t>カンキョウ</t>
    </rPh>
    <phoneticPr fontId="1"/>
  </si>
  <si>
    <t>コンパイルあとに、BOFを抑止できない。</t>
    <rPh sb="13" eb="15">
      <t>ヨクシ</t>
    </rPh>
    <phoneticPr fontId="1"/>
  </si>
  <si>
    <t>ポインタには、どこまで続くかというサイズ情報がない</t>
    <rPh sb="11" eb="12">
      <t>ツヅ</t>
    </rPh>
    <rPh sb="20" eb="22">
      <t>ジョウホウ</t>
    </rPh>
    <phoneticPr fontId="1"/>
  </si>
  <si>
    <t>→AFでは見れなくなる</t>
    <rPh sb="5" eb="6">
      <t>ミ</t>
    </rPh>
    <phoneticPr fontId="1"/>
  </si>
  <si>
    <t>7-1</t>
  </si>
  <si>
    <t>7-1</t>
    <phoneticPr fontId="1"/>
  </si>
  <si>
    <t>V社</t>
    <rPh sb="1" eb="2">
      <t>シャ</t>
    </rPh>
    <phoneticPr fontId="1"/>
  </si>
  <si>
    <t>SW開発会社</t>
    <rPh sb="2" eb="4">
      <t>カイハツ</t>
    </rPh>
    <rPh sb="4" eb="6">
      <t>カイシャ</t>
    </rPh>
    <phoneticPr fontId="1"/>
  </si>
  <si>
    <t>1</t>
    <phoneticPr fontId="1"/>
  </si>
  <si>
    <t>a:カ</t>
    <phoneticPr fontId="1"/>
  </si>
  <si>
    <t>b:ウ</t>
    <phoneticPr fontId="1"/>
  </si>
  <si>
    <t>2</t>
    <phoneticPr fontId="1"/>
  </si>
  <si>
    <t>解放のあとに、newをすると、元のメモリ領域にアクセスできるようになる</t>
    <rPh sb="0" eb="2">
      <t>カイホウ</t>
    </rPh>
    <rPh sb="15" eb="16">
      <t>モト</t>
    </rPh>
    <rPh sb="20" eb="22">
      <t>リョウイキ</t>
    </rPh>
    <phoneticPr fontId="1"/>
  </si>
  <si>
    <t>元のアドレスを示すようになった段階で、メモリに攻撃アドレスを入力してしまう状況</t>
    <rPh sb="0" eb="1">
      <t>モト</t>
    </rPh>
    <rPh sb="7" eb="8">
      <t>シメ</t>
    </rPh>
    <rPh sb="15" eb="17">
      <t>ダンカイ</t>
    </rPh>
    <rPh sb="23" eb="25">
      <t>コウゲキ</t>
    </rPh>
    <rPh sb="30" eb="32">
      <t>ニュウリョク</t>
    </rPh>
    <rPh sb="37" eb="39">
      <t>ジョウキョウ</t>
    </rPh>
    <phoneticPr fontId="1"/>
  </si>
  <si>
    <t>785634120a</t>
    <phoneticPr fontId="1"/>
  </si>
  <si>
    <t>3</t>
    <phoneticPr fontId="1"/>
  </si>
  <si>
    <t>c:エ</t>
    <phoneticPr fontId="1"/>
  </si>
  <si>
    <t>4</t>
    <phoneticPr fontId="1"/>
  </si>
  <si>
    <t>d:0x0b123400</t>
    <phoneticPr fontId="1"/>
  </si>
  <si>
    <t>5</t>
    <phoneticPr fontId="1"/>
  </si>
  <si>
    <t>e:ヒープ</t>
    <phoneticPr fontId="1"/>
  </si>
  <si>
    <t>6</t>
    <phoneticPr fontId="1"/>
  </si>
  <si>
    <t>共有ライブラリは、実行防止がされていないメモリ領域に配置されるため。</t>
    <rPh sb="0" eb="2">
      <t>キョウユウ</t>
    </rPh>
    <rPh sb="9" eb="13">
      <t>ジッコウボウシ</t>
    </rPh>
    <rPh sb="23" eb="25">
      <t>リョウイキ</t>
    </rPh>
    <rPh sb="26" eb="28">
      <t>ハイチ</t>
    </rPh>
    <phoneticPr fontId="1"/>
  </si>
  <si>
    <t>7</t>
    <phoneticPr fontId="1"/>
  </si>
  <si>
    <t>f:ア</t>
    <phoneticPr fontId="1"/>
  </si>
  <si>
    <t>systemはシェルを実行するapiのため</t>
    <rPh sb="11" eb="13">
      <t>ジッコウ</t>
    </rPh>
    <phoneticPr fontId="1"/>
  </si>
  <si>
    <t>8</t>
    <phoneticPr fontId="1"/>
  </si>
  <si>
    <t>g:DisplayNote</t>
    <phoneticPr fontId="1"/>
  </si>
  <si>
    <t>9</t>
    <phoneticPr fontId="1"/>
  </si>
  <si>
    <t>h:m_note=NULL;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</si>
</sst>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I6" sqref="I6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61</v>
      </c>
      <c r="C2" s="2" t="s">
        <v>62</v>
      </c>
      <c r="D2">
        <v>88</v>
      </c>
      <c r="E2">
        <v>100</v>
      </c>
    </row>
    <row r="3" spans="1:6">
      <c r="A3">
        <v>2</v>
      </c>
      <c r="B3" s="2" t="s">
        <v>61</v>
      </c>
      <c r="C3" s="2" t="s">
        <v>63</v>
      </c>
      <c r="D3">
        <v>48</v>
      </c>
      <c r="E3">
        <v>50</v>
      </c>
    </row>
    <row r="4" spans="1:6">
      <c r="A4">
        <v>3</v>
      </c>
      <c r="B4" s="2" t="s">
        <v>61</v>
      </c>
      <c r="C4" s="2" t="s">
        <v>94</v>
      </c>
      <c r="D4">
        <v>50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524A4-B1AF-4482-839D-5B5E5139E93E}">
  <sheetPr codeName="Sheet4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1">
      <c r="A1" s="2" t="s">
        <v>0</v>
      </c>
      <c r="B1" s="1" t="s">
        <v>12</v>
      </c>
    </row>
    <row r="2" spans="1:11">
      <c r="A2" s="2" t="s">
        <v>2</v>
      </c>
      <c r="B2" s="3" t="s">
        <v>13</v>
      </c>
      <c r="D2">
        <f>SUM(D4:D1000)</f>
        <v>88</v>
      </c>
      <c r="E2">
        <f>SUM(E4:E1000)</f>
        <v>100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22</v>
      </c>
      <c r="B4" s="1" t="s">
        <v>26</v>
      </c>
      <c r="C4">
        <f>IF(B4&lt;&gt;"",LEN(B4),"")</f>
        <v>22</v>
      </c>
      <c r="D4">
        <v>2</v>
      </c>
      <c r="E4">
        <v>4</v>
      </c>
    </row>
    <row r="5" spans="1:11">
      <c r="B5" s="1" t="s">
        <v>27</v>
      </c>
      <c r="C5">
        <f t="shared" ref="C5:C68" si="0">IF(B5&lt;&gt;"",LEN(B5),"")</f>
        <v>6</v>
      </c>
      <c r="D5">
        <v>2</v>
      </c>
      <c r="E5">
        <v>4</v>
      </c>
      <c r="G5" t="s">
        <v>14</v>
      </c>
      <c r="K5" t="s">
        <v>31</v>
      </c>
    </row>
    <row r="6" spans="1:11">
      <c r="A6" s="2" t="s">
        <v>28</v>
      </c>
      <c r="B6" s="1" t="s">
        <v>29</v>
      </c>
      <c r="C6">
        <f t="shared" si="0"/>
        <v>36</v>
      </c>
      <c r="D6">
        <v>4</v>
      </c>
      <c r="E6">
        <v>8</v>
      </c>
      <c r="G6" t="s">
        <v>15</v>
      </c>
      <c r="K6" t="s">
        <v>32</v>
      </c>
    </row>
    <row r="7" spans="1:11">
      <c r="A7" s="2" t="s">
        <v>30</v>
      </c>
      <c r="B7" s="1" t="s">
        <v>33</v>
      </c>
      <c r="C7">
        <f t="shared" si="0"/>
        <v>3</v>
      </c>
      <c r="D7">
        <v>5</v>
      </c>
      <c r="E7">
        <v>5</v>
      </c>
      <c r="G7" t="s">
        <v>16</v>
      </c>
    </row>
    <row r="8" spans="1:11">
      <c r="B8" s="1" t="s">
        <v>34</v>
      </c>
      <c r="C8">
        <f t="shared" si="0"/>
        <v>3</v>
      </c>
      <c r="D8">
        <v>5</v>
      </c>
      <c r="E8">
        <v>5</v>
      </c>
      <c r="G8" t="s">
        <v>17</v>
      </c>
    </row>
    <row r="9" spans="1:11">
      <c r="B9" s="1" t="s">
        <v>37</v>
      </c>
      <c r="C9">
        <f t="shared" si="0"/>
        <v>3</v>
      </c>
      <c r="D9">
        <v>5</v>
      </c>
      <c r="E9">
        <v>5</v>
      </c>
      <c r="G9" t="s">
        <v>18</v>
      </c>
    </row>
    <row r="10" spans="1:11">
      <c r="B10" s="1" t="s">
        <v>38</v>
      </c>
      <c r="C10">
        <f t="shared" si="0"/>
        <v>3</v>
      </c>
      <c r="D10">
        <v>5</v>
      </c>
      <c r="E10">
        <v>5</v>
      </c>
      <c r="G10" t="s">
        <v>19</v>
      </c>
    </row>
    <row r="11" spans="1:11">
      <c r="A11" s="2" t="s">
        <v>35</v>
      </c>
      <c r="B11" s="1" t="s">
        <v>36</v>
      </c>
      <c r="C11">
        <f t="shared" si="0"/>
        <v>3</v>
      </c>
      <c r="D11">
        <v>5</v>
      </c>
      <c r="E11">
        <v>5</v>
      </c>
      <c r="G11" t="s">
        <v>20</v>
      </c>
    </row>
    <row r="12" spans="1:11">
      <c r="B12" s="1" t="s">
        <v>39</v>
      </c>
      <c r="C12">
        <f t="shared" si="0"/>
        <v>3</v>
      </c>
      <c r="D12">
        <v>5</v>
      </c>
      <c r="E12">
        <v>5</v>
      </c>
      <c r="G12" t="s">
        <v>21</v>
      </c>
    </row>
    <row r="13" spans="1:11">
      <c r="A13" s="2" t="s">
        <v>40</v>
      </c>
      <c r="B13" s="1" t="s">
        <v>41</v>
      </c>
      <c r="C13">
        <f t="shared" si="0"/>
        <v>36</v>
      </c>
      <c r="D13">
        <v>8</v>
      </c>
      <c r="E13">
        <v>8</v>
      </c>
      <c r="G13" t="s">
        <v>23</v>
      </c>
    </row>
    <row r="14" spans="1:11">
      <c r="A14" s="2" t="s">
        <v>42</v>
      </c>
      <c r="B14" s="1" t="s">
        <v>43</v>
      </c>
      <c r="C14">
        <f t="shared" si="0"/>
        <v>33</v>
      </c>
      <c r="D14">
        <v>8</v>
      </c>
      <c r="E14">
        <v>8</v>
      </c>
    </row>
    <row r="15" spans="1:11">
      <c r="A15" s="2" t="s">
        <v>44</v>
      </c>
      <c r="B15" s="1" t="s">
        <v>45</v>
      </c>
      <c r="C15">
        <f t="shared" si="0"/>
        <v>41</v>
      </c>
      <c r="D15">
        <v>8</v>
      </c>
      <c r="E15">
        <v>8</v>
      </c>
      <c r="G15" t="s">
        <v>24</v>
      </c>
    </row>
    <row r="16" spans="1:11">
      <c r="A16" s="2" t="s">
        <v>46</v>
      </c>
      <c r="B16" s="1" t="s">
        <v>47</v>
      </c>
      <c r="C16">
        <f t="shared" si="0"/>
        <v>24</v>
      </c>
      <c r="D16">
        <v>6</v>
      </c>
      <c r="E16">
        <v>6</v>
      </c>
      <c r="G16" t="s">
        <v>25</v>
      </c>
    </row>
    <row r="17" spans="1:5">
      <c r="B17" s="1" t="s">
        <v>48</v>
      </c>
      <c r="C17">
        <f t="shared" si="0"/>
        <v>26</v>
      </c>
      <c r="D17">
        <v>6</v>
      </c>
      <c r="E17">
        <v>6</v>
      </c>
    </row>
    <row r="18" spans="1:5">
      <c r="A18" s="2" t="s">
        <v>49</v>
      </c>
      <c r="B18" s="1" t="s">
        <v>50</v>
      </c>
      <c r="C18">
        <f t="shared" si="0"/>
        <v>3</v>
      </c>
      <c r="D18">
        <v>2</v>
      </c>
      <c r="E18">
        <v>2</v>
      </c>
    </row>
    <row r="19" spans="1:5">
      <c r="B19" s="1" t="s">
        <v>51</v>
      </c>
      <c r="C19">
        <f t="shared" si="0"/>
        <v>3</v>
      </c>
      <c r="D19">
        <v>0</v>
      </c>
      <c r="E19">
        <v>2</v>
      </c>
    </row>
    <row r="20" spans="1:5">
      <c r="A20" s="2" t="s">
        <v>52</v>
      </c>
      <c r="B20" s="1" t="s">
        <v>53</v>
      </c>
      <c r="C20">
        <f t="shared" si="0"/>
        <v>4</v>
      </c>
      <c r="D20">
        <v>2</v>
      </c>
      <c r="E20">
        <v>2</v>
      </c>
    </row>
    <row r="21" spans="1:5">
      <c r="B21" s="1" t="s">
        <v>54</v>
      </c>
      <c r="C21">
        <f t="shared" si="0"/>
        <v>5</v>
      </c>
      <c r="D21">
        <v>2</v>
      </c>
      <c r="E21">
        <v>2</v>
      </c>
    </row>
    <row r="22" spans="1:5">
      <c r="B22" s="1" t="s">
        <v>55</v>
      </c>
      <c r="C22">
        <f t="shared" si="0"/>
        <v>4</v>
      </c>
      <c r="D22">
        <v>2</v>
      </c>
      <c r="E22">
        <v>2</v>
      </c>
    </row>
    <row r="23" spans="1:5">
      <c r="A23" s="2" t="s">
        <v>56</v>
      </c>
      <c r="B23" s="1" t="s">
        <v>57</v>
      </c>
      <c r="C23">
        <f t="shared" si="0"/>
        <v>4</v>
      </c>
      <c r="D23">
        <v>2</v>
      </c>
      <c r="E23">
        <v>2</v>
      </c>
    </row>
    <row r="24" spans="1:5">
      <c r="B24" s="1" t="s">
        <v>58</v>
      </c>
      <c r="C24">
        <f t="shared" si="0"/>
        <v>5</v>
      </c>
      <c r="D24">
        <v>2</v>
      </c>
      <c r="E24">
        <v>2</v>
      </c>
    </row>
    <row r="25" spans="1:5">
      <c r="B25" s="1" t="s">
        <v>59</v>
      </c>
      <c r="C25">
        <f t="shared" si="0"/>
        <v>5</v>
      </c>
      <c r="D25">
        <v>2</v>
      </c>
      <c r="E25">
        <v>2</v>
      </c>
    </row>
    <row r="26" spans="1:5">
      <c r="B26" s="1" t="s">
        <v>60</v>
      </c>
      <c r="C26">
        <f t="shared" si="0"/>
        <v>5</v>
      </c>
      <c r="D26">
        <v>0</v>
      </c>
      <c r="E26">
        <v>2</v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DB878-A28D-47B8-B3BC-87E21B87F20F}">
  <sheetPr codeName="Sheet5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8">
      <c r="A1" s="2" t="s">
        <v>0</v>
      </c>
      <c r="B1" s="1" t="s">
        <v>12</v>
      </c>
    </row>
    <row r="2" spans="1:8">
      <c r="A2" s="2" t="s">
        <v>2</v>
      </c>
      <c r="B2" s="3" t="s">
        <v>64</v>
      </c>
      <c r="D2">
        <f>SUM(D4:D1000)</f>
        <v>48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72</v>
      </c>
      <c r="B4" s="1" t="s">
        <v>73</v>
      </c>
      <c r="C4">
        <f>IF(B4&lt;&gt;"",LEN(B4),"")</f>
        <v>3</v>
      </c>
      <c r="D4">
        <v>3</v>
      </c>
      <c r="E4">
        <v>3</v>
      </c>
    </row>
    <row r="5" spans="1:8">
      <c r="B5" s="1" t="s">
        <v>79</v>
      </c>
      <c r="C5">
        <f t="shared" ref="C5:C68" si="0">IF(B5&lt;&gt;"",LEN(B5),"")</f>
        <v>3</v>
      </c>
      <c r="D5">
        <v>3</v>
      </c>
      <c r="E5">
        <v>3</v>
      </c>
      <c r="G5" t="s">
        <v>65</v>
      </c>
      <c r="H5" t="s">
        <v>66</v>
      </c>
    </row>
    <row r="6" spans="1:8">
      <c r="B6" s="1" t="s">
        <v>78</v>
      </c>
      <c r="C6">
        <f t="shared" si="0"/>
        <v>3</v>
      </c>
      <c r="D6">
        <v>3</v>
      </c>
      <c r="E6">
        <v>3</v>
      </c>
      <c r="G6" t="s">
        <v>67</v>
      </c>
    </row>
    <row r="7" spans="1:8">
      <c r="B7" s="1" t="s">
        <v>80</v>
      </c>
      <c r="C7">
        <f t="shared" si="0"/>
        <v>3</v>
      </c>
      <c r="D7">
        <v>3</v>
      </c>
      <c r="E7">
        <v>3</v>
      </c>
      <c r="G7" t="s">
        <v>68</v>
      </c>
    </row>
    <row r="8" spans="1:8">
      <c r="A8" s="2" t="s">
        <v>74</v>
      </c>
      <c r="B8" s="1" t="s">
        <v>75</v>
      </c>
      <c r="C8">
        <f t="shared" si="0"/>
        <v>3</v>
      </c>
      <c r="D8">
        <v>3</v>
      </c>
      <c r="E8">
        <v>3</v>
      </c>
      <c r="G8" t="s">
        <v>69</v>
      </c>
    </row>
    <row r="9" spans="1:8">
      <c r="A9" s="2" t="s">
        <v>76</v>
      </c>
      <c r="B9" s="1" t="s">
        <v>77</v>
      </c>
      <c r="C9">
        <f t="shared" si="0"/>
        <v>23</v>
      </c>
      <c r="D9">
        <v>6</v>
      </c>
      <c r="E9">
        <v>6</v>
      </c>
      <c r="G9" t="s">
        <v>70</v>
      </c>
    </row>
    <row r="10" spans="1:8">
      <c r="A10" s="2" t="s">
        <v>81</v>
      </c>
      <c r="B10" s="1" t="s">
        <v>82</v>
      </c>
      <c r="C10">
        <f t="shared" si="0"/>
        <v>8</v>
      </c>
      <c r="D10">
        <v>3</v>
      </c>
      <c r="E10">
        <v>3</v>
      </c>
      <c r="G10" t="s">
        <v>71</v>
      </c>
    </row>
    <row r="11" spans="1:8">
      <c r="B11" s="1" t="s">
        <v>83</v>
      </c>
      <c r="C11">
        <f t="shared" si="0"/>
        <v>6</v>
      </c>
      <c r="D11">
        <v>3</v>
      </c>
      <c r="E11">
        <v>3</v>
      </c>
    </row>
    <row r="12" spans="1:8">
      <c r="A12" s="2" t="s">
        <v>84</v>
      </c>
      <c r="B12" s="1" t="s">
        <v>85</v>
      </c>
      <c r="C12">
        <f t="shared" si="0"/>
        <v>8</v>
      </c>
      <c r="D12">
        <v>4</v>
      </c>
      <c r="E12">
        <v>4</v>
      </c>
      <c r="G12" t="s">
        <v>92</v>
      </c>
    </row>
    <row r="13" spans="1:8">
      <c r="A13" s="2" t="s">
        <v>86</v>
      </c>
      <c r="B13" s="1" t="s">
        <v>87</v>
      </c>
      <c r="C13">
        <f t="shared" si="0"/>
        <v>3</v>
      </c>
      <c r="D13">
        <v>3</v>
      </c>
      <c r="E13">
        <v>3</v>
      </c>
      <c r="G13" t="s">
        <v>93</v>
      </c>
    </row>
    <row r="14" spans="1:8">
      <c r="B14" s="1" t="s">
        <v>88</v>
      </c>
      <c r="C14">
        <f t="shared" si="0"/>
        <v>24</v>
      </c>
      <c r="D14">
        <v>6</v>
      </c>
      <c r="E14">
        <v>6</v>
      </c>
    </row>
    <row r="15" spans="1:8">
      <c r="A15" s="2" t="s">
        <v>89</v>
      </c>
      <c r="B15" s="1" t="s">
        <v>90</v>
      </c>
      <c r="C15">
        <f t="shared" si="0"/>
        <v>15</v>
      </c>
      <c r="D15">
        <v>6</v>
      </c>
      <c r="E15">
        <v>6</v>
      </c>
    </row>
    <row r="16" spans="1:8">
      <c r="B16" s="1" t="s">
        <v>91</v>
      </c>
      <c r="C16">
        <f t="shared" si="0"/>
        <v>20</v>
      </c>
      <c r="D16">
        <v>2</v>
      </c>
      <c r="E16">
        <v>4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AA5C2-CEE5-444F-B0AF-A604EEF8CEA5}">
  <sheetPr codeName="Sheet6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8" sqref="D18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95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98</v>
      </c>
      <c r="B4" s="1" t="s">
        <v>99</v>
      </c>
      <c r="C4">
        <f>IF(B4&lt;&gt;"",LEN(B4),"")</f>
        <v>3</v>
      </c>
      <c r="D4">
        <v>3</v>
      </c>
      <c r="E4">
        <v>3</v>
      </c>
    </row>
    <row r="5" spans="1:7">
      <c r="B5" s="1" t="s">
        <v>100</v>
      </c>
      <c r="C5">
        <f t="shared" ref="C5:C68" si="0">IF(B5&lt;&gt;"",LEN(B5),"")</f>
        <v>3</v>
      </c>
      <c r="D5">
        <v>3</v>
      </c>
      <c r="E5">
        <v>3</v>
      </c>
      <c r="G5" t="s">
        <v>96</v>
      </c>
    </row>
    <row r="6" spans="1:7">
      <c r="A6" s="2" t="s">
        <v>101</v>
      </c>
      <c r="B6" s="1" t="s">
        <v>103</v>
      </c>
      <c r="C6">
        <f t="shared" si="0"/>
        <v>39</v>
      </c>
      <c r="G6" t="s">
        <v>97</v>
      </c>
    </row>
    <row r="7" spans="1:7">
      <c r="B7" s="1" t="s">
        <v>104</v>
      </c>
      <c r="C7">
        <f t="shared" si="0"/>
        <v>10</v>
      </c>
      <c r="D7">
        <v>5</v>
      </c>
      <c r="E7">
        <v>5</v>
      </c>
    </row>
    <row r="8" spans="1:7">
      <c r="A8" s="2" t="s">
        <v>105</v>
      </c>
      <c r="B8" s="1" t="s">
        <v>106</v>
      </c>
      <c r="C8">
        <f t="shared" si="0"/>
        <v>3</v>
      </c>
      <c r="D8">
        <v>5</v>
      </c>
      <c r="E8">
        <v>5</v>
      </c>
      <c r="G8" t="s">
        <v>102</v>
      </c>
    </row>
    <row r="9" spans="1:7">
      <c r="A9" s="2" t="s">
        <v>107</v>
      </c>
      <c r="B9" s="1" t="s">
        <v>108</v>
      </c>
      <c r="C9">
        <f t="shared" si="0"/>
        <v>12</v>
      </c>
      <c r="D9">
        <v>5</v>
      </c>
      <c r="E9">
        <v>5</v>
      </c>
    </row>
    <row r="10" spans="1:7">
      <c r="A10" s="2" t="s">
        <v>109</v>
      </c>
      <c r="B10" s="1" t="s">
        <v>110</v>
      </c>
      <c r="C10">
        <f t="shared" si="0"/>
        <v>5</v>
      </c>
      <c r="D10">
        <v>5</v>
      </c>
      <c r="E10">
        <v>5</v>
      </c>
      <c r="G10" t="s">
        <v>115</v>
      </c>
    </row>
    <row r="11" spans="1:7">
      <c r="A11" s="2" t="s">
        <v>111</v>
      </c>
      <c r="B11" s="1" t="s">
        <v>112</v>
      </c>
      <c r="C11">
        <f t="shared" si="0"/>
        <v>34</v>
      </c>
      <c r="D11">
        <v>8</v>
      </c>
      <c r="E11">
        <v>8</v>
      </c>
    </row>
    <row r="12" spans="1:7">
      <c r="A12" s="2" t="s">
        <v>113</v>
      </c>
      <c r="B12" s="1" t="s">
        <v>114</v>
      </c>
      <c r="C12">
        <f t="shared" si="0"/>
        <v>3</v>
      </c>
      <c r="D12">
        <v>5</v>
      </c>
      <c r="E12">
        <v>5</v>
      </c>
    </row>
    <row r="13" spans="1:7">
      <c r="A13" s="2" t="s">
        <v>116</v>
      </c>
      <c r="B13" s="1" t="s">
        <v>117</v>
      </c>
      <c r="C13">
        <f t="shared" si="0"/>
        <v>13</v>
      </c>
      <c r="D13">
        <v>5</v>
      </c>
      <c r="E13">
        <v>5</v>
      </c>
    </row>
    <row r="14" spans="1:7">
      <c r="A14" s="2" t="s">
        <v>118</v>
      </c>
      <c r="B14" s="1" t="s">
        <v>119</v>
      </c>
      <c r="C14">
        <f t="shared" si="0"/>
        <v>14</v>
      </c>
      <c r="D14">
        <v>6</v>
      </c>
      <c r="E14">
        <v>6</v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Shinichi</cp:lastModifiedBy>
  <dcterms:created xsi:type="dcterms:W3CDTF">2015-06-05T18:19:34Z</dcterms:created>
  <dcterms:modified xsi:type="dcterms:W3CDTF">2025-01-13T10:30:37Z</dcterms:modified>
</cp:coreProperties>
</file>