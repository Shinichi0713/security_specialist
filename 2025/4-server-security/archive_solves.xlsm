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4-server-security\"/>
    </mc:Choice>
  </mc:AlternateContent>
  <xr:revisionPtr revIDLastSave="0" documentId="13_ncr:1_{42D8CAB4-4A8F-4D06-BF4C-3AB4C565BF2D}" xr6:coauthVersionLast="47" xr6:coauthVersionMax="47" xr10:uidLastSave="{00000000-0000-0000-0000-000000000000}"/>
  <bookViews>
    <workbookView xWindow="345" yWindow="1035" windowWidth="27270" windowHeight="11295" activeTab="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8" l="1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2" i="8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<sst xmlns="http://schemas.openxmlformats.org/spreadsheetml/2006/main" count="205" uniqueCount="155">
  <si>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</si>
  <si>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</si>
  <si>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</si>
  <si>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</si>
  <si>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</si>
  <si>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</si>
  <si>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</si>
  <si>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</si>
  <si>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</si>
  <si>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</si>
  <si>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</si>
  <si>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</si>
  <si>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インターネット商品宣伝</t>
    <rPh sb="7" eb="9">
      <t>ショウヒン</t>
    </rPh>
    <rPh sb="9" eb="11">
      <t>センデン</t>
    </rPh>
    <phoneticPr fontId="1"/>
  </si>
  <si>
    <t>小売業</t>
    <rPh sb="0" eb="3">
      <t>コウリギョウ</t>
    </rPh>
    <phoneticPr fontId="1"/>
  </si>
  <si>
    <t>重点対策</t>
    <rPh sb="0" eb="2">
      <t>ジュウテン</t>
    </rPh>
    <rPh sb="2" eb="4">
      <t>タイサク</t>
    </rPh>
    <phoneticPr fontId="1"/>
  </si>
  <si>
    <t>4-1</t>
    <phoneticPr fontId="1"/>
  </si>
  <si>
    <t>リゾルバを行うのはプロキシとメール</t>
    <rPh sb="5" eb="6">
      <t>オコナ</t>
    </rPh>
    <phoneticPr fontId="1"/>
  </si>
  <si>
    <t>1-(1)</t>
    <phoneticPr fontId="1"/>
  </si>
  <si>
    <t>A社の公開Webサーバへのアクセスが出来なくなる。</t>
    <rPh sb="1" eb="2">
      <t>シャ</t>
    </rPh>
    <rPh sb="3" eb="5">
      <t>コウカイ</t>
    </rPh>
    <rPh sb="18" eb="20">
      <t>デキ</t>
    </rPh>
    <phoneticPr fontId="1"/>
  </si>
  <si>
    <t>1-(2)</t>
    <phoneticPr fontId="1"/>
  </si>
  <si>
    <t>DNSリフレクション</t>
    <phoneticPr fontId="1"/>
  </si>
  <si>
    <t>1-(3)</t>
    <phoneticPr fontId="1"/>
  </si>
  <si>
    <t>フルサービスリゾルバ：DNS-F</t>
    <phoneticPr fontId="1"/>
  </si>
  <si>
    <t>DNS-K:権威DNS</t>
    <rPh sb="6" eb="8">
      <t>ケンイ</t>
    </rPh>
    <phoneticPr fontId="1"/>
  </si>
  <si>
    <t>b:イ</t>
    <phoneticPr fontId="1"/>
  </si>
  <si>
    <t>a:ア</t>
    <phoneticPr fontId="1"/>
  </si>
  <si>
    <t>1-(4)</t>
    <phoneticPr fontId="1"/>
  </si>
  <si>
    <t>A</t>
    <phoneticPr fontId="1"/>
  </si>
  <si>
    <t>1-(5)</t>
    <phoneticPr fontId="1"/>
  </si>
  <si>
    <t>ランダム化</t>
    <rPh sb="4" eb="5">
      <t>カ</t>
    </rPh>
    <phoneticPr fontId="1"/>
  </si>
  <si>
    <t>1-(6)</t>
    <phoneticPr fontId="1"/>
  </si>
  <si>
    <t>DNSSEC</t>
    <phoneticPr fontId="1"/>
  </si>
  <si>
    <t>1-(7)</t>
    <phoneticPr fontId="1"/>
  </si>
  <si>
    <t>f:オ</t>
    <phoneticPr fontId="1"/>
  </si>
  <si>
    <t>g:カ</t>
    <phoneticPr fontId="1"/>
  </si>
  <si>
    <t>スタブリゾルバ：クライアントPC</t>
    <phoneticPr fontId="1"/>
  </si>
  <si>
    <t>2-(1)</t>
    <phoneticPr fontId="1"/>
  </si>
  <si>
    <t>2-(2)</t>
    <phoneticPr fontId="1"/>
  </si>
  <si>
    <t>h:カ</t>
    <phoneticPr fontId="1"/>
  </si>
  <si>
    <t>i:ク</t>
    <phoneticPr fontId="1"/>
  </si>
  <si>
    <t>権威DNSサーバーのサービス障害になるリスク</t>
    <rPh sb="0" eb="2">
      <t>ケンイ</t>
    </rPh>
    <rPh sb="14" eb="16">
      <t>ショウガイ</t>
    </rPh>
    <phoneticPr fontId="1"/>
  </si>
  <si>
    <t>2-(3)</t>
    <phoneticPr fontId="1"/>
  </si>
  <si>
    <t>j:拒否</t>
    <rPh sb="2" eb="4">
      <t>キョヒ</t>
    </rPh>
    <phoneticPr fontId="1"/>
  </si>
  <si>
    <t>k:許可</t>
    <rPh sb="2" eb="4">
      <t>キョカ</t>
    </rPh>
    <phoneticPr fontId="1"/>
  </si>
  <si>
    <t>l:拒否</t>
    <rPh sb="2" eb="4">
      <t>キョヒ</t>
    </rPh>
    <phoneticPr fontId="1"/>
  </si>
  <si>
    <t>m:拒否</t>
    <rPh sb="2" eb="4">
      <t>キョヒ</t>
    </rPh>
    <phoneticPr fontId="1"/>
  </si>
  <si>
    <t>2-(4)</t>
    <phoneticPr fontId="1"/>
  </si>
  <si>
    <t>o:ア</t>
    <phoneticPr fontId="1"/>
  </si>
  <si>
    <t>n:オ</t>
    <phoneticPr fontId="1"/>
  </si>
  <si>
    <t>p:カ</t>
    <phoneticPr fontId="1"/>
  </si>
  <si>
    <t>4-2</t>
    <phoneticPr fontId="1"/>
  </si>
  <si>
    <t>M社</t>
    <rPh sb="1" eb="2">
      <t>シャ</t>
    </rPh>
    <phoneticPr fontId="1"/>
  </si>
  <si>
    <t>WEBサイトA</t>
    <phoneticPr fontId="1"/>
  </si>
  <si>
    <t>EXサイト複数</t>
    <rPh sb="5" eb="7">
      <t>フクスウ</t>
    </rPh>
    <phoneticPr fontId="1"/>
  </si>
  <si>
    <t>サイトB～サイトF</t>
    <phoneticPr fontId="1"/>
  </si>
  <si>
    <t>サイトA</t>
    <phoneticPr fontId="1"/>
  </si>
  <si>
    <t>1-(1)</t>
    <phoneticPr fontId="1"/>
  </si>
  <si>
    <t>前妻とのポータルサイト</t>
    <rPh sb="0" eb="2">
      <t>ゼンサイ</t>
    </rPh>
    <phoneticPr fontId="1"/>
  </si>
  <si>
    <t>サイトB</t>
    <phoneticPr fontId="1"/>
  </si>
  <si>
    <t>ECサイト</t>
    <phoneticPr fontId="1"/>
  </si>
  <si>
    <t>ブランド別の売れ筋商品情報をサイトAで表示</t>
    <rPh sb="4" eb="5">
      <t>ベツ</t>
    </rPh>
    <rPh sb="6" eb="7">
      <t>ウ</t>
    </rPh>
    <rPh sb="8" eb="9">
      <t>スジ</t>
    </rPh>
    <rPh sb="9" eb="11">
      <t>ショウヒン</t>
    </rPh>
    <rPh sb="11" eb="13">
      <t>ジョウホウ</t>
    </rPh>
    <rPh sb="19" eb="21">
      <t>ヒョウジ</t>
    </rPh>
    <phoneticPr fontId="1"/>
  </si>
  <si>
    <t>売れ筋情報取得：API-X</t>
    <rPh sb="0" eb="1">
      <t>ウ</t>
    </rPh>
    <rPh sb="2" eb="5">
      <t>スジジョウホウ</t>
    </rPh>
    <rPh sb="5" eb="7">
      <t>シュトク</t>
    </rPh>
    <phoneticPr fontId="1"/>
  </si>
  <si>
    <t>会員情報取得：APIーY</t>
    <rPh sb="0" eb="4">
      <t>カイインジョウホウ</t>
    </rPh>
    <rPh sb="4" eb="6">
      <t>シュトク</t>
    </rPh>
    <phoneticPr fontId="1"/>
  </si>
  <si>
    <t>SAME-ORIGIN</t>
    <phoneticPr fontId="1"/>
  </si>
  <si>
    <t>1-(2)</t>
    <phoneticPr fontId="1"/>
  </si>
  <si>
    <t>b: イ</t>
    <phoneticPr fontId="1"/>
  </si>
  <si>
    <t>c: キ</t>
    <phoneticPr fontId="1"/>
  </si>
  <si>
    <t>d: ク</t>
    <phoneticPr fontId="1"/>
  </si>
  <si>
    <t>1-(3)</t>
    <phoneticPr fontId="1"/>
  </si>
  <si>
    <t>サイトBはcookieでセッション管理している</t>
    <rPh sb="17" eb="19">
      <t>カンリ</t>
    </rPh>
    <phoneticPr fontId="1"/>
  </si>
  <si>
    <t>→ログイン状態をもとにAPI-Yを利用している</t>
    <rPh sb="5" eb="7">
      <t>ジョウタイ</t>
    </rPh>
    <rPh sb="17" eb="19">
      <t>リヨウ</t>
    </rPh>
    <phoneticPr fontId="1"/>
  </si>
  <si>
    <t>サイトBにログインした状態とする。</t>
    <rPh sb="11" eb="13">
      <t>ジョウタイ</t>
    </rPh>
    <phoneticPr fontId="1"/>
  </si>
  <si>
    <t>2</t>
    <phoneticPr fontId="1"/>
  </si>
  <si>
    <t>CORS</t>
    <phoneticPr fontId="1"/>
  </si>
  <si>
    <t>ⅵ</t>
    <phoneticPr fontId="1"/>
  </si>
  <si>
    <t>cookieは通常、オリジンが異なると送付されない</t>
    <rPh sb="7" eb="9">
      <t>ツウジョウ</t>
    </rPh>
    <rPh sb="15" eb="16">
      <t>コト</t>
    </rPh>
    <rPh sb="19" eb="21">
      <t>ソウフ</t>
    </rPh>
    <phoneticPr fontId="1"/>
  </si>
  <si>
    <t>Weｂサイト側がcookieの送信を許可した場合にはcookieが送付される</t>
    <rPh sb="6" eb="7">
      <t>ガワ</t>
    </rPh>
    <rPh sb="15" eb="17">
      <t>ソウシン</t>
    </rPh>
    <rPh sb="18" eb="20">
      <t>キョカ</t>
    </rPh>
    <rPh sb="22" eb="24">
      <t>バアイ</t>
    </rPh>
    <rPh sb="33" eb="35">
      <t>ソウフ</t>
    </rPh>
    <phoneticPr fontId="1"/>
  </si>
  <si>
    <t>判断基準はOriginに基づいて考えられる</t>
    <rPh sb="0" eb="4">
      <t>ハンダンキジュン</t>
    </rPh>
    <rPh sb="12" eb="13">
      <t>モト</t>
    </rPh>
    <rPh sb="16" eb="17">
      <t>カンガ</t>
    </rPh>
    <phoneticPr fontId="1"/>
  </si>
  <si>
    <t>→サイト側が送信を許可しないといけない</t>
    <rPh sb="4" eb="5">
      <t>ガワ</t>
    </rPh>
    <rPh sb="6" eb="8">
      <t>ソウシン</t>
    </rPh>
    <rPh sb="9" eb="11">
      <t>キョカ</t>
    </rPh>
    <phoneticPr fontId="1"/>
  </si>
  <si>
    <t>3-(1)</t>
    <phoneticPr fontId="1"/>
  </si>
  <si>
    <t>https://site-a.m-sha.co.jp</t>
    <phoneticPr fontId="1"/>
  </si>
  <si>
    <t>3-(2)</t>
    <phoneticPr fontId="1"/>
  </si>
  <si>
    <t>プリフライトリクエストのOriginヘッダフィールド</t>
    <phoneticPr fontId="1"/>
  </si>
  <si>
    <t>3-(3)</t>
    <phoneticPr fontId="1"/>
  </si>
  <si>
    <t>h:Originヘッダフィールドの値</t>
    <rPh sb="17" eb="18">
      <t>アタイ</t>
    </rPh>
    <phoneticPr fontId="1"/>
  </si>
  <si>
    <t>i: 許可するオリジンのリスト</t>
    <rPh sb="3" eb="5">
      <t>キョカ</t>
    </rPh>
    <phoneticPr fontId="1"/>
  </si>
  <si>
    <t>j:一致</t>
    <rPh sb="2" eb="4">
      <t>イッチ</t>
    </rPh>
    <phoneticPr fontId="1"/>
  </si>
  <si>
    <t>重点対策</t>
  </si>
  <si>
    <t>4-1</t>
  </si>
  <si>
    <t>重点対策</t>
    <phoneticPr fontId="1"/>
  </si>
  <si>
    <t>4-2</t>
    <phoneticPr fontId="1"/>
  </si>
  <si>
    <t>極分</t>
    <rPh sb="0" eb="1">
      <t>キワ</t>
    </rPh>
    <rPh sb="1" eb="2">
      <t>ブン</t>
    </rPh>
    <phoneticPr fontId="1"/>
  </si>
  <si>
    <t>7-1</t>
    <phoneticPr fontId="1"/>
  </si>
  <si>
    <t>A社化学メーカー</t>
    <rPh sb="1" eb="2">
      <t>シャ</t>
    </rPh>
    <rPh sb="2" eb="4">
      <t>カガク</t>
    </rPh>
    <phoneticPr fontId="1"/>
  </si>
  <si>
    <t>メールの理由</t>
    <rPh sb="4" eb="6">
      <t>リユウ</t>
    </rPh>
    <phoneticPr fontId="1"/>
  </si>
  <si>
    <t>Xシステム</t>
    <phoneticPr fontId="1"/>
  </si>
  <si>
    <t>リゾルバ、DNSキャッシュ</t>
    <phoneticPr fontId="1"/>
  </si>
  <si>
    <t>FW-A</t>
    <phoneticPr fontId="1"/>
  </si>
  <si>
    <t>a:UDP</t>
    <phoneticPr fontId="1"/>
  </si>
  <si>
    <t>b:3 way</t>
    <phoneticPr fontId="1"/>
  </si>
  <si>
    <t>c:DNSSEC</t>
    <phoneticPr fontId="1"/>
  </si>
  <si>
    <t>問い合わせPTの送信元ポート番号をランダム化する。</t>
    <rPh sb="0" eb="1">
      <t>ト</t>
    </rPh>
    <rPh sb="2" eb="3">
      <t>ア</t>
    </rPh>
    <rPh sb="8" eb="10">
      <t>ソウシン</t>
    </rPh>
    <rPh sb="10" eb="11">
      <t>モト</t>
    </rPh>
    <rPh sb="14" eb="16">
      <t>バンゴウ</t>
    </rPh>
    <rPh sb="21" eb="22">
      <t>カ</t>
    </rPh>
    <phoneticPr fontId="1"/>
  </si>
  <si>
    <t>送信元が外部メールサーバーの場合再帰的な名前解決を許可する必要があるため。</t>
    <rPh sb="0" eb="3">
      <t>ソウシンモト</t>
    </rPh>
    <rPh sb="4" eb="6">
      <t>ガイブ</t>
    </rPh>
    <rPh sb="14" eb="16">
      <t>バアイ</t>
    </rPh>
    <rPh sb="16" eb="19">
      <t>サイキテキ</t>
    </rPh>
    <rPh sb="20" eb="24">
      <t>ナマエカイケツ</t>
    </rPh>
    <rPh sb="25" eb="27">
      <t>キョカ</t>
    </rPh>
    <rPh sb="29" eb="31">
      <t>ヒツヨウ</t>
    </rPh>
    <phoneticPr fontId="1"/>
  </si>
  <si>
    <t>FW-Aを通過</t>
    <rPh sb="5" eb="7">
      <t>ツウカ</t>
    </rPh>
    <phoneticPr fontId="1"/>
  </si>
  <si>
    <t>d,e,f</t>
    <phoneticPr fontId="1"/>
  </si>
  <si>
    <t>TXTレコード</t>
    <phoneticPr fontId="1"/>
  </si>
  <si>
    <t>C-DNS</t>
    <phoneticPr fontId="1"/>
  </si>
  <si>
    <t>送信元A社を装ったメールを外部メールサーバーに送信する。</t>
    <rPh sb="0" eb="3">
      <t>ソウシンモト</t>
    </rPh>
    <rPh sb="4" eb="5">
      <t>シャ</t>
    </rPh>
    <rPh sb="6" eb="7">
      <t>ヨソオ</t>
    </rPh>
    <rPh sb="13" eb="15">
      <t>ガイブ</t>
    </rPh>
    <rPh sb="23" eb="25">
      <t>ソウシン</t>
    </rPh>
    <phoneticPr fontId="1"/>
  </si>
  <si>
    <t>FW</t>
    <phoneticPr fontId="1"/>
  </si>
  <si>
    <t>DMZと社内LAN</t>
    <rPh sb="4" eb="6">
      <t>シャナイ</t>
    </rPh>
    <phoneticPr fontId="1"/>
  </si>
  <si>
    <t>支社PR</t>
    <rPh sb="0" eb="2">
      <t>シシャ</t>
    </rPh>
    <phoneticPr fontId="1"/>
  </si>
  <si>
    <t>送信元が支社プロキシサーバーと識別できる情報がないため。</t>
    <rPh sb="0" eb="3">
      <t>ソウシンモト</t>
    </rPh>
    <rPh sb="4" eb="6">
      <t>シシャ</t>
    </rPh>
    <rPh sb="15" eb="17">
      <t>シキベツ</t>
    </rPh>
    <rPh sb="20" eb="22">
      <t>ジョウホウ</t>
    </rPh>
    <phoneticPr fontId="1"/>
  </si>
  <si>
    <t>IF-1経由のプロキシと外部からの正規問い合わせPTを識別できないから</t>
    <rPh sb="4" eb="6">
      <t>ケイユ</t>
    </rPh>
    <rPh sb="12" eb="14">
      <t>ガイブ</t>
    </rPh>
    <rPh sb="17" eb="19">
      <t>セイキ</t>
    </rPh>
    <rPh sb="19" eb="20">
      <t>ト</t>
    </rPh>
    <rPh sb="21" eb="22">
      <t>ア</t>
    </rPh>
    <rPh sb="27" eb="29">
      <t>シキベツ</t>
    </rPh>
    <phoneticPr fontId="1"/>
  </si>
  <si>
    <t>支社PRとC-DNSの通信不要</t>
    <rPh sb="0" eb="2">
      <t>シシャ</t>
    </rPh>
    <rPh sb="11" eb="13">
      <t>ツウシン</t>
    </rPh>
    <rPh sb="13" eb="15">
      <t>フヨウ</t>
    </rPh>
    <phoneticPr fontId="1"/>
  </si>
  <si>
    <t>支社内にもDNSサーバーと同じ機能を持つ</t>
    <rPh sb="0" eb="2">
      <t>シシャ</t>
    </rPh>
    <rPh sb="2" eb="3">
      <t>ナイ</t>
    </rPh>
    <rPh sb="13" eb="14">
      <t>オナ</t>
    </rPh>
    <rPh sb="15" eb="17">
      <t>キノウ</t>
    </rPh>
    <rPh sb="18" eb="19">
      <t>モ</t>
    </rPh>
    <phoneticPr fontId="1"/>
  </si>
  <si>
    <t>極分</t>
  </si>
  <si>
    <t>7-1</t>
  </si>
  <si>
    <t>支社プロキシも正規のパケットも送信元がインターネット</t>
    <rPh sb="0" eb="2">
      <t>シシャ</t>
    </rPh>
    <rPh sb="7" eb="9">
      <t>セイキ</t>
    </rPh>
    <rPh sb="15" eb="18">
      <t>ソウシンモト</t>
    </rPh>
    <phoneticPr fontId="1"/>
  </si>
  <si>
    <t>→内部LANではないため、識別できない</t>
    <rPh sb="1" eb="3">
      <t>ナイブ</t>
    </rPh>
    <rPh sb="13" eb="15">
      <t>シキベツ</t>
    </rPh>
    <phoneticPr fontId="1"/>
  </si>
  <si>
    <t>8-2</t>
    <phoneticPr fontId="1"/>
  </si>
  <si>
    <t>Z社</t>
    <rPh sb="1" eb="2">
      <t>シャ</t>
    </rPh>
    <phoneticPr fontId="1"/>
  </si>
  <si>
    <t>ファブレス</t>
    <phoneticPr fontId="1"/>
  </si>
  <si>
    <t>Zクラウド管理者</t>
    <rPh sb="5" eb="8">
      <t>カンリシャ</t>
    </rPh>
    <phoneticPr fontId="1"/>
  </si>
  <si>
    <t>品質</t>
    <rPh sb="0" eb="2">
      <t>ヒンシツ</t>
    </rPh>
    <phoneticPr fontId="1"/>
  </si>
  <si>
    <t>L-OS</t>
    <phoneticPr fontId="1"/>
  </si>
  <si>
    <t>Zクラウド</t>
    <phoneticPr fontId="1"/>
  </si>
  <si>
    <t>BlueTooth</t>
    <phoneticPr fontId="1"/>
  </si>
  <si>
    <t>HDMI, USB</t>
    <phoneticPr fontId="1"/>
  </si>
  <si>
    <t>Webアプリサーバ</t>
    <phoneticPr fontId="1"/>
  </si>
  <si>
    <t>Web IF</t>
    <phoneticPr fontId="1"/>
  </si>
  <si>
    <t>APP IF</t>
    <phoneticPr fontId="1"/>
  </si>
  <si>
    <t>IDごとにフォルダ</t>
    <phoneticPr fontId="1"/>
  </si>
  <si>
    <t>Webアプリ</t>
    <phoneticPr fontId="1"/>
  </si>
  <si>
    <t>Zカメラ</t>
    <phoneticPr fontId="1"/>
  </si>
  <si>
    <t>シリアル番号</t>
    <rPh sb="4" eb="6">
      <t>バンゴウ</t>
    </rPh>
    <phoneticPr fontId="1"/>
  </si>
  <si>
    <t>a: SYN スキャン</t>
    <phoneticPr fontId="1"/>
  </si>
  <si>
    <t>1-('2)</t>
    <phoneticPr fontId="1"/>
  </si>
  <si>
    <t>閉じている：ウ、ク</t>
    <rPh sb="0" eb="1">
      <t>ト</t>
    </rPh>
    <phoneticPr fontId="1"/>
  </si>
  <si>
    <t>開いている：カ</t>
    <rPh sb="0" eb="1">
      <t>ヒラ</t>
    </rPh>
    <phoneticPr fontId="1"/>
  </si>
  <si>
    <t>RST/ACK：閉じている</t>
    <rPh sb="8" eb="9">
      <t>ト</t>
    </rPh>
    <phoneticPr fontId="1"/>
  </si>
  <si>
    <t>C&amp;Cサーバーと、HTTPを用いた通信</t>
    <rPh sb="14" eb="15">
      <t>モチ</t>
    </rPh>
    <rPh sb="17" eb="19">
      <t>ツウシン</t>
    </rPh>
    <phoneticPr fontId="1"/>
  </si>
  <si>
    <t>デバッグ用スクリプトを削除した修正版ファームウェアを、カメラＩＦのサイトより配信する。</t>
    <rPh sb="4" eb="5">
      <t>ヨウ</t>
    </rPh>
    <rPh sb="11" eb="13">
      <t>サクジョ</t>
    </rPh>
    <rPh sb="15" eb="18">
      <t>シュウセイバン</t>
    </rPh>
    <rPh sb="38" eb="40">
      <t>ハイシン</t>
    </rPh>
    <phoneticPr fontId="1"/>
  </si>
  <si>
    <t>c:カ</t>
    <phoneticPr fontId="1"/>
  </si>
  <si>
    <t>d:キ</t>
    <phoneticPr fontId="1"/>
  </si>
  <si>
    <t>https</t>
    <phoneticPr fontId="1"/>
  </si>
  <si>
    <t>CNがFQDN</t>
    <phoneticPr fontId="1"/>
  </si>
  <si>
    <t>ルート証明書の検証を行うかを確認するため</t>
    <rPh sb="3" eb="6">
      <t>ショウメイショ</t>
    </rPh>
    <rPh sb="7" eb="9">
      <t>ケンショウ</t>
    </rPh>
    <rPh sb="10" eb="11">
      <t>オコナ</t>
    </rPh>
    <rPh sb="14" eb="16">
      <t>カクニン</t>
    </rPh>
    <phoneticPr fontId="1"/>
  </si>
  <si>
    <t>カメラ端末のUUIDが登録されたものか検証する。</t>
    <rPh sb="3" eb="5">
      <t>タンマツ</t>
    </rPh>
    <rPh sb="11" eb="13">
      <t>トウロク</t>
    </rPh>
    <rPh sb="19" eb="21">
      <t>ケンショウ</t>
    </rPh>
    <phoneticPr fontId="1"/>
  </si>
  <si>
    <t>なぜUUIDとご判断した？</t>
    <rPh sb="8" eb="10">
      <t>ハンダン</t>
    </rPh>
    <phoneticPr fontId="1"/>
  </si>
  <si>
    <t>A1,D1,D2</t>
    <phoneticPr fontId="1"/>
  </si>
  <si>
    <t>コンテンツ＝サーバ上のプログラム</t>
    <rPh sb="9" eb="10">
      <t>ウエ</t>
    </rPh>
    <phoneticPr fontId="1"/>
  </si>
  <si>
    <t>特定のパスワードに対して、利用者IDを網羅的に変化する攻撃手法。</t>
    <rPh sb="0" eb="2">
      <t>トクテイ</t>
    </rPh>
    <rPh sb="9" eb="10">
      <t>タイ</t>
    </rPh>
    <rPh sb="13" eb="16">
      <t>リヨウシャ</t>
    </rPh>
    <rPh sb="19" eb="22">
      <t>モウラテキ</t>
    </rPh>
    <rPh sb="23" eb="25">
      <t>ヘンカ</t>
    </rPh>
    <rPh sb="27" eb="31">
      <t>コウゲキシュホウ</t>
    </rPh>
    <phoneticPr fontId="1"/>
  </si>
  <si>
    <t>3-(4)</t>
    <phoneticPr fontId="1"/>
  </si>
  <si>
    <t>特定の利用者IDに対する連続したログイン失敗の回数は少なく済むため。</t>
    <rPh sb="0" eb="2">
      <t>トクテイ</t>
    </rPh>
    <rPh sb="3" eb="6">
      <t>リヨウシャ</t>
    </rPh>
    <rPh sb="9" eb="10">
      <t>タイ</t>
    </rPh>
    <rPh sb="12" eb="14">
      <t>レンゾク</t>
    </rPh>
    <rPh sb="20" eb="22">
      <t>シッパイ</t>
    </rPh>
    <rPh sb="23" eb="25">
      <t>カイスウ</t>
    </rPh>
    <rPh sb="26" eb="27">
      <t>スク</t>
    </rPh>
    <rPh sb="29" eb="30">
      <t>ス</t>
    </rPh>
    <phoneticPr fontId="1"/>
  </si>
  <si>
    <t>3-(5)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</si>
</sst>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  <xf numFmtId="0" fontId="0" fillId="2" borderId="0" xfId="0" applyFill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ite-a.m-sha.co.jp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workbookViewId="0">
      <selection activeCell="J3" sqref="J3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87</v>
      </c>
      <c r="C2" s="2" t="s">
        <v>88</v>
      </c>
      <c r="D2">
        <v>47</v>
      </c>
      <c r="E2">
        <v>50</v>
      </c>
    </row>
    <row r="3" spans="1:6">
      <c r="A3">
        <v>2</v>
      </c>
      <c r="B3" s="2" t="s">
        <v>89</v>
      </c>
      <c r="C3" s="2" t="s">
        <v>90</v>
      </c>
      <c r="D3">
        <v>45</v>
      </c>
      <c r="E3">
        <v>50</v>
      </c>
    </row>
    <row r="4" spans="1:6">
      <c r="A4">
        <v>3</v>
      </c>
      <c r="B4" s="2" t="s">
        <v>115</v>
      </c>
      <c r="C4" s="2" t="s">
        <v>116</v>
      </c>
      <c r="D4">
        <v>28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81664-2E00-4DD0-84D0-16E418E9CCDC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7">
      <c r="A1" s="2" t="s">
        <v>0</v>
      </c>
      <c r="B1" s="1" t="s">
        <v>14</v>
      </c>
    </row>
    <row r="2" spans="1:7">
      <c r="A2" s="2" t="s">
        <v>2</v>
      </c>
      <c r="B2" s="3" t="s">
        <v>15</v>
      </c>
      <c r="D2">
        <f>SUM(D4:D1000)</f>
        <v>47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17</v>
      </c>
      <c r="B4" s="1" t="s">
        <v>18</v>
      </c>
      <c r="C4">
        <f>IF(B4&lt;&gt;"",LEN(B4),"")</f>
        <v>25</v>
      </c>
      <c r="D4">
        <v>6</v>
      </c>
      <c r="E4">
        <v>6</v>
      </c>
    </row>
    <row r="5" spans="1:7">
      <c r="A5" s="2" t="s">
        <v>19</v>
      </c>
      <c r="B5" s="1" t="s">
        <v>20</v>
      </c>
      <c r="C5">
        <f t="shared" ref="C5:C68" si="0">IF(B5&lt;&gt;"",LEN(B5),"")</f>
        <v>10</v>
      </c>
      <c r="D5">
        <v>0</v>
      </c>
      <c r="E5">
        <v>3</v>
      </c>
      <c r="G5" t="s">
        <v>12</v>
      </c>
    </row>
    <row r="6" spans="1:7">
      <c r="A6" s="2" t="s">
        <v>21</v>
      </c>
      <c r="B6" s="1" t="s">
        <v>25</v>
      </c>
      <c r="C6">
        <f t="shared" si="0"/>
        <v>3</v>
      </c>
      <c r="D6">
        <v>2</v>
      </c>
      <c r="E6">
        <v>2</v>
      </c>
      <c r="G6" t="s">
        <v>13</v>
      </c>
    </row>
    <row r="7" spans="1:7">
      <c r="B7" s="1" t="s">
        <v>24</v>
      </c>
      <c r="C7">
        <f t="shared" si="0"/>
        <v>3</v>
      </c>
      <c r="D7">
        <v>2</v>
      </c>
      <c r="E7">
        <v>2</v>
      </c>
      <c r="G7" t="s">
        <v>16</v>
      </c>
    </row>
    <row r="8" spans="1:7">
      <c r="A8" s="2" t="s">
        <v>26</v>
      </c>
      <c r="B8" s="1" t="s">
        <v>27</v>
      </c>
      <c r="C8">
        <f t="shared" si="0"/>
        <v>1</v>
      </c>
      <c r="D8">
        <v>3</v>
      </c>
      <c r="E8">
        <v>3</v>
      </c>
      <c r="G8" t="s">
        <v>23</v>
      </c>
    </row>
    <row r="9" spans="1:7">
      <c r="A9" s="2" t="s">
        <v>28</v>
      </c>
      <c r="B9" s="1" t="s">
        <v>29</v>
      </c>
      <c r="C9">
        <f t="shared" si="0"/>
        <v>5</v>
      </c>
      <c r="D9">
        <v>3</v>
      </c>
      <c r="E9">
        <v>3</v>
      </c>
      <c r="G9" t="s">
        <v>22</v>
      </c>
    </row>
    <row r="10" spans="1:7">
      <c r="A10" s="2" t="s">
        <v>30</v>
      </c>
      <c r="B10" s="1" t="s">
        <v>31</v>
      </c>
      <c r="C10">
        <f t="shared" si="0"/>
        <v>6</v>
      </c>
      <c r="D10">
        <v>3</v>
      </c>
      <c r="E10">
        <v>3</v>
      </c>
    </row>
    <row r="11" spans="1:7">
      <c r="A11" s="2" t="s">
        <v>32</v>
      </c>
      <c r="B11" s="1" t="s">
        <v>33</v>
      </c>
      <c r="C11">
        <f t="shared" si="0"/>
        <v>3</v>
      </c>
      <c r="D11">
        <v>2</v>
      </c>
      <c r="E11">
        <v>2</v>
      </c>
      <c r="G11" t="s">
        <v>35</v>
      </c>
    </row>
    <row r="12" spans="1:7">
      <c r="B12" s="1" t="s">
        <v>34</v>
      </c>
      <c r="C12">
        <f t="shared" si="0"/>
        <v>3</v>
      </c>
      <c r="D12">
        <v>2</v>
      </c>
      <c r="E12">
        <v>2</v>
      </c>
    </row>
    <row r="13" spans="1:7">
      <c r="A13" s="2" t="s">
        <v>36</v>
      </c>
      <c r="B13" s="1" t="s">
        <v>40</v>
      </c>
      <c r="C13">
        <f t="shared" si="0"/>
        <v>22</v>
      </c>
      <c r="D13">
        <v>6</v>
      </c>
      <c r="E13">
        <v>6</v>
      </c>
    </row>
    <row r="14" spans="1:7">
      <c r="A14" s="2" t="s">
        <v>37</v>
      </c>
      <c r="B14" s="1" t="s">
        <v>38</v>
      </c>
      <c r="C14">
        <f t="shared" si="0"/>
        <v>3</v>
      </c>
      <c r="D14">
        <v>2</v>
      </c>
      <c r="E14">
        <v>2</v>
      </c>
    </row>
    <row r="15" spans="1:7">
      <c r="B15" s="1" t="s">
        <v>39</v>
      </c>
      <c r="C15">
        <f t="shared" si="0"/>
        <v>3</v>
      </c>
      <c r="D15">
        <v>2</v>
      </c>
      <c r="E15">
        <v>2</v>
      </c>
    </row>
    <row r="16" spans="1:7">
      <c r="A16" s="2" t="s">
        <v>41</v>
      </c>
      <c r="B16" s="1" t="s">
        <v>42</v>
      </c>
      <c r="C16">
        <f t="shared" si="0"/>
        <v>4</v>
      </c>
      <c r="D16">
        <v>2</v>
      </c>
      <c r="E16">
        <v>2</v>
      </c>
    </row>
    <row r="17" spans="1:5">
      <c r="B17" s="1" t="s">
        <v>43</v>
      </c>
      <c r="C17">
        <f t="shared" si="0"/>
        <v>4</v>
      </c>
      <c r="D17">
        <v>2</v>
      </c>
      <c r="E17">
        <v>2</v>
      </c>
    </row>
    <row r="18" spans="1:5">
      <c r="B18" s="1" t="s">
        <v>44</v>
      </c>
      <c r="C18">
        <f t="shared" si="0"/>
        <v>4</v>
      </c>
      <c r="D18">
        <v>2</v>
      </c>
      <c r="E18">
        <v>2</v>
      </c>
    </row>
    <row r="19" spans="1:5">
      <c r="B19" s="1" t="s">
        <v>45</v>
      </c>
      <c r="C19">
        <f t="shared" si="0"/>
        <v>4</v>
      </c>
      <c r="D19">
        <v>2</v>
      </c>
      <c r="E19">
        <v>2</v>
      </c>
    </row>
    <row r="20" spans="1:5">
      <c r="A20" s="2" t="s">
        <v>46</v>
      </c>
      <c r="B20" s="1" t="s">
        <v>48</v>
      </c>
      <c r="C20">
        <f t="shared" si="0"/>
        <v>3</v>
      </c>
      <c r="D20">
        <v>2</v>
      </c>
      <c r="E20">
        <v>2</v>
      </c>
    </row>
    <row r="21" spans="1:5">
      <c r="B21" s="1" t="s">
        <v>47</v>
      </c>
      <c r="C21">
        <f t="shared" si="0"/>
        <v>3</v>
      </c>
      <c r="D21">
        <v>2</v>
      </c>
      <c r="E21">
        <v>2</v>
      </c>
    </row>
    <row r="22" spans="1:5">
      <c r="B22" s="1" t="s">
        <v>49</v>
      </c>
      <c r="C22">
        <f t="shared" si="0"/>
        <v>3</v>
      </c>
      <c r="D22">
        <v>2</v>
      </c>
      <c r="E22">
        <v>2</v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4BC9-4D2C-4466-859A-2246CEBC0796}">
  <sheetPr codeName="Sheet5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5" sqref="D15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8">
      <c r="A1" s="2" t="s">
        <v>0</v>
      </c>
      <c r="B1" s="1" t="s">
        <v>14</v>
      </c>
    </row>
    <row r="2" spans="1:8">
      <c r="A2" s="2" t="s">
        <v>2</v>
      </c>
      <c r="B2" s="3" t="s">
        <v>50</v>
      </c>
      <c r="D2">
        <f>SUM(D4:D1000)</f>
        <v>45</v>
      </c>
      <c r="E2">
        <f>SUM(E4:E1000)</f>
        <v>50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56</v>
      </c>
      <c r="B4" s="1" t="s">
        <v>63</v>
      </c>
      <c r="C4">
        <f>IF(B4&lt;&gt;"",LEN(B4),"")</f>
        <v>11</v>
      </c>
      <c r="D4">
        <v>4</v>
      </c>
      <c r="E4">
        <v>4</v>
      </c>
    </row>
    <row r="5" spans="1:8">
      <c r="A5" s="2" t="s">
        <v>64</v>
      </c>
      <c r="B5" s="1" t="s">
        <v>65</v>
      </c>
      <c r="C5">
        <f t="shared" ref="C5:C68" si="0">IF(B5&lt;&gt;"",LEN(B5),"")</f>
        <v>4</v>
      </c>
      <c r="D5">
        <v>3</v>
      </c>
      <c r="E5">
        <v>3</v>
      </c>
      <c r="G5" t="s">
        <v>51</v>
      </c>
    </row>
    <row r="6" spans="1:8">
      <c r="B6" s="1" t="s">
        <v>66</v>
      </c>
      <c r="C6">
        <f t="shared" si="0"/>
        <v>4</v>
      </c>
      <c r="D6">
        <v>3</v>
      </c>
      <c r="E6">
        <v>3</v>
      </c>
      <c r="G6" t="s">
        <v>52</v>
      </c>
    </row>
    <row r="7" spans="1:8">
      <c r="B7" s="1" t="s">
        <v>67</v>
      </c>
      <c r="C7">
        <f t="shared" si="0"/>
        <v>4</v>
      </c>
      <c r="D7">
        <v>3</v>
      </c>
      <c r="E7">
        <v>3</v>
      </c>
      <c r="G7" t="s">
        <v>53</v>
      </c>
    </row>
    <row r="8" spans="1:8">
      <c r="A8" s="2" t="s">
        <v>68</v>
      </c>
      <c r="B8" s="1" t="s">
        <v>71</v>
      </c>
      <c r="C8">
        <f t="shared" si="0"/>
        <v>17</v>
      </c>
      <c r="D8">
        <v>8</v>
      </c>
      <c r="E8">
        <v>8</v>
      </c>
      <c r="G8" t="s">
        <v>54</v>
      </c>
    </row>
    <row r="9" spans="1:8">
      <c r="A9" s="2" t="s">
        <v>72</v>
      </c>
      <c r="B9" s="1" t="s">
        <v>74</v>
      </c>
      <c r="C9">
        <f t="shared" si="0"/>
        <v>1</v>
      </c>
      <c r="D9">
        <v>0</v>
      </c>
      <c r="E9">
        <v>5</v>
      </c>
      <c r="G9" t="s">
        <v>55</v>
      </c>
      <c r="H9" t="s">
        <v>57</v>
      </c>
    </row>
    <row r="10" spans="1:8">
      <c r="A10" s="2" t="s">
        <v>79</v>
      </c>
      <c r="B10" s="4" t="s">
        <v>80</v>
      </c>
      <c r="C10">
        <f t="shared" si="0"/>
        <v>26</v>
      </c>
      <c r="D10">
        <v>4</v>
      </c>
      <c r="E10">
        <v>4</v>
      </c>
      <c r="G10" t="s">
        <v>58</v>
      </c>
      <c r="H10" t="s">
        <v>59</v>
      </c>
    </row>
    <row r="11" spans="1:8">
      <c r="A11" s="2" t="s">
        <v>81</v>
      </c>
      <c r="B11" s="1" t="s">
        <v>82</v>
      </c>
      <c r="C11">
        <f t="shared" si="0"/>
        <v>26</v>
      </c>
      <c r="D11">
        <v>8</v>
      </c>
      <c r="E11">
        <v>8</v>
      </c>
      <c r="G11" t="s">
        <v>60</v>
      </c>
    </row>
    <row r="12" spans="1:8">
      <c r="A12" s="2" t="s">
        <v>83</v>
      </c>
      <c r="B12" s="1" t="s">
        <v>84</v>
      </c>
      <c r="C12">
        <f t="shared" si="0"/>
        <v>18</v>
      </c>
      <c r="D12">
        <v>4</v>
      </c>
      <c r="E12">
        <v>4</v>
      </c>
    </row>
    <row r="13" spans="1:8">
      <c r="B13" s="1" t="s">
        <v>85</v>
      </c>
      <c r="C13">
        <f t="shared" si="0"/>
        <v>15</v>
      </c>
      <c r="D13">
        <v>4</v>
      </c>
      <c r="E13">
        <v>4</v>
      </c>
      <c r="G13" t="s">
        <v>58</v>
      </c>
    </row>
    <row r="14" spans="1:8">
      <c r="B14" s="1" t="s">
        <v>86</v>
      </c>
      <c r="C14">
        <f t="shared" si="0"/>
        <v>4</v>
      </c>
      <c r="D14">
        <v>4</v>
      </c>
      <c r="E14">
        <v>4</v>
      </c>
      <c r="G14" t="s">
        <v>61</v>
      </c>
    </row>
    <row r="15" spans="1:8">
      <c r="C15" t="str">
        <f t="shared" si="0"/>
        <v/>
      </c>
      <c r="G15" t="s">
        <v>62</v>
      </c>
    </row>
    <row r="16" spans="1:8">
      <c r="C16" t="str">
        <f t="shared" si="0"/>
        <v/>
      </c>
      <c r="G16" t="s">
        <v>69</v>
      </c>
    </row>
    <row r="17" spans="3:7">
      <c r="C17" t="str">
        <f t="shared" si="0"/>
        <v/>
      </c>
      <c r="G17" t="s">
        <v>70</v>
      </c>
    </row>
    <row r="18" spans="3:7">
      <c r="C18" t="str">
        <f t="shared" si="0"/>
        <v/>
      </c>
    </row>
    <row r="19" spans="3:7">
      <c r="C19" t="str">
        <f t="shared" si="0"/>
        <v/>
      </c>
      <c r="G19" t="s">
        <v>73</v>
      </c>
    </row>
    <row r="20" spans="3:7">
      <c r="C20" t="str">
        <f t="shared" si="0"/>
        <v/>
      </c>
      <c r="G20" t="s">
        <v>75</v>
      </c>
    </row>
    <row r="21" spans="3:7">
      <c r="C21" t="str">
        <f t="shared" si="0"/>
        <v/>
      </c>
      <c r="G21" t="s">
        <v>76</v>
      </c>
    </row>
    <row r="22" spans="3:7">
      <c r="C22" t="str">
        <f t="shared" si="0"/>
        <v/>
      </c>
      <c r="G22" t="s">
        <v>77</v>
      </c>
    </row>
    <row r="23" spans="3:7">
      <c r="C23" t="str">
        <f t="shared" si="0"/>
        <v/>
      </c>
      <c r="G23" t="s">
        <v>78</v>
      </c>
    </row>
    <row r="24" spans="3:7">
      <c r="C24" t="str">
        <f t="shared" si="0"/>
        <v/>
      </c>
    </row>
    <row r="25" spans="3:7">
      <c r="C25" t="str">
        <f t="shared" si="0"/>
        <v/>
      </c>
    </row>
    <row r="26" spans="3:7">
      <c r="C26" t="str">
        <f t="shared" si="0"/>
        <v/>
      </c>
    </row>
    <row r="27" spans="3:7">
      <c r="C27" t="str">
        <f t="shared" si="0"/>
        <v/>
      </c>
    </row>
    <row r="28" spans="3:7">
      <c r="C28" t="str">
        <f t="shared" si="0"/>
        <v/>
      </c>
    </row>
    <row r="29" spans="3:7">
      <c r="C29" t="str">
        <f t="shared" si="0"/>
        <v/>
      </c>
    </row>
    <row r="30" spans="3:7">
      <c r="C30" t="str">
        <f t="shared" si="0"/>
        <v/>
      </c>
    </row>
    <row r="31" spans="3:7">
      <c r="C31" t="str">
        <f t="shared" si="0"/>
        <v/>
      </c>
    </row>
    <row r="32" spans="3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hyperlinks>
    <hyperlink ref="B10" r:id="rId1" xr:uid="{B057734A-8410-41D1-AD14-4FEAAF0546F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5CC33-F6F2-4822-A561-CE277F0713EB}">
  <sheetPr codeName="Sheet6"/>
  <dimension ref="A1:N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4">
      <c r="A1" s="2" t="s">
        <v>0</v>
      </c>
      <c r="B1" s="1" t="s">
        <v>91</v>
      </c>
    </row>
    <row r="2" spans="1:14">
      <c r="A2" s="2" t="s">
        <v>2</v>
      </c>
      <c r="B2" s="3" t="s">
        <v>92</v>
      </c>
      <c r="D2">
        <f>SUM(D4:D1000)</f>
        <v>28</v>
      </c>
      <c r="E2">
        <f>SUM(E4:E1000)</f>
        <v>50</v>
      </c>
    </row>
    <row r="3" spans="1:14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4">
      <c r="A4" s="2" t="s">
        <v>17</v>
      </c>
      <c r="B4" s="1" t="s">
        <v>98</v>
      </c>
      <c r="C4">
        <f>IF(B4&lt;&gt;"",LEN(B4),"")</f>
        <v>5</v>
      </c>
      <c r="D4">
        <v>3</v>
      </c>
      <c r="E4">
        <v>3</v>
      </c>
    </row>
    <row r="5" spans="1:14">
      <c r="B5" s="1" t="s">
        <v>99</v>
      </c>
      <c r="C5">
        <f t="shared" ref="C5:C68" si="0">IF(B5&lt;&gt;"",LEN(B5),"")</f>
        <v>7</v>
      </c>
      <c r="D5">
        <v>3</v>
      </c>
      <c r="E5">
        <v>3</v>
      </c>
      <c r="G5" t="s">
        <v>93</v>
      </c>
      <c r="J5" t="s">
        <v>103</v>
      </c>
      <c r="L5" t="s">
        <v>97</v>
      </c>
      <c r="N5" t="s">
        <v>117</v>
      </c>
    </row>
    <row r="6" spans="1:14">
      <c r="B6" s="1" t="s">
        <v>100</v>
      </c>
      <c r="C6">
        <f t="shared" si="0"/>
        <v>8</v>
      </c>
      <c r="D6">
        <v>3</v>
      </c>
      <c r="E6">
        <v>3</v>
      </c>
      <c r="G6" t="s">
        <v>94</v>
      </c>
      <c r="J6" t="s">
        <v>105</v>
      </c>
      <c r="L6" t="s">
        <v>110</v>
      </c>
      <c r="N6" t="s">
        <v>118</v>
      </c>
    </row>
    <row r="7" spans="1:14">
      <c r="A7" s="2" t="s">
        <v>19</v>
      </c>
      <c r="B7" s="1" t="s">
        <v>101</v>
      </c>
      <c r="C7">
        <f t="shared" si="0"/>
        <v>25</v>
      </c>
      <c r="D7">
        <v>6</v>
      </c>
      <c r="E7">
        <v>6</v>
      </c>
      <c r="G7" t="s">
        <v>95</v>
      </c>
      <c r="J7" t="s">
        <v>106</v>
      </c>
      <c r="L7" t="s">
        <v>113</v>
      </c>
    </row>
    <row r="8" spans="1:14">
      <c r="A8" s="2" t="s">
        <v>21</v>
      </c>
      <c r="B8" s="1" t="s">
        <v>102</v>
      </c>
      <c r="C8">
        <f t="shared" si="0"/>
        <v>37</v>
      </c>
      <c r="D8">
        <v>0</v>
      </c>
      <c r="E8">
        <v>8</v>
      </c>
      <c r="G8" t="s">
        <v>96</v>
      </c>
      <c r="J8" t="s">
        <v>108</v>
      </c>
    </row>
    <row r="9" spans="1:14">
      <c r="A9" s="2" t="s">
        <v>26</v>
      </c>
      <c r="B9" s="1" t="s">
        <v>104</v>
      </c>
      <c r="C9">
        <f t="shared" si="0"/>
        <v>5</v>
      </c>
      <c r="D9">
        <v>5</v>
      </c>
      <c r="E9">
        <v>5</v>
      </c>
      <c r="G9" t="s">
        <v>97</v>
      </c>
      <c r="J9" t="s">
        <v>109</v>
      </c>
    </row>
    <row r="10" spans="1:14">
      <c r="A10" s="2" t="s">
        <v>28</v>
      </c>
      <c r="B10" s="1" t="s">
        <v>107</v>
      </c>
      <c r="C10">
        <f t="shared" si="0"/>
        <v>28</v>
      </c>
      <c r="D10">
        <v>8</v>
      </c>
      <c r="E10">
        <v>8</v>
      </c>
    </row>
    <row r="11" spans="1:14">
      <c r="A11" s="2" t="s">
        <v>36</v>
      </c>
      <c r="B11" s="1" t="s">
        <v>111</v>
      </c>
      <c r="C11">
        <f t="shared" si="0"/>
        <v>28</v>
      </c>
      <c r="D11">
        <v>0</v>
      </c>
      <c r="E11">
        <v>8</v>
      </c>
    </row>
    <row r="12" spans="1:14">
      <c r="B12" s="1" t="s">
        <v>112</v>
      </c>
      <c r="C12">
        <f t="shared" si="0"/>
        <v>35</v>
      </c>
    </row>
    <row r="13" spans="1:14">
      <c r="A13" s="2" t="s">
        <v>37</v>
      </c>
      <c r="B13" s="1" t="s">
        <v>114</v>
      </c>
      <c r="C13">
        <f t="shared" si="0"/>
        <v>20</v>
      </c>
      <c r="D13">
        <v>0</v>
      </c>
      <c r="E13">
        <v>6</v>
      </c>
    </row>
    <row r="14" spans="1:14">
      <c r="C14" t="str">
        <f t="shared" si="0"/>
        <v/>
      </c>
    </row>
    <row r="15" spans="1:14">
      <c r="C15" t="str">
        <f t="shared" si="0"/>
        <v/>
      </c>
    </row>
    <row r="16" spans="1:14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76DD5-B4CD-4A47-A0ED-F2FAC7E68510}">
  <sheetPr codeName="Sheet7"/>
  <dimension ref="A1:M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7" sqref="B17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3">
      <c r="A1" s="2" t="s">
        <v>0</v>
      </c>
      <c r="B1" s="1" t="s">
        <v>91</v>
      </c>
    </row>
    <row r="2" spans="1:13">
      <c r="A2" s="2" t="s">
        <v>2</v>
      </c>
      <c r="B2" s="3" t="s">
        <v>119</v>
      </c>
      <c r="D2">
        <f>SUM(D4:D1000)</f>
        <v>42</v>
      </c>
      <c r="E2">
        <f>SUM(E4:E1000)</f>
        <v>60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17</v>
      </c>
      <c r="B4" s="1" t="s">
        <v>135</v>
      </c>
      <c r="C4">
        <f>IF(B4&lt;&gt;"",LEN(B4),"")</f>
        <v>11</v>
      </c>
      <c r="D4">
        <v>3</v>
      </c>
      <c r="E4">
        <v>3</v>
      </c>
    </row>
    <row r="5" spans="1:13">
      <c r="A5" s="2" t="s">
        <v>136</v>
      </c>
      <c r="B5" s="1" t="s">
        <v>138</v>
      </c>
      <c r="C5">
        <f t="shared" ref="C5:C68" si="0">IF(B5&lt;&gt;"",LEN(B5),"")</f>
        <v>7</v>
      </c>
      <c r="D5">
        <v>3</v>
      </c>
      <c r="E5">
        <v>3</v>
      </c>
      <c r="G5" t="s">
        <v>120</v>
      </c>
      <c r="I5" t="s">
        <v>125</v>
      </c>
      <c r="K5" t="s">
        <v>130</v>
      </c>
      <c r="M5" t="s">
        <v>134</v>
      </c>
    </row>
    <row r="6" spans="1:13">
      <c r="B6" s="1" t="s">
        <v>137</v>
      </c>
      <c r="C6">
        <f t="shared" si="0"/>
        <v>9</v>
      </c>
      <c r="D6">
        <v>0</v>
      </c>
      <c r="E6">
        <v>3</v>
      </c>
      <c r="G6" t="s">
        <v>121</v>
      </c>
      <c r="I6" t="s">
        <v>126</v>
      </c>
      <c r="K6" t="s">
        <v>129</v>
      </c>
      <c r="M6" t="s">
        <v>139</v>
      </c>
    </row>
    <row r="7" spans="1:13">
      <c r="A7" s="2" t="s">
        <v>21</v>
      </c>
      <c r="B7" s="1" t="s">
        <v>140</v>
      </c>
      <c r="C7">
        <f t="shared" si="0"/>
        <v>19</v>
      </c>
      <c r="D7">
        <v>6</v>
      </c>
      <c r="E7">
        <v>6</v>
      </c>
      <c r="G7" t="s">
        <v>122</v>
      </c>
      <c r="I7" t="s">
        <v>127</v>
      </c>
      <c r="K7" t="s">
        <v>131</v>
      </c>
      <c r="M7" t="s">
        <v>145</v>
      </c>
    </row>
    <row r="8" spans="1:13">
      <c r="A8" s="2" t="s">
        <v>26</v>
      </c>
      <c r="B8" s="1" t="s">
        <v>141</v>
      </c>
      <c r="C8">
        <f t="shared" si="0"/>
        <v>43</v>
      </c>
      <c r="D8">
        <v>6</v>
      </c>
      <c r="E8">
        <v>6</v>
      </c>
      <c r="G8" t="s">
        <v>123</v>
      </c>
      <c r="I8" t="s">
        <v>128</v>
      </c>
      <c r="K8" t="s">
        <v>132</v>
      </c>
    </row>
    <row r="9" spans="1:13">
      <c r="A9" s="2" t="s">
        <v>36</v>
      </c>
      <c r="B9" s="1" t="s">
        <v>142</v>
      </c>
      <c r="C9">
        <f t="shared" si="0"/>
        <v>3</v>
      </c>
      <c r="D9">
        <v>3</v>
      </c>
      <c r="E9">
        <v>3</v>
      </c>
      <c r="G9" t="s">
        <v>124</v>
      </c>
      <c r="I9" t="s">
        <v>129</v>
      </c>
      <c r="K9" t="s">
        <v>133</v>
      </c>
    </row>
    <row r="10" spans="1:13">
      <c r="B10" s="1" t="s">
        <v>143</v>
      </c>
      <c r="C10">
        <f t="shared" si="0"/>
        <v>3</v>
      </c>
      <c r="D10">
        <v>0</v>
      </c>
      <c r="E10">
        <v>3</v>
      </c>
    </row>
    <row r="11" spans="1:13">
      <c r="A11" s="2" t="s">
        <v>37</v>
      </c>
      <c r="B11" s="1" t="s">
        <v>144</v>
      </c>
      <c r="C11">
        <f t="shared" si="0"/>
        <v>5</v>
      </c>
      <c r="D11">
        <v>3</v>
      </c>
      <c r="E11">
        <v>3</v>
      </c>
    </row>
    <row r="12" spans="1:13">
      <c r="A12" s="2" t="s">
        <v>41</v>
      </c>
      <c r="B12" s="1" t="s">
        <v>146</v>
      </c>
      <c r="C12">
        <f t="shared" si="0"/>
        <v>20</v>
      </c>
      <c r="D12">
        <v>6</v>
      </c>
      <c r="E12">
        <v>6</v>
      </c>
    </row>
    <row r="13" spans="1:13">
      <c r="A13" s="2" t="s">
        <v>79</v>
      </c>
      <c r="B13" s="1" t="s">
        <v>147</v>
      </c>
      <c r="C13">
        <f t="shared" si="0"/>
        <v>24</v>
      </c>
      <c r="D13">
        <v>0</v>
      </c>
      <c r="E13">
        <v>6</v>
      </c>
      <c r="G13" s="5" t="s">
        <v>148</v>
      </c>
    </row>
    <row r="14" spans="1:13">
      <c r="A14" s="2" t="s">
        <v>81</v>
      </c>
      <c r="B14" s="1" t="s">
        <v>149</v>
      </c>
      <c r="C14">
        <f t="shared" si="0"/>
        <v>8</v>
      </c>
      <c r="D14">
        <v>0</v>
      </c>
      <c r="E14">
        <v>6</v>
      </c>
      <c r="G14" t="s">
        <v>150</v>
      </c>
    </row>
    <row r="15" spans="1:13">
      <c r="A15" s="2" t="s">
        <v>83</v>
      </c>
      <c r="B15" s="1" t="s">
        <v>151</v>
      </c>
      <c r="C15">
        <f t="shared" si="0"/>
        <v>32</v>
      </c>
      <c r="D15">
        <v>6</v>
      </c>
      <c r="E15">
        <v>6</v>
      </c>
    </row>
    <row r="16" spans="1:13">
      <c r="A16" s="2" t="s">
        <v>152</v>
      </c>
      <c r="B16" s="1" t="s">
        <v>153</v>
      </c>
      <c r="C16">
        <f t="shared" si="0"/>
        <v>34</v>
      </c>
      <c r="D16">
        <v>6</v>
      </c>
      <c r="E16">
        <v>6</v>
      </c>
    </row>
    <row r="17" spans="1:3">
      <c r="A17" s="2" t="s">
        <v>154</v>
      </c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C21" t="str">
        <f t="shared" si="0"/>
        <v/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2025-02-06T21:30:06Z</dcterms:modified>
</cp:coreProperties>
</file>