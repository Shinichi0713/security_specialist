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10-incident\"/>
    </mc:Choice>
  </mc:AlternateContent>
  <xr:revisionPtr revIDLastSave="0" documentId="13_ncr:1_{E7320830-F9B4-40AD-9D07-2C271840F286}" xr6:coauthVersionLast="47" xr6:coauthVersionMax="47" xr10:uidLastSave="{00000000-0000-0000-0000-000000000000}"/>
  <bookViews>
    <workbookView xWindow="150" yWindow="0" windowWidth="27270" windowHeight="15585" activeTab="4"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B1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<sst xmlns="http://schemas.openxmlformats.org/spreadsheetml/2006/main" count="200" uniqueCount="158">
  <si>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</si>
  <si>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</si>
  <si>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</si>
  <si>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</si>
  <si>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</si>
  <si>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</si>
  <si>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</si>
  <si>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</si>
  <si>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</si>
  <si>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</si>
  <si>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</si>
  <si>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</si>
  <si>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</si>
  <si>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</si>
  <si>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</si>
  <si>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</si>
  <si>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</si>
  <si>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</si>
  <si>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</si>
  <si>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</si>
  <si>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</si>
  <si>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</si>
  <si>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</si>
  <si>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</si>
  <si>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</si>
  <si>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</si>
  <si>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</si>
  <si>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</si>
  <si>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</si>
  <si>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</si>
  <si>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</si>
  <si>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</si>
  <si>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</si>
  <si>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</si>
  <si>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</si>
  <si>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</si>
  <si>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</si>
  <si>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</si>
  <si>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</si>
  <si>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</si>
  <si>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</si>
  <si>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</si>
  <si>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</si>
  <si>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</si>
  <si>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</si>
  <si>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</si>
  <si>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</si>
  <si>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</si>
  <si>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</si>
  <si>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</si>
  <si>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</si>
  <si>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</si>
  <si>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</si>
  <si>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</si>
  <si>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</si>
  <si>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</si>
  <si>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</si>
  <si>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</si>
  <si>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</si>
  <si>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</si>
  <si>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</si>
  <si>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</si>
  <si>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</si>
  <si>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</si>
  <si>
    <t>10-2</t>
  </si>
  <si>
    <t>10-2</t>
    <phoneticPr fontId="1"/>
  </si>
  <si>
    <t>S社</t>
    <rPh sb="1" eb="2">
      <t>シャ</t>
    </rPh>
    <phoneticPr fontId="1"/>
  </si>
  <si>
    <t>インターネット広告</t>
    <rPh sb="7" eb="9">
      <t>コウコク</t>
    </rPh>
    <phoneticPr fontId="1"/>
  </si>
  <si>
    <t>Sシステム</t>
    <phoneticPr fontId="1"/>
  </si>
  <si>
    <t>アプリQ</t>
    <phoneticPr fontId="1"/>
  </si>
  <si>
    <t>自社開発で機能開発続く</t>
    <rPh sb="0" eb="2">
      <t>ジシャ</t>
    </rPh>
    <rPh sb="2" eb="4">
      <t>カイハツ</t>
    </rPh>
    <rPh sb="5" eb="9">
      <t>キノウカイハツ</t>
    </rPh>
    <rPh sb="9" eb="10">
      <t>ツヅ</t>
    </rPh>
    <phoneticPr fontId="1"/>
  </si>
  <si>
    <t>エンジニア５名</t>
    <rPh sb="6" eb="7">
      <t>メイ</t>
    </rPh>
    <phoneticPr fontId="1"/>
  </si>
  <si>
    <t>DevOps</t>
    <phoneticPr fontId="1"/>
  </si>
  <si>
    <t>サービスG</t>
    <phoneticPr fontId="1"/>
  </si>
  <si>
    <t>テキストをアップロード</t>
    <phoneticPr fontId="1"/>
  </si>
  <si>
    <t>URLによりテキストを共有可能</t>
    <rPh sb="11" eb="13">
      <t>キョウユウ</t>
    </rPh>
    <rPh sb="13" eb="15">
      <t>カノウ</t>
    </rPh>
    <phoneticPr fontId="1"/>
  </si>
  <si>
    <t>SQLインジェクション</t>
    <phoneticPr fontId="1"/>
  </si>
  <si>
    <t>サービスH</t>
    <phoneticPr fontId="1"/>
  </si>
  <si>
    <t>アプリQはサーバーAで稼働</t>
    <rPh sb="11" eb="13">
      <t>カドウ</t>
    </rPh>
    <phoneticPr fontId="1"/>
  </si>
  <si>
    <t>WEBアプリの脆弱性診断</t>
    <rPh sb="7" eb="10">
      <t>ゼイジャクセイ</t>
    </rPh>
    <rPh sb="10" eb="12">
      <t>シンダン</t>
    </rPh>
    <phoneticPr fontId="1"/>
  </si>
  <si>
    <t>サービスCのDBには会員情報が記録</t>
    <rPh sb="10" eb="12">
      <t>カイイン</t>
    </rPh>
    <rPh sb="12" eb="14">
      <t>ジョウホウ</t>
    </rPh>
    <rPh sb="15" eb="17">
      <t>キロク</t>
    </rPh>
    <phoneticPr fontId="1"/>
  </si>
  <si>
    <t>DBMS-R</t>
    <phoneticPr fontId="1"/>
  </si>
  <si>
    <t>MW-X</t>
    <phoneticPr fontId="1"/>
  </si>
  <si>
    <t>プログラムDL</t>
    <phoneticPr fontId="1"/>
  </si>
  <si>
    <t>他SVに侵入</t>
    <rPh sb="0" eb="1">
      <t>ホカ</t>
    </rPh>
    <rPh sb="4" eb="6">
      <t>シンニュウ</t>
    </rPh>
    <phoneticPr fontId="1"/>
  </si>
  <si>
    <t>ポートの同じ脆弱性をついたほかのマルウェアが侵入し、当該マルウェアXの活動を妨害する。</t>
    <rPh sb="4" eb="5">
      <t>オナ</t>
    </rPh>
    <rPh sb="6" eb="9">
      <t>ゼイジャクセイ</t>
    </rPh>
    <rPh sb="22" eb="24">
      <t>シンニュウ</t>
    </rPh>
    <rPh sb="26" eb="28">
      <t>トウガイ</t>
    </rPh>
    <rPh sb="35" eb="37">
      <t>カツドウ</t>
    </rPh>
    <rPh sb="38" eb="40">
      <t>ボウガイ</t>
    </rPh>
    <phoneticPr fontId="1"/>
  </si>
  <si>
    <t>γ：イ</t>
    <phoneticPr fontId="1"/>
  </si>
  <si>
    <t>β：ク</t>
    <phoneticPr fontId="1"/>
  </si>
  <si>
    <t>α：カ</t>
    <phoneticPr fontId="1"/>
  </si>
  <si>
    <t>マルウェアXには、サーバーへアクセスの後、データを取得したうえで、データを外部に対して送信する機能がない。このため、DBMS-Rのデータは取得・送信されていないと考えられるため。</t>
    <rPh sb="19" eb="20">
      <t>アト</t>
    </rPh>
    <rPh sb="25" eb="27">
      <t>シュトク</t>
    </rPh>
    <rPh sb="37" eb="39">
      <t>ガイブ</t>
    </rPh>
    <rPh sb="40" eb="41">
      <t>タイ</t>
    </rPh>
    <rPh sb="43" eb="45">
      <t>ソウシン</t>
    </rPh>
    <rPh sb="47" eb="49">
      <t>キノウ</t>
    </rPh>
    <rPh sb="69" eb="71">
      <t>シュトク</t>
    </rPh>
    <rPh sb="72" eb="74">
      <t>ソウシン</t>
    </rPh>
    <rPh sb="81" eb="82">
      <t>カンガ</t>
    </rPh>
    <phoneticPr fontId="1"/>
  </si>
  <si>
    <t>2-(1)</t>
    <phoneticPr fontId="1"/>
  </si>
  <si>
    <t>SV Aへのアクセス制限</t>
    <rPh sb="10" eb="12">
      <t>セイゲン</t>
    </rPh>
    <phoneticPr fontId="1"/>
  </si>
  <si>
    <t>ポートをデフォルト以外</t>
    <rPh sb="9" eb="11">
      <t>イガイ</t>
    </rPh>
    <phoneticPr fontId="1"/>
  </si>
  <si>
    <t>アクセス制限</t>
    <rPh sb="4" eb="6">
      <t>セイゲン</t>
    </rPh>
    <phoneticPr fontId="1"/>
  </si>
  <si>
    <t>アプリやMWを稼働</t>
    <rPh sb="7" eb="9">
      <t>カドウ</t>
    </rPh>
    <phoneticPr fontId="1"/>
  </si>
  <si>
    <t>1: ア、エ</t>
    <phoneticPr fontId="1"/>
  </si>
  <si>
    <t>2:  ア、イ、エ</t>
    <phoneticPr fontId="1"/>
  </si>
  <si>
    <t>3: ア、イ、エ</t>
    <phoneticPr fontId="1"/>
  </si>
  <si>
    <t>4: ウ、オ</t>
    <phoneticPr fontId="1"/>
  </si>
  <si>
    <t>プログラムのインストールには管理権限が筆意用</t>
    <rPh sb="14" eb="16">
      <t>カンリ</t>
    </rPh>
    <rPh sb="16" eb="18">
      <t>ケンゲン</t>
    </rPh>
    <rPh sb="19" eb="22">
      <t>ヒツイヨウ</t>
    </rPh>
    <phoneticPr fontId="1"/>
  </si>
  <si>
    <t>2-(2)</t>
    <phoneticPr fontId="1"/>
  </si>
  <si>
    <t>SV AはDBMS</t>
    <phoneticPr fontId="1"/>
  </si>
  <si>
    <t>う：a2.b2.c2.d2</t>
    <phoneticPr fontId="1"/>
  </si>
  <si>
    <t>い：22</t>
    <phoneticPr fontId="1"/>
  </si>
  <si>
    <t>あ：6379</t>
    <phoneticPr fontId="1"/>
  </si>
  <si>
    <t>2-(3)</t>
    <phoneticPr fontId="1"/>
  </si>
  <si>
    <t>a:curl</t>
    <phoneticPr fontId="1"/>
  </si>
  <si>
    <t>b:iptables</t>
    <phoneticPr fontId="1"/>
  </si>
  <si>
    <t>2-(4)</t>
    <phoneticPr fontId="1"/>
  </si>
  <si>
    <t>え：オ</t>
    <phoneticPr fontId="1"/>
  </si>
  <si>
    <t>お：カ</t>
    <phoneticPr fontId="1"/>
  </si>
  <si>
    <t>か：キ</t>
    <phoneticPr fontId="1"/>
  </si>
  <si>
    <t>自社の環境により脆弱性を収集</t>
    <rPh sb="0" eb="2">
      <t>ジシャ</t>
    </rPh>
    <rPh sb="3" eb="5">
      <t>カンキョウ</t>
    </rPh>
    <rPh sb="8" eb="11">
      <t>ゼイジャクセイ</t>
    </rPh>
    <rPh sb="12" eb="14">
      <t>シュウシュウ</t>
    </rPh>
    <phoneticPr fontId="1"/>
  </si>
  <si>
    <t>SWの変更、構成の変更を管理</t>
    <rPh sb="3" eb="5">
      <t>ヘンコウ</t>
    </rPh>
    <rPh sb="6" eb="8">
      <t>コウセイ</t>
    </rPh>
    <rPh sb="9" eb="11">
      <t>ヘンコウ</t>
    </rPh>
    <rPh sb="12" eb="14">
      <t>カンリ</t>
    </rPh>
    <phoneticPr fontId="1"/>
  </si>
  <si>
    <t>ア、ウ</t>
    <phoneticPr fontId="1"/>
  </si>
  <si>
    <t>検証プロセス</t>
    <rPh sb="0" eb="2">
      <t>ケンショウ</t>
    </rPh>
    <phoneticPr fontId="1"/>
  </si>
  <si>
    <t>運用プロセス</t>
    <rPh sb="0" eb="2">
      <t>ウンヨウ</t>
    </rPh>
    <phoneticPr fontId="1"/>
  </si>
  <si>
    <t>実行環境を構成しているＯＳやミドルウェアなどの構成情報を収集する。</t>
    <rPh sb="0" eb="4">
      <t>ジッコウカンキョウ</t>
    </rPh>
    <rPh sb="5" eb="7">
      <t>コウセイ</t>
    </rPh>
    <rPh sb="23" eb="25">
      <t>コウセイ</t>
    </rPh>
    <rPh sb="25" eb="27">
      <t>ジョウホウ</t>
    </rPh>
    <rPh sb="28" eb="30">
      <t>シュウシュウ</t>
    </rPh>
    <phoneticPr fontId="1"/>
  </si>
  <si>
    <t>3-(3)</t>
    <phoneticPr fontId="1"/>
  </si>
  <si>
    <t>き：ア</t>
    <phoneticPr fontId="1"/>
  </si>
  <si>
    <t>く：ウ</t>
    <phoneticPr fontId="1"/>
  </si>
  <si>
    <t>3-(4)</t>
    <phoneticPr fontId="1"/>
  </si>
  <si>
    <t>け：レビュー</t>
    <phoneticPr fontId="1"/>
  </si>
  <si>
    <t>こ：第３者</t>
    <rPh sb="2" eb="3">
      <t>ダイ</t>
    </rPh>
    <rPh sb="4" eb="5">
      <t>シャ</t>
    </rPh>
    <phoneticPr fontId="1"/>
  </si>
  <si>
    <t>4</t>
    <phoneticPr fontId="1"/>
  </si>
  <si>
    <t>c:オ</t>
    <phoneticPr fontId="1"/>
  </si>
  <si>
    <t>d:ア</t>
    <phoneticPr fontId="1"/>
  </si>
  <si>
    <t>e:エ</t>
    <phoneticPr fontId="1"/>
  </si>
  <si>
    <t>f:カ</t>
    <phoneticPr fontId="1"/>
  </si>
  <si>
    <t>g:キ</t>
    <phoneticPr fontId="1"/>
  </si>
  <si>
    <t>h:ウ</t>
    <phoneticPr fontId="1"/>
  </si>
  <si>
    <t>10-1-rev</t>
    <phoneticPr fontId="1"/>
  </si>
  <si>
    <t>webサイト</t>
    <phoneticPr fontId="1"/>
  </si>
  <si>
    <t>情報セキュリティ</t>
    <rPh sb="0" eb="2">
      <t>ジョウホウ</t>
    </rPh>
    <phoneticPr fontId="1"/>
  </si>
  <si>
    <t>インシデント</t>
    <phoneticPr fontId="1"/>
  </si>
  <si>
    <t>対応チームを立ち上げて対応</t>
    <rPh sb="0" eb="2">
      <t>タイオウ</t>
    </rPh>
    <rPh sb="6" eb="7">
      <t>タ</t>
    </rPh>
    <rPh sb="8" eb="9">
      <t>ア</t>
    </rPh>
    <rPh sb="11" eb="13">
      <t>タイオウ</t>
    </rPh>
    <phoneticPr fontId="1"/>
  </si>
  <si>
    <t>B社親会社？</t>
    <rPh sb="1" eb="2">
      <t>シャ</t>
    </rPh>
    <rPh sb="2" eb="5">
      <t>オヤカイシャ</t>
    </rPh>
    <phoneticPr fontId="1"/>
  </si>
  <si>
    <t>Zサービス上に構築</t>
    <rPh sb="5" eb="6">
      <t>ウエ</t>
    </rPh>
    <rPh sb="7" eb="9">
      <t>コウチク</t>
    </rPh>
    <phoneticPr fontId="1"/>
  </si>
  <si>
    <t>V社が運用</t>
    <rPh sb="1" eb="2">
      <t>シャ</t>
    </rPh>
    <rPh sb="3" eb="5">
      <t>ウンヨウ</t>
    </rPh>
    <phoneticPr fontId="1"/>
  </si>
  <si>
    <t>IP-VPNで接続</t>
    <rPh sb="7" eb="9">
      <t>セツゾク</t>
    </rPh>
    <phoneticPr fontId="1"/>
  </si>
  <si>
    <t>店舗と店舗管理システム</t>
    <rPh sb="0" eb="2">
      <t>テンポ</t>
    </rPh>
    <rPh sb="3" eb="5">
      <t>テンポ</t>
    </rPh>
    <rPh sb="5" eb="7">
      <t>カンリ</t>
    </rPh>
    <phoneticPr fontId="1"/>
  </si>
  <si>
    <t>社内LANと店舗管理システムはUSB</t>
    <rPh sb="0" eb="2">
      <t>シャナイ</t>
    </rPh>
    <rPh sb="6" eb="8">
      <t>テンポ</t>
    </rPh>
    <rPh sb="8" eb="10">
      <t>カンリ</t>
    </rPh>
    <phoneticPr fontId="1"/>
  </si>
  <si>
    <t>店舗PCは、WiFiルータでネット接続</t>
    <rPh sb="0" eb="2">
      <t>テンポ</t>
    </rPh>
    <rPh sb="17" eb="19">
      <t>セツゾク</t>
    </rPh>
    <phoneticPr fontId="1"/>
  </si>
  <si>
    <t>N社、VはHTTPS</t>
    <rPh sb="1" eb="2">
      <t>シャ</t>
    </rPh>
    <phoneticPr fontId="1"/>
  </si>
  <si>
    <t>R1さーばーからSSH</t>
    <phoneticPr fontId="1"/>
  </si>
  <si>
    <t>インバウンド接続</t>
    <rPh sb="6" eb="8">
      <t>セツゾク</t>
    </rPh>
    <phoneticPr fontId="1"/>
  </si>
  <si>
    <t>R1＝開発支援サーバー</t>
    <rPh sb="3" eb="5">
      <t>カイハツ</t>
    </rPh>
    <rPh sb="5" eb="7">
      <t>シエン</t>
    </rPh>
    <phoneticPr fontId="1"/>
  </si>
  <si>
    <t>認証情報はshadow</t>
    <rPh sb="0" eb="2">
      <t>ニンショウ</t>
    </rPh>
    <rPh sb="2" eb="4">
      <t>ジョウホウ</t>
    </rPh>
    <phoneticPr fontId="1"/>
  </si>
  <si>
    <t>不正に入手したIDとパスワードのペアのリストのデータを用いて、ログインを試行する方法。</t>
    <rPh sb="0" eb="2">
      <t>フセイ</t>
    </rPh>
    <rPh sb="3" eb="5">
      <t>ニュウシュ</t>
    </rPh>
    <rPh sb="27" eb="28">
      <t>モチ</t>
    </rPh>
    <rPh sb="36" eb="38">
      <t>シコウ</t>
    </rPh>
    <rPh sb="40" eb="42">
      <t>ホウホウ</t>
    </rPh>
    <phoneticPr fontId="1"/>
  </si>
  <si>
    <t>他サイトに用いていない、推測困難なパスワードを設定する</t>
    <rPh sb="0" eb="1">
      <t>ホカ</t>
    </rPh>
    <rPh sb="5" eb="6">
      <t>モチ</t>
    </rPh>
    <rPh sb="12" eb="14">
      <t>スイソク</t>
    </rPh>
    <rPh sb="14" eb="16">
      <t>コンナン</t>
    </rPh>
    <rPh sb="23" eb="25">
      <t>セッテイ</t>
    </rPh>
    <phoneticPr fontId="1"/>
  </si>
  <si>
    <t>アクセスした接続元IIPアドレスから推測される場所が、通常と異なっていないか確認する。</t>
    <rPh sb="6" eb="9">
      <t>セツゾクモト</t>
    </rPh>
    <rPh sb="18" eb="20">
      <t>スイソク</t>
    </rPh>
    <rPh sb="23" eb="25">
      <t>バショ</t>
    </rPh>
    <rPh sb="27" eb="29">
      <t>ツウジョウ</t>
    </rPh>
    <rPh sb="30" eb="31">
      <t>コト</t>
    </rPh>
    <rPh sb="38" eb="40">
      <t>カクニン</t>
    </rPh>
    <phoneticPr fontId="1"/>
  </si>
  <si>
    <t>a:タイムゾーン</t>
    <phoneticPr fontId="1"/>
  </si>
  <si>
    <t>b:9</t>
    <phoneticPr fontId="1"/>
  </si>
  <si>
    <t>2</t>
    <phoneticPr fontId="1"/>
  </si>
  <si>
    <t>マルウェアがUSBを経由して管理PCに侵入する。管理PC内のマルウェアが店舗管理サーバーに侵入する。</t>
    <rPh sb="10" eb="12">
      <t>ケイユ</t>
    </rPh>
    <rPh sb="14" eb="16">
      <t>カンリ</t>
    </rPh>
    <rPh sb="19" eb="21">
      <t>シンニュウ</t>
    </rPh>
    <rPh sb="24" eb="26">
      <t>カンリ</t>
    </rPh>
    <rPh sb="28" eb="29">
      <t>ナイ</t>
    </rPh>
    <rPh sb="36" eb="38">
      <t>テンポ</t>
    </rPh>
    <rPh sb="38" eb="40">
      <t>カンリ</t>
    </rPh>
    <rPh sb="45" eb="47">
      <t>シンニュウ</t>
    </rPh>
    <phoneticPr fontId="1"/>
  </si>
  <si>
    <t>c: オ</t>
    <phoneticPr fontId="1"/>
  </si>
  <si>
    <t>AC-X</t>
    <phoneticPr fontId="1"/>
  </si>
  <si>
    <t>OSコマンドAno脆弱性</t>
    <rPh sb="9" eb="12">
      <t>ゼイジャクセイ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</si>
</sst>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3"/>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row r="2" spans="1:6">
      <c r="A2">
        <v>1</v>
      </c>
      <c r="B2" s="2" t="s">
        <v>62</v>
      </c>
      <c r="C2" s="2" t="s">
        <v>63</v>
      </c>
      <c r="D2">
        <v>80</v>
      </c>
      <c r="E2">
        <v>100</v>
      </c>
    </row>
    <row r="3" spans="1:6">
      <c r="A3">
        <v>2</v>
      </c>
      <c r="B3" s="2" t="s">
        <v>62</v>
      </c>
      <c r="C3" s="2" t="s">
        <v>64</v>
      </c>
      <c r="D3">
        <v>65</v>
      </c>
      <c r="E3">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7.5">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1939-F856-4FC4-A357-8E5B776FC0DE}">
  <sheetPr codeName="Sheet5"/>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D33" sqref="D33"/>
    </sheetView>
  </sheetViews>
  <sheetFormatPr defaultRowHeight="18.75"/>
  <cols>
    <col min="1" max="1" width="9" style="2"/>
    <col min="2" max="2" width="96.875" style="1" customWidth="1"/>
    <col min="3" max="3" width="9.75" customWidth="1"/>
  </cols>
  <sheetData>
    <row r="1" spans="1:17">
      <c r="A1" s="2" t="s">
        <v>0</v>
      </c>
      <c r="B1" s="1" t="s">
        <v>12</v>
      </c>
    </row>
    <row r="2" spans="1:17">
      <c r="A2" s="2" t="s">
        <v>2</v>
      </c>
      <c r="B2" s="3" t="s">
        <v>65</v>
      </c>
      <c r="D2">
        <f>SUM(D4:D1000)</f>
        <v>65</v>
      </c>
      <c r="E2">
        <f>SUM(E4:E1000)</f>
        <v>100</v>
      </c>
    </row>
    <row r="3" spans="1:17">
      <c r="A3" s="2" t="s">
        <v>1</v>
      </c>
      <c r="B3" s="1" t="s">
        <v>3</v>
      </c>
      <c r="C3" t="s">
        <v>6</v>
      </c>
      <c r="D3" t="s">
        <v>4</v>
      </c>
      <c r="E3" t="s">
        <v>5</v>
      </c>
    </row>
    <row r="4" spans="1:17">
      <c r="A4" s="2" t="s">
        <v>30</v>
      </c>
      <c r="B4" s="1" t="s">
        <v>85</v>
      </c>
      <c r="C4">
        <f>IF(B4&lt;&gt;"",LEN(B4),"")</f>
        <v>43</v>
      </c>
      <c r="D4">
        <v>10</v>
      </c>
      <c r="E4">
        <v>10</v>
      </c>
    </row>
    <row r="5" spans="1:17">
      <c r="A5" s="2" t="s">
        <v>32</v>
      </c>
      <c r="B5" s="1" t="s">
        <v>88</v>
      </c>
      <c r="C5">
        <f t="shared" ref="C5:C68" si="0">IF(B5&lt;&gt;"",LEN(B5),"")</f>
        <v>3</v>
      </c>
      <c r="D5">
        <v>2</v>
      </c>
      <c r="E5">
        <v>2</v>
      </c>
      <c r="H5" t="s">
        <v>66</v>
      </c>
      <c r="J5" t="s">
        <v>70</v>
      </c>
      <c r="N5" t="s">
        <v>74</v>
      </c>
      <c r="Q5" t="s">
        <v>78</v>
      </c>
    </row>
    <row r="6" spans="1:17">
      <c r="B6" s="1" t="s">
        <v>87</v>
      </c>
      <c r="C6">
        <f t="shared" si="0"/>
        <v>3</v>
      </c>
      <c r="D6">
        <v>2</v>
      </c>
      <c r="E6">
        <v>2</v>
      </c>
      <c r="H6" t="s">
        <v>67</v>
      </c>
      <c r="J6" t="s">
        <v>71</v>
      </c>
      <c r="N6" t="s">
        <v>75</v>
      </c>
      <c r="Q6" t="s">
        <v>79</v>
      </c>
    </row>
    <row r="7" spans="1:17">
      <c r="B7" s="1" t="s">
        <v>86</v>
      </c>
      <c r="C7">
        <f t="shared" si="0"/>
        <v>3</v>
      </c>
      <c r="D7">
        <v>0</v>
      </c>
      <c r="E7">
        <v>2</v>
      </c>
      <c r="H7" t="s">
        <v>68</v>
      </c>
      <c r="J7" t="s">
        <v>72</v>
      </c>
      <c r="N7" t="s">
        <v>76</v>
      </c>
      <c r="Q7" t="s">
        <v>80</v>
      </c>
    </row>
    <row r="8" spans="1:17" ht="37.5">
      <c r="A8" s="2" t="s">
        <v>34</v>
      </c>
      <c r="B8" s="1" t="s">
        <v>89</v>
      </c>
      <c r="C8">
        <f t="shared" si="0"/>
        <v>89</v>
      </c>
      <c r="D8">
        <v>5</v>
      </c>
      <c r="E8">
        <v>10</v>
      </c>
      <c r="H8" t="s">
        <v>69</v>
      </c>
      <c r="J8" t="s">
        <v>73</v>
      </c>
      <c r="L8" t="s">
        <v>77</v>
      </c>
      <c r="Q8" t="s">
        <v>81</v>
      </c>
    </row>
    <row r="9" spans="1:17">
      <c r="A9" s="2" t="s">
        <v>90</v>
      </c>
      <c r="B9" s="4" t="s">
        <v>95</v>
      </c>
      <c r="C9">
        <f t="shared" si="0"/>
        <v>6</v>
      </c>
      <c r="D9">
        <v>0</v>
      </c>
      <c r="E9">
        <v>5</v>
      </c>
      <c r="H9" t="s">
        <v>82</v>
      </c>
      <c r="J9" t="s">
        <v>91</v>
      </c>
      <c r="L9" t="s">
        <v>94</v>
      </c>
      <c r="N9" t="s">
        <v>99</v>
      </c>
    </row>
    <row r="10" spans="1:17">
      <c r="B10" s="4" t="s">
        <v>96</v>
      </c>
      <c r="C10">
        <f t="shared" si="0"/>
        <v>9</v>
      </c>
      <c r="D10">
        <v>0</v>
      </c>
      <c r="E10">
        <v>5</v>
      </c>
      <c r="H10" t="s">
        <v>83</v>
      </c>
      <c r="J10" t="s">
        <v>92</v>
      </c>
      <c r="L10" t="s">
        <v>101</v>
      </c>
    </row>
    <row r="11" spans="1:17">
      <c r="B11" s="4" t="s">
        <v>97</v>
      </c>
      <c r="C11">
        <f t="shared" si="0"/>
        <v>8</v>
      </c>
      <c r="D11">
        <v>0</v>
      </c>
      <c r="E11">
        <v>5</v>
      </c>
      <c r="H11" t="s">
        <v>84</v>
      </c>
      <c r="J11" t="s">
        <v>93</v>
      </c>
    </row>
    <row r="12" spans="1:17">
      <c r="B12" s="4" t="s">
        <v>98</v>
      </c>
      <c r="C12">
        <f t="shared" si="0"/>
        <v>6</v>
      </c>
      <c r="D12">
        <v>0</v>
      </c>
      <c r="E12">
        <v>5</v>
      </c>
    </row>
    <row r="13" spans="1:17">
      <c r="A13" s="2" t="s">
        <v>100</v>
      </c>
      <c r="B13" s="1" t="s">
        <v>104</v>
      </c>
      <c r="C13">
        <f t="shared" si="0"/>
        <v>6</v>
      </c>
      <c r="D13">
        <v>0</v>
      </c>
      <c r="E13">
        <v>2</v>
      </c>
      <c r="H13" t="s">
        <v>112</v>
      </c>
    </row>
    <row r="14" spans="1:17">
      <c r="B14" s="1" t="s">
        <v>103</v>
      </c>
      <c r="C14">
        <f t="shared" si="0"/>
        <v>4</v>
      </c>
      <c r="D14">
        <v>0</v>
      </c>
      <c r="E14">
        <v>2</v>
      </c>
      <c r="H14" t="s">
        <v>113</v>
      </c>
    </row>
    <row r="15" spans="1:17">
      <c r="B15" s="1" t="s">
        <v>102</v>
      </c>
      <c r="C15">
        <f t="shared" si="0"/>
        <v>13</v>
      </c>
      <c r="D15">
        <v>2</v>
      </c>
      <c r="E15">
        <v>2</v>
      </c>
    </row>
    <row r="16" spans="1:17">
      <c r="A16" s="2" t="s">
        <v>105</v>
      </c>
      <c r="B16" s="1" t="s">
        <v>106</v>
      </c>
      <c r="C16">
        <f t="shared" si="0"/>
        <v>6</v>
      </c>
      <c r="D16">
        <v>2</v>
      </c>
      <c r="E16">
        <v>2</v>
      </c>
      <c r="H16" t="s">
        <v>115</v>
      </c>
    </row>
    <row r="17" spans="1:8">
      <c r="B17" s="1" t="s">
        <v>107</v>
      </c>
      <c r="C17">
        <f t="shared" si="0"/>
        <v>10</v>
      </c>
      <c r="D17">
        <v>2</v>
      </c>
      <c r="E17">
        <v>2</v>
      </c>
      <c r="H17" t="s">
        <v>116</v>
      </c>
    </row>
    <row r="18" spans="1:8">
      <c r="A18" s="2" t="s">
        <v>108</v>
      </c>
      <c r="B18" s="1" t="s">
        <v>109</v>
      </c>
      <c r="C18">
        <f t="shared" si="0"/>
        <v>3</v>
      </c>
      <c r="D18">
        <v>2</v>
      </c>
      <c r="E18">
        <v>2</v>
      </c>
    </row>
    <row r="19" spans="1:8">
      <c r="B19" s="1" t="s">
        <v>110</v>
      </c>
      <c r="C19">
        <f t="shared" si="0"/>
        <v>3</v>
      </c>
      <c r="D19">
        <v>2</v>
      </c>
      <c r="E19">
        <v>2</v>
      </c>
    </row>
    <row r="20" spans="1:8">
      <c r="B20" s="1" t="s">
        <v>111</v>
      </c>
      <c r="C20">
        <f t="shared" si="0"/>
        <v>3</v>
      </c>
      <c r="D20">
        <v>2</v>
      </c>
      <c r="E20">
        <v>2</v>
      </c>
    </row>
    <row r="21" spans="1:8">
      <c r="A21" s="2" t="s">
        <v>43</v>
      </c>
      <c r="B21" s="1" t="s">
        <v>114</v>
      </c>
      <c r="C21">
        <f t="shared" si="0"/>
        <v>3</v>
      </c>
      <c r="D21">
        <v>6</v>
      </c>
      <c r="E21">
        <v>6</v>
      </c>
    </row>
    <row r="22" spans="1:8">
      <c r="A22" s="2" t="s">
        <v>46</v>
      </c>
      <c r="B22" s="1" t="s">
        <v>117</v>
      </c>
      <c r="C22">
        <f t="shared" si="0"/>
        <v>33</v>
      </c>
      <c r="D22">
        <v>4</v>
      </c>
      <c r="E22">
        <v>8</v>
      </c>
    </row>
    <row r="23" spans="1:8">
      <c r="A23" s="2" t="s">
        <v>118</v>
      </c>
      <c r="B23" s="1" t="s">
        <v>119</v>
      </c>
      <c r="C23">
        <f t="shared" si="0"/>
        <v>3</v>
      </c>
      <c r="D23">
        <v>3</v>
      </c>
      <c r="E23">
        <v>3</v>
      </c>
    </row>
    <row r="24" spans="1:8">
      <c r="B24" s="1" t="s">
        <v>120</v>
      </c>
      <c r="C24">
        <f t="shared" si="0"/>
        <v>3</v>
      </c>
      <c r="D24">
        <v>3</v>
      </c>
      <c r="E24">
        <v>3</v>
      </c>
    </row>
    <row r="25" spans="1:8">
      <c r="A25" s="2" t="s">
        <v>121</v>
      </c>
      <c r="B25" s="1" t="s">
        <v>122</v>
      </c>
      <c r="C25">
        <f t="shared" si="0"/>
        <v>6</v>
      </c>
      <c r="D25">
        <v>3</v>
      </c>
      <c r="E25">
        <v>3</v>
      </c>
    </row>
    <row r="26" spans="1:8">
      <c r="B26" s="1" t="s">
        <v>123</v>
      </c>
      <c r="C26">
        <f t="shared" si="0"/>
        <v>5</v>
      </c>
      <c r="D26">
        <v>3</v>
      </c>
      <c r="E26">
        <v>3</v>
      </c>
    </row>
    <row r="27" spans="1:8">
      <c r="A27" s="2" t="s">
        <v>124</v>
      </c>
      <c r="B27" s="1" t="s">
        <v>125</v>
      </c>
      <c r="C27">
        <f t="shared" si="0"/>
        <v>3</v>
      </c>
      <c r="D27">
        <v>2</v>
      </c>
      <c r="E27">
        <v>2</v>
      </c>
    </row>
    <row r="28" spans="1:8">
      <c r="B28" s="1" t="s">
        <v>126</v>
      </c>
      <c r="C28">
        <f t="shared" si="0"/>
        <v>3</v>
      </c>
      <c r="D28">
        <v>2</v>
      </c>
      <c r="E28">
        <v>2</v>
      </c>
    </row>
    <row r="29" spans="1:8">
      <c r="B29" s="1" t="s">
        <v>127</v>
      </c>
      <c r="C29">
        <f t="shared" si="0"/>
        <v>3</v>
      </c>
      <c r="D29">
        <v>2</v>
      </c>
      <c r="E29">
        <v>2</v>
      </c>
    </row>
    <row r="30" spans="1:8">
      <c r="B30" s="1" t="s">
        <v>128</v>
      </c>
      <c r="C30">
        <f t="shared" si="0"/>
        <v>3</v>
      </c>
      <c r="D30">
        <v>2</v>
      </c>
      <c r="E30">
        <v>2</v>
      </c>
    </row>
    <row r="31" spans="1:8">
      <c r="B31" s="1" t="s">
        <v>129</v>
      </c>
      <c r="C31">
        <f t="shared" si="0"/>
        <v>3</v>
      </c>
      <c r="D31">
        <v>2</v>
      </c>
      <c r="E31">
        <v>2</v>
      </c>
    </row>
    <row r="32" spans="1:8">
      <c r="B32" s="1" t="s">
        <v>130</v>
      </c>
      <c r="C32">
        <f t="shared" si="0"/>
        <v>3</v>
      </c>
      <c r="D32">
        <v>2</v>
      </c>
      <c r="E32">
        <v>2</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CBEBE-0ABB-4F1C-8A78-6AE25E488524}">
  <sheetPr codeName="Sheet6"/>
  <dimension ref="A1:N167"/>
  <sheetViews>
    <sheetView tabSelected="1" zoomScale="85" zoomScaleNormal="85" workbookViewId="0">
      <pane xSplit="1" ySplit="3" topLeftCell="B4" activePane="bottomRight" state="frozen"/>
      <selection pane="topRight" activeCell="B1" sqref="B1"/>
      <selection pane="bottomLeft" activeCell="A4" sqref="A4"/>
      <selection pane="bottomRight" activeCell="D14" sqref="D14"/>
    </sheetView>
  </sheetViews>
  <sheetFormatPr defaultRowHeight="18.75"/>
  <cols>
    <col min="1" max="1" width="9" style="2"/>
    <col min="2" max="2" width="96.875" style="1" customWidth="1"/>
    <col min="3" max="3" width="9.75" customWidth="1"/>
  </cols>
  <sheetData>
    <row r="1" spans="1:14">
      <c r="A1" s="2" t="s">
        <v>0</v>
      </c>
      <c r="B1" s="1" t="s">
        <v>12</v>
      </c>
    </row>
    <row r="2" spans="1:14">
      <c r="A2" s="2" t="s">
        <v>2</v>
      </c>
      <c r="B2" s="3" t="s">
        <v>131</v>
      </c>
      <c r="D2">
        <f>SUM(D4:D1000)</f>
        <v>53</v>
      </c>
      <c r="E2">
        <f>SUM(E4:E1000)</f>
        <v>53</v>
      </c>
    </row>
    <row r="3" spans="1:14">
      <c r="A3" s="2" t="s">
        <v>1</v>
      </c>
      <c r="B3" s="1" t="s">
        <v>3</v>
      </c>
      <c r="C3" t="s">
        <v>6</v>
      </c>
      <c r="D3" t="s">
        <v>4</v>
      </c>
      <c r="E3" t="s">
        <v>5</v>
      </c>
    </row>
    <row r="4" spans="1:14">
      <c r="A4" s="2" t="s">
        <v>30</v>
      </c>
      <c r="B4" s="1" t="s">
        <v>148</v>
      </c>
      <c r="C4">
        <f>IF(B4&lt;&gt;"",LEN(B4),"")</f>
        <v>43</v>
      </c>
      <c r="D4">
        <v>8</v>
      </c>
      <c r="E4">
        <v>8</v>
      </c>
    </row>
    <row r="5" spans="1:14">
      <c r="A5" s="2" t="s">
        <v>32</v>
      </c>
      <c r="B5" s="1" t="s">
        <v>149</v>
      </c>
      <c r="C5">
        <f t="shared" ref="C5:C68" si="0">IF(B5&lt;&gt;"",LEN(B5),"")</f>
        <v>27</v>
      </c>
      <c r="D5">
        <v>8</v>
      </c>
      <c r="E5">
        <v>8</v>
      </c>
      <c r="G5" t="s">
        <v>132</v>
      </c>
      <c r="J5" t="s">
        <v>140</v>
      </c>
      <c r="N5" t="s">
        <v>147</v>
      </c>
    </row>
    <row r="6" spans="1:14">
      <c r="A6" s="2" t="s">
        <v>34</v>
      </c>
      <c r="B6" s="1" t="s">
        <v>150</v>
      </c>
      <c r="C6">
        <f t="shared" si="0"/>
        <v>43</v>
      </c>
      <c r="D6">
        <v>8</v>
      </c>
      <c r="E6">
        <v>8</v>
      </c>
      <c r="G6" t="s">
        <v>133</v>
      </c>
      <c r="J6" t="s">
        <v>141</v>
      </c>
      <c r="N6" t="s">
        <v>156</v>
      </c>
    </row>
    <row r="7" spans="1:14">
      <c r="A7" s="2" t="s">
        <v>36</v>
      </c>
      <c r="B7" s="1" t="s">
        <v>151</v>
      </c>
      <c r="C7">
        <f t="shared" si="0"/>
        <v>8</v>
      </c>
      <c r="D7">
        <v>4</v>
      </c>
      <c r="E7">
        <v>4</v>
      </c>
      <c r="G7" t="s">
        <v>134</v>
      </c>
      <c r="J7" t="s">
        <v>142</v>
      </c>
      <c r="N7" t="s">
        <v>157</v>
      </c>
    </row>
    <row r="8" spans="1:14">
      <c r="A8" s="2" t="s">
        <v>38</v>
      </c>
      <c r="B8" s="1" t="s">
        <v>152</v>
      </c>
      <c r="C8">
        <f t="shared" si="0"/>
        <v>3</v>
      </c>
      <c r="D8">
        <v>3</v>
      </c>
      <c r="E8">
        <v>3</v>
      </c>
      <c r="G8" t="s">
        <v>135</v>
      </c>
      <c r="J8" t="s">
        <v>143</v>
      </c>
    </row>
    <row r="9" spans="1:14">
      <c r="A9" s="2" t="s">
        <v>153</v>
      </c>
      <c r="B9" s="1" t="s">
        <v>154</v>
      </c>
      <c r="C9">
        <f t="shared" si="0"/>
        <v>50</v>
      </c>
      <c r="D9">
        <v>10</v>
      </c>
      <c r="E9">
        <v>10</v>
      </c>
      <c r="G9" t="s">
        <v>136</v>
      </c>
      <c r="J9" t="s">
        <v>144</v>
      </c>
    </row>
    <row r="10" spans="1:14">
      <c r="A10" s="2" t="s">
        <v>43</v>
      </c>
      <c r="B10" s="1" t="s">
        <v>155</v>
      </c>
      <c r="C10">
        <f t="shared" si="0"/>
        <v>4</v>
      </c>
      <c r="D10">
        <v>3</v>
      </c>
      <c r="E10">
        <v>3</v>
      </c>
      <c r="G10" t="s">
        <v>137</v>
      </c>
      <c r="J10" t="s">
        <v>145</v>
      </c>
    </row>
    <row r="11" spans="1:14">
      <c r="A11" s="2" t="s">
        <v>46</v>
      </c>
      <c r="B11" s="1" t="s">
        <v>47</v>
      </c>
      <c r="C11">
        <f t="shared" si="0"/>
        <v>3</v>
      </c>
      <c r="D11">
        <v>3</v>
      </c>
      <c r="E11">
        <v>3</v>
      </c>
      <c r="G11" t="s">
        <v>138</v>
      </c>
      <c r="J11" t="s">
        <v>146</v>
      </c>
    </row>
    <row r="12" spans="1:14">
      <c r="B12" s="1" t="s">
        <v>48</v>
      </c>
      <c r="C12">
        <f t="shared" si="0"/>
        <v>3</v>
      </c>
      <c r="D12">
        <v>3</v>
      </c>
      <c r="E12">
        <v>3</v>
      </c>
      <c r="G12" t="s">
        <v>139</v>
      </c>
    </row>
    <row r="13" spans="1:14">
      <c r="B13" s="1" t="s">
        <v>49</v>
      </c>
      <c r="C13">
        <f t="shared" si="0"/>
        <v>3</v>
      </c>
      <c r="D13">
        <v>3</v>
      </c>
      <c r="E13">
        <v>3</v>
      </c>
    </row>
    <row r="14" spans="1:14">
      <c r="A14" s="2" t="s">
        <v>50</v>
      </c>
      <c r="B14" s="1">
        <v>6</v>
      </c>
      <c r="C14">
        <f t="shared" si="0"/>
        <v>1</v>
      </c>
    </row>
    <row r="15" spans="1:14">
      <c r="A15" s="2" t="s">
        <v>52</v>
      </c>
      <c r="C15" t="str">
        <f t="shared" si="0"/>
        <v/>
      </c>
    </row>
    <row r="16" spans="1:14">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2025-02-01T10:20:59Z</dcterms:modified>
</cp:coreProperties>
</file>