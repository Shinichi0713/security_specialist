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10-incident\"/>
    </mc:Choice>
  </mc:AlternateContent>
  <xr:revisionPtr revIDLastSave="0" documentId="13_ncr:1_{89D6B315-667C-46E6-B119-0797AA5E678E}" xr6:coauthVersionLast="47" xr6:coauthVersionMax="47" xr10:uidLastSave="{00000000-0000-0000-0000-000000000000}"/>
  <bookViews>
    <workbookView xWindow="-120" yWindow="-120" windowWidth="29040" windowHeight="15720" xr2:uid="{00000000-000D-0000-FFFF-FFFF00000000}"/>
  </bookViews>
  <sheets>
    <sheet name="レビュー" sheetId="2" r:id="rId1"/>
    <sheet name="format" sheetId="4" r:id="rId2"/>
    <sheet name="1" sheetId="5" r:id="rId3"/>
    <sheet name="2" sheetId="6" r:id="rId4"/>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6" l="1"/>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2" i="6"/>
  <c r="B1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<sst xmlns="http://schemas.openxmlformats.org/spreadsheetml/2006/main" count="153" uniqueCount="131">
  <si>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</si>
  <si>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</si>
  <si>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</si>
  <si>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</si>
  <si>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</si>
  <si>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</si>
  <si>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</si>
  <si>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</si>
  <si>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</si>
  <si>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</si>
  <si>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</si>
  <si>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</si>
  <si>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重点対策</t>
    <rPh sb="0" eb="2">
      <t>ジュウテン</t>
    </rPh>
    <rPh sb="2" eb="4">
      <t>タイサク</t>
    </rPh>
    <phoneticPr fontId="1"/>
  </si>
  <si>
    <t>10-1</t>
    <phoneticPr fontId="1"/>
  </si>
  <si>
    <t>N社</t>
    <rPh sb="1" eb="2">
      <t>シャ</t>
    </rPh>
    <phoneticPr fontId="1"/>
  </si>
  <si>
    <t>通販サイトでの通信販売</t>
    <rPh sb="0" eb="2">
      <t>ツウハン</t>
    </rPh>
    <rPh sb="7" eb="9">
      <t>ツウシン</t>
    </rPh>
    <rPh sb="9" eb="11">
      <t>ハンバイ</t>
    </rPh>
    <phoneticPr fontId="1"/>
  </si>
  <si>
    <t>会員制度より得点を受けれる</t>
    <rPh sb="0" eb="2">
      <t>カイイン</t>
    </rPh>
    <rPh sb="2" eb="4">
      <t>セイド</t>
    </rPh>
    <rPh sb="6" eb="8">
      <t>トクテン</t>
    </rPh>
    <rPh sb="9" eb="10">
      <t>ウ</t>
    </rPh>
    <phoneticPr fontId="1"/>
  </si>
  <si>
    <t>Bインシデントポリシ</t>
    <phoneticPr fontId="1"/>
  </si>
  <si>
    <t>B社のセキュリティ担当部署に報告</t>
    <rPh sb="1" eb="2">
      <t>シャ</t>
    </rPh>
    <rPh sb="9" eb="13">
      <t>タントウブショ</t>
    </rPh>
    <rPh sb="14" eb="16">
      <t>ホウコク</t>
    </rPh>
    <phoneticPr fontId="1"/>
  </si>
  <si>
    <t>N社のシステムが取得し、インシデント発生時にはセキュリティ部に送信</t>
    <rPh sb="1" eb="2">
      <t>シャ</t>
    </rPh>
    <rPh sb="8" eb="10">
      <t>シュトク</t>
    </rPh>
    <rPh sb="18" eb="21">
      <t>ハッセイジ</t>
    </rPh>
    <rPh sb="29" eb="30">
      <t>ブ</t>
    </rPh>
    <rPh sb="31" eb="33">
      <t>ソウシン</t>
    </rPh>
    <phoneticPr fontId="1"/>
  </si>
  <si>
    <t>Zサービスに構築V社運用</t>
    <rPh sb="6" eb="8">
      <t>コウチク</t>
    </rPh>
    <rPh sb="9" eb="10">
      <t>シャ</t>
    </rPh>
    <rPh sb="10" eb="12">
      <t>ウンヨウ</t>
    </rPh>
    <phoneticPr fontId="1"/>
  </si>
  <si>
    <t>店舗管理システムをN社に設置</t>
    <rPh sb="0" eb="4">
      <t>テンポカンリ</t>
    </rPh>
    <rPh sb="10" eb="11">
      <t>シャ</t>
    </rPh>
    <rPh sb="12" eb="14">
      <t>セッチ</t>
    </rPh>
    <phoneticPr fontId="1"/>
  </si>
  <si>
    <t>システムテスト、R1サーバーにSSH</t>
    <phoneticPr fontId="1"/>
  </si>
  <si>
    <t>開発支援ツールJ</t>
    <rPh sb="0" eb="2">
      <t>カイハツ</t>
    </rPh>
    <rPh sb="2" eb="4">
      <t>シエン</t>
    </rPh>
    <phoneticPr fontId="1"/>
  </si>
  <si>
    <t>R1サーバー：開発支援サーバー</t>
    <rPh sb="7" eb="9">
      <t>カイハツ</t>
    </rPh>
    <rPh sb="9" eb="11">
      <t>シエン</t>
    </rPh>
    <phoneticPr fontId="1"/>
  </si>
  <si>
    <t>利用者アカウントで動作する。</t>
    <rPh sb="0" eb="3">
      <t>リヨウシャ</t>
    </rPh>
    <rPh sb="9" eb="11">
      <t>ドウサ</t>
    </rPh>
    <phoneticPr fontId="1"/>
  </si>
  <si>
    <t>OSの一般利用者権限には、開発支援ツールJが動作する。</t>
    <rPh sb="3" eb="5">
      <t>イッパン</t>
    </rPh>
    <rPh sb="5" eb="8">
      <t>リヨウシャ</t>
    </rPh>
    <rPh sb="8" eb="10">
      <t>ケンゲン</t>
    </rPh>
    <rPh sb="13" eb="15">
      <t>カイハツ</t>
    </rPh>
    <rPh sb="15" eb="17">
      <t>シエン</t>
    </rPh>
    <rPh sb="22" eb="24">
      <t>ドウサ</t>
    </rPh>
    <phoneticPr fontId="1"/>
  </si>
  <si>
    <t>必要最小限の権限のみが与えられる</t>
    <rPh sb="0" eb="5">
      <t>ヒツヨウサイショウゲン</t>
    </rPh>
    <rPh sb="6" eb="8">
      <t>ケンゲン</t>
    </rPh>
    <rPh sb="11" eb="12">
      <t>アタ</t>
    </rPh>
    <phoneticPr fontId="1"/>
  </si>
  <si>
    <t>R1 SVに限定</t>
    <rPh sb="6" eb="8">
      <t>ゲンテイ</t>
    </rPh>
    <phoneticPr fontId="1"/>
  </si>
  <si>
    <t>N社のシステムへの営業を評価</t>
    <rPh sb="1" eb="2">
      <t>シャ</t>
    </rPh>
    <rPh sb="9" eb="11">
      <t>エイギョウ</t>
    </rPh>
    <rPh sb="12" eb="14">
      <t>ヒョウカ</t>
    </rPh>
    <phoneticPr fontId="1"/>
  </si>
  <si>
    <t>1-(1)</t>
    <phoneticPr fontId="1"/>
  </si>
  <si>
    <t>不正に入手したIDとパスワードの実際に利用されているリストを用いてログインを試行する攻撃。</t>
    <rPh sb="0" eb="2">
      <t>フセイ</t>
    </rPh>
    <rPh sb="3" eb="5">
      <t>ニュウシュ</t>
    </rPh>
    <rPh sb="16" eb="18">
      <t>ジッサイ</t>
    </rPh>
    <rPh sb="19" eb="21">
      <t>リヨウ</t>
    </rPh>
    <rPh sb="30" eb="31">
      <t>モチ</t>
    </rPh>
    <rPh sb="38" eb="40">
      <t>シコウ</t>
    </rPh>
    <rPh sb="42" eb="44">
      <t>コウゲキ</t>
    </rPh>
    <phoneticPr fontId="1"/>
  </si>
  <si>
    <t>1-(2)</t>
    <phoneticPr fontId="1"/>
  </si>
  <si>
    <t>他サイトに利用しているパスワードは設定しない</t>
    <rPh sb="0" eb="1">
      <t>ホカ</t>
    </rPh>
    <rPh sb="5" eb="7">
      <t>リヨウ</t>
    </rPh>
    <rPh sb="17" eb="19">
      <t>セッテイ</t>
    </rPh>
    <phoneticPr fontId="1"/>
  </si>
  <si>
    <t>1-(3)</t>
    <phoneticPr fontId="1"/>
  </si>
  <si>
    <t>いつもと異なるIPアドレスよりアクセスしたことから、地理的情報より異常を検知する。</t>
    <rPh sb="4" eb="5">
      <t>コト</t>
    </rPh>
    <rPh sb="26" eb="29">
      <t>チリテキ</t>
    </rPh>
    <rPh sb="29" eb="31">
      <t>ジョウホウ</t>
    </rPh>
    <rPh sb="33" eb="35">
      <t>イジョウ</t>
    </rPh>
    <rPh sb="36" eb="38">
      <t>ケンチ</t>
    </rPh>
    <phoneticPr fontId="1"/>
  </si>
  <si>
    <t>1-(4)</t>
    <phoneticPr fontId="1"/>
  </si>
  <si>
    <t>タイムゾーン</t>
    <phoneticPr fontId="1"/>
  </si>
  <si>
    <t>1-(5)</t>
    <phoneticPr fontId="1"/>
  </si>
  <si>
    <t>JSTはUTCに対して9時間進んでいる</t>
    <rPh sb="8" eb="9">
      <t>タイ</t>
    </rPh>
    <rPh sb="12" eb="14">
      <t>ジカン</t>
    </rPh>
    <rPh sb="14" eb="15">
      <t>スス</t>
    </rPh>
    <phoneticPr fontId="1"/>
  </si>
  <si>
    <t>２</t>
    <phoneticPr fontId="1"/>
  </si>
  <si>
    <t>セキュリティ対策</t>
    <rPh sb="6" eb="8">
      <t>タイサク</t>
    </rPh>
    <phoneticPr fontId="1"/>
  </si>
  <si>
    <t>社内LAN上のPCからUSBを経由して、マルウェアがコピーされて、店舗管理サーバーにマルウェアが移される。</t>
    <rPh sb="0" eb="2">
      <t>シャナイ</t>
    </rPh>
    <rPh sb="5" eb="6">
      <t>ウエ</t>
    </rPh>
    <rPh sb="15" eb="17">
      <t>ケイユ</t>
    </rPh>
    <rPh sb="33" eb="37">
      <t>テンポカンリ</t>
    </rPh>
    <rPh sb="48" eb="49">
      <t>ウツ</t>
    </rPh>
    <phoneticPr fontId="1"/>
  </si>
  <si>
    <t>3-(1)</t>
    <phoneticPr fontId="1"/>
  </si>
  <si>
    <t>セキュリティポリ氏案と体制つくり</t>
    <rPh sb="8" eb="9">
      <t>シ</t>
    </rPh>
    <rPh sb="9" eb="10">
      <t>アン</t>
    </rPh>
    <rPh sb="11" eb="13">
      <t>タイセイ</t>
    </rPh>
    <phoneticPr fontId="1"/>
  </si>
  <si>
    <t>オ</t>
    <phoneticPr fontId="1"/>
  </si>
  <si>
    <t>3-(2)</t>
    <phoneticPr fontId="1"/>
  </si>
  <si>
    <t>d:イ</t>
    <phoneticPr fontId="1"/>
  </si>
  <si>
    <t>e:カ</t>
    <phoneticPr fontId="1"/>
  </si>
  <si>
    <t>f:ウ</t>
    <phoneticPr fontId="1"/>
  </si>
  <si>
    <t>4-(1)</t>
    <phoneticPr fontId="1"/>
  </si>
  <si>
    <t>不正ログイン</t>
    <rPh sb="0" eb="2">
      <t>フセイ</t>
    </rPh>
    <phoneticPr fontId="1"/>
  </si>
  <si>
    <t>4-(2)</t>
    <phoneticPr fontId="1"/>
  </si>
  <si>
    <t>管理者権限でないとファイルの内容を読みだすことができないため、一般ユーザーの権限で脆弱性Mを利用してもファイルの内容を閲覧することは出来ない</t>
    <rPh sb="0" eb="3">
      <t>カンリシャ</t>
    </rPh>
    <rPh sb="3" eb="5">
      <t>ケンゲン</t>
    </rPh>
    <rPh sb="14" eb="16">
      <t>ナイヨウ</t>
    </rPh>
    <rPh sb="17" eb="18">
      <t>ヨ</t>
    </rPh>
    <rPh sb="31" eb="33">
      <t>イッパン</t>
    </rPh>
    <rPh sb="38" eb="40">
      <t>ケンゲン</t>
    </rPh>
    <rPh sb="41" eb="44">
      <t>ゼイジャクセイ</t>
    </rPh>
    <rPh sb="46" eb="48">
      <t>リヨウ</t>
    </rPh>
    <rPh sb="56" eb="58">
      <t>ナイヨウ</t>
    </rPh>
    <rPh sb="59" eb="61">
      <t>エツラン</t>
    </rPh>
    <rPh sb="66" eb="68">
      <t>デキ</t>
    </rPh>
    <phoneticPr fontId="1"/>
  </si>
  <si>
    <t>4-(3)</t>
    <phoneticPr fontId="1"/>
  </si>
  <si>
    <t>/etc/hosts.allowに攻撃用サーバーのFQDNとIPアドレスを登録した</t>
    <rPh sb="17" eb="20">
      <t>コウゲキヨウ</t>
    </rPh>
    <rPh sb="37" eb="39">
      <t>トウロク</t>
    </rPh>
    <phoneticPr fontId="1"/>
  </si>
  <si>
    <t>攻撃用の接続元IPアドレスを/etc/hosts.allowファイルに追加する</t>
    <rPh sb="0" eb="3">
      <t>コウゲキヨウ</t>
    </rPh>
    <rPh sb="4" eb="7">
      <t>セツゾクモト</t>
    </rPh>
    <rPh sb="35" eb="37">
      <t>ツイカ</t>
    </rPh>
    <phoneticPr fontId="1"/>
  </si>
  <si>
    <t>4-(4)</t>
    <phoneticPr fontId="1"/>
  </si>
  <si>
    <t>4-(5)</t>
    <phoneticPr fontId="1"/>
  </si>
  <si>
    <t>V社と、N社以外の接続元IPアドレスは、開発システムにアクセスできないように設定する</t>
    <rPh sb="1" eb="2">
      <t>シャ</t>
    </rPh>
    <rPh sb="5" eb="6">
      <t>シャ</t>
    </rPh>
    <rPh sb="6" eb="8">
      <t>イガイ</t>
    </rPh>
    <rPh sb="9" eb="11">
      <t>セツゾク</t>
    </rPh>
    <rPh sb="11" eb="12">
      <t>モト</t>
    </rPh>
    <rPh sb="20" eb="22">
      <t>カイハツ</t>
    </rPh>
    <rPh sb="38" eb="40">
      <t>セッテイ</t>
    </rPh>
    <phoneticPr fontId="1"/>
  </si>
  <si>
    <t>5</t>
    <phoneticPr fontId="1"/>
  </si>
  <si>
    <t>2つ以上の脆弱性を悪用した攻撃の可能性の観点。</t>
    <rPh sb="2" eb="4">
      <t>イジョウ</t>
    </rPh>
    <rPh sb="5" eb="8">
      <t>ゼイジャクセイ</t>
    </rPh>
    <rPh sb="9" eb="11">
      <t>アクヨウ</t>
    </rPh>
    <rPh sb="13" eb="15">
      <t>コウゲキ</t>
    </rPh>
    <rPh sb="16" eb="19">
      <t>カノウセイ</t>
    </rPh>
    <rPh sb="20" eb="22">
      <t>カンテン</t>
    </rPh>
    <phoneticPr fontId="1"/>
  </si>
  <si>
    <t>重点対策</t>
  </si>
  <si>
    <t>10-1</t>
  </si>
  <si>
    <t>10-2</t>
  </si>
  <si>
    <t>10-2</t>
    <phoneticPr fontId="1"/>
  </si>
  <si>
    <t>S社</t>
    <rPh sb="1" eb="2">
      <t>シャ</t>
    </rPh>
    <phoneticPr fontId="1"/>
  </si>
  <si>
    <t>インターネット広告</t>
    <rPh sb="7" eb="9">
      <t>コウコク</t>
    </rPh>
    <phoneticPr fontId="1"/>
  </si>
  <si>
    <t>Sシステム</t>
    <phoneticPr fontId="1"/>
  </si>
  <si>
    <t>アプリQ</t>
    <phoneticPr fontId="1"/>
  </si>
  <si>
    <t>自社開発で機能開発続く</t>
    <rPh sb="0" eb="2">
      <t>ジシャ</t>
    </rPh>
    <rPh sb="2" eb="4">
      <t>カイハツ</t>
    </rPh>
    <rPh sb="5" eb="9">
      <t>キノウカイハツ</t>
    </rPh>
    <rPh sb="9" eb="10">
      <t>ツヅ</t>
    </rPh>
    <phoneticPr fontId="1"/>
  </si>
  <si>
    <t>エンジニア５名</t>
    <rPh sb="6" eb="7">
      <t>メイ</t>
    </rPh>
    <phoneticPr fontId="1"/>
  </si>
  <si>
    <t>DevOps</t>
    <phoneticPr fontId="1"/>
  </si>
  <si>
    <t>サービスG</t>
    <phoneticPr fontId="1"/>
  </si>
  <si>
    <t>テキストをアップロード</t>
    <phoneticPr fontId="1"/>
  </si>
  <si>
    <t>URLによりテキストを共有可能</t>
    <rPh sb="11" eb="13">
      <t>キョウユウ</t>
    </rPh>
    <rPh sb="13" eb="15">
      <t>カノウ</t>
    </rPh>
    <phoneticPr fontId="1"/>
  </si>
  <si>
    <t>SQLインジェクション</t>
    <phoneticPr fontId="1"/>
  </si>
  <si>
    <t>サービスH</t>
    <phoneticPr fontId="1"/>
  </si>
  <si>
    <t>アプリQはサーバーAで稼働</t>
    <rPh sb="11" eb="13">
      <t>カドウ</t>
    </rPh>
    <phoneticPr fontId="1"/>
  </si>
  <si>
    <t>WEBアプリの脆弱性診断</t>
    <rPh sb="7" eb="10">
      <t>ゼイジャクセイ</t>
    </rPh>
    <rPh sb="10" eb="12">
      <t>シンダン</t>
    </rPh>
    <phoneticPr fontId="1"/>
  </si>
  <si>
    <t>サービスCのDBには会員情報が記録</t>
    <rPh sb="10" eb="12">
      <t>カイイン</t>
    </rPh>
    <rPh sb="12" eb="14">
      <t>ジョウホウ</t>
    </rPh>
    <rPh sb="15" eb="17">
      <t>キロク</t>
    </rPh>
    <phoneticPr fontId="1"/>
  </si>
  <si>
    <t>DBMS-R</t>
    <phoneticPr fontId="1"/>
  </si>
  <si>
    <t>MW-X</t>
    <phoneticPr fontId="1"/>
  </si>
  <si>
    <t>プログラムDL</t>
    <phoneticPr fontId="1"/>
  </si>
  <si>
    <t>他SVに侵入</t>
    <rPh sb="0" eb="1">
      <t>ホカ</t>
    </rPh>
    <rPh sb="4" eb="6">
      <t>シンニュウ</t>
    </rPh>
    <phoneticPr fontId="1"/>
  </si>
  <si>
    <t>ポートの同じ脆弱性をついたほかのマルウェアが侵入し、当該マルウェアXの活動を妨害する。</t>
    <rPh sb="4" eb="5">
      <t>オナ</t>
    </rPh>
    <rPh sb="6" eb="9">
      <t>ゼイジャクセイ</t>
    </rPh>
    <rPh sb="22" eb="24">
      <t>シンニュウ</t>
    </rPh>
    <rPh sb="26" eb="28">
      <t>トウガイ</t>
    </rPh>
    <rPh sb="35" eb="37">
      <t>カツドウ</t>
    </rPh>
    <rPh sb="38" eb="40">
      <t>ボウガイ</t>
    </rPh>
    <phoneticPr fontId="1"/>
  </si>
  <si>
    <t>γ：イ</t>
    <phoneticPr fontId="1"/>
  </si>
  <si>
    <t>β：ク</t>
    <phoneticPr fontId="1"/>
  </si>
  <si>
    <t>α：カ</t>
    <phoneticPr fontId="1"/>
  </si>
  <si>
    <t>マルウェアXには、サーバーへアクセスの後、データを取得したうえで、データを外部に対して送信する機能がない。このため、DBMS-Rのデータは取得・送信されていないと考えられるため。</t>
    <rPh sb="19" eb="20">
      <t>アト</t>
    </rPh>
    <rPh sb="25" eb="27">
      <t>シュトク</t>
    </rPh>
    <rPh sb="37" eb="39">
      <t>ガイブ</t>
    </rPh>
    <rPh sb="40" eb="41">
      <t>タイ</t>
    </rPh>
    <rPh sb="43" eb="45">
      <t>ソウシン</t>
    </rPh>
    <rPh sb="47" eb="49">
      <t>キノウ</t>
    </rPh>
    <rPh sb="69" eb="71">
      <t>シュトク</t>
    </rPh>
    <rPh sb="72" eb="74">
      <t>ソウシン</t>
    </rPh>
    <rPh sb="81" eb="82">
      <t>カンガ</t>
    </rPh>
    <phoneticPr fontId="1"/>
  </si>
  <si>
    <t>2-(1)</t>
    <phoneticPr fontId="1"/>
  </si>
  <si>
    <t>SV Aへのアクセス制限</t>
    <rPh sb="10" eb="12">
      <t>セイゲン</t>
    </rPh>
    <phoneticPr fontId="1"/>
  </si>
  <si>
    <t>ポートをデフォルト以外</t>
    <rPh sb="9" eb="11">
      <t>イガイ</t>
    </rPh>
    <phoneticPr fontId="1"/>
  </si>
  <si>
    <t>アクセス制限</t>
    <rPh sb="4" eb="6">
      <t>セイゲン</t>
    </rPh>
    <phoneticPr fontId="1"/>
  </si>
  <si>
    <t>アプリやMWを稼働</t>
    <rPh sb="7" eb="9">
      <t>カドウ</t>
    </rPh>
    <phoneticPr fontId="1"/>
  </si>
  <si>
    <t>1: ア、エ</t>
    <phoneticPr fontId="1"/>
  </si>
  <si>
    <t>2:  ア、イ、エ</t>
    <phoneticPr fontId="1"/>
  </si>
  <si>
    <t>3: ア、イ、エ</t>
    <phoneticPr fontId="1"/>
  </si>
  <si>
    <t>4: ウ、オ</t>
    <phoneticPr fontId="1"/>
  </si>
  <si>
    <t>プログラムのインストールには管理権限が筆意用</t>
    <rPh sb="14" eb="16">
      <t>カンリ</t>
    </rPh>
    <rPh sb="16" eb="18">
      <t>ケンゲン</t>
    </rPh>
    <rPh sb="19" eb="22">
      <t>ヒツイヨウ</t>
    </rPh>
    <phoneticPr fontId="1"/>
  </si>
  <si>
    <t>2-(2)</t>
    <phoneticPr fontId="1"/>
  </si>
  <si>
    <t>SV AはDBMS</t>
    <phoneticPr fontId="1"/>
  </si>
  <si>
    <t>う：a2.b2.c2.d2</t>
    <phoneticPr fontId="1"/>
  </si>
  <si>
    <t>い：22</t>
    <phoneticPr fontId="1"/>
  </si>
  <si>
    <t>あ：6379</t>
    <phoneticPr fontId="1"/>
  </si>
  <si>
    <t>2-(3)</t>
    <phoneticPr fontId="1"/>
  </si>
  <si>
    <t>a:curl</t>
    <phoneticPr fontId="1"/>
  </si>
  <si>
    <t>b:iptables</t>
    <phoneticPr fontId="1"/>
  </si>
  <si>
    <t>2-(4)</t>
    <phoneticPr fontId="1"/>
  </si>
  <si>
    <t>え：オ</t>
    <phoneticPr fontId="1"/>
  </si>
  <si>
    <t>お：カ</t>
    <phoneticPr fontId="1"/>
  </si>
  <si>
    <t>か：キ</t>
    <phoneticPr fontId="1"/>
  </si>
  <si>
    <t>自社の環境により脆弱性を収集</t>
    <rPh sb="0" eb="2">
      <t>ジシャ</t>
    </rPh>
    <rPh sb="3" eb="5">
      <t>カンキョウ</t>
    </rPh>
    <rPh sb="8" eb="11">
      <t>ゼイジャクセイ</t>
    </rPh>
    <rPh sb="12" eb="14">
      <t>シュウシュウ</t>
    </rPh>
    <phoneticPr fontId="1"/>
  </si>
  <si>
    <t>SWの変更、構成の変更を管理</t>
    <rPh sb="3" eb="5">
      <t>ヘンコウ</t>
    </rPh>
    <rPh sb="6" eb="8">
      <t>コウセイ</t>
    </rPh>
    <rPh sb="9" eb="11">
      <t>ヘンコウ</t>
    </rPh>
    <rPh sb="12" eb="14">
      <t>カンリ</t>
    </rPh>
    <phoneticPr fontId="1"/>
  </si>
  <si>
    <t>ア、ウ</t>
    <phoneticPr fontId="1"/>
  </si>
  <si>
    <t>検証プロセス</t>
    <rPh sb="0" eb="2">
      <t>ケンショウ</t>
    </rPh>
    <phoneticPr fontId="1"/>
  </si>
  <si>
    <t>運用プロセス</t>
    <rPh sb="0" eb="2">
      <t>ウンヨウ</t>
    </rPh>
    <phoneticPr fontId="1"/>
  </si>
  <si>
    <t>実行環境を構成しているＯＳやミドルウェアなどの構成情報を収集する。</t>
    <rPh sb="0" eb="4">
      <t>ジッコウカンキョウ</t>
    </rPh>
    <rPh sb="5" eb="7">
      <t>コウセイ</t>
    </rPh>
    <rPh sb="23" eb="25">
      <t>コウセイ</t>
    </rPh>
    <rPh sb="25" eb="27">
      <t>ジョウホウ</t>
    </rPh>
    <rPh sb="28" eb="30">
      <t>シュウシュウ</t>
    </rPh>
    <phoneticPr fontId="1"/>
  </si>
  <si>
    <t>3-(3)</t>
    <phoneticPr fontId="1"/>
  </si>
  <si>
    <t>き：ア</t>
    <phoneticPr fontId="1"/>
  </si>
  <si>
    <t>く：ウ</t>
    <phoneticPr fontId="1"/>
  </si>
  <si>
    <t>3-(4)</t>
    <phoneticPr fontId="1"/>
  </si>
  <si>
    <t>け：レビュー</t>
    <phoneticPr fontId="1"/>
  </si>
  <si>
    <t>こ：第３者</t>
    <rPh sb="2" eb="3">
      <t>ダイ</t>
    </rPh>
    <rPh sb="4" eb="5">
      <t>シャ</t>
    </rPh>
    <phoneticPr fontId="1"/>
  </si>
  <si>
    <t>4</t>
    <phoneticPr fontId="1"/>
  </si>
  <si>
    <t>c:オ</t>
    <phoneticPr fontId="1"/>
  </si>
  <si>
    <t>d:ア</t>
    <phoneticPr fontId="1"/>
  </si>
  <si>
    <t>e:エ</t>
    <phoneticPr fontId="1"/>
  </si>
  <si>
    <t>f:カ</t>
    <phoneticPr fontId="1"/>
  </si>
  <si>
    <t>g:キ</t>
    <phoneticPr fontId="1"/>
  </si>
  <si>
    <t>h:ウ</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</si>
</sst>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20"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3"/>
  <sheetViews>
    <sheetView tabSelected="1" workbookViewId="0">
      <selection activeCell="K12" sqref="K12"/>
    </sheetView>
  </sheetViews>
  <sheetFormatPr defaultRowHeight="18.75"/>
  <cols>
    <col min="2" max="3" width="9" style="2"/>
  </cols>
  <sheetData>
    <row r="1" spans="1:6">
      <c r="A1" t="s">
        <v>11</v>
      </c>
      <c r="B1" s="2" t="s">
        <v>7</v>
      </c>
      <c r="C1" s="2" t="s">
        <v>8</v>
      </c>
      <c r="D1" t="s">
        <v>9</v>
      </c>
      <c r="E1" t="s">
        <v>5</v>
      </c>
      <c r="F1" t="s">
        <v>10</v>
      </c>
    </row>
    <row r="2" spans="1:6">
      <c r="A2">
        <v>1</v>
      </c>
      <c r="B2" s="2" t="s">
        <v>62</v>
      </c>
      <c r="C2" s="2" t="s">
        <v>63</v>
      </c>
      <c r="D2">
        <v>80</v>
      </c>
      <c r="E2">
        <v>100</v>
      </c>
    </row>
    <row r="3" spans="1:6">
      <c r="A3">
        <v>2</v>
      </c>
      <c r="B3" s="2" t="s">
        <v>62</v>
      </c>
      <c r="C3" s="2" t="s">
        <v>64</v>
      </c>
      <c r="D3">
        <v>65</v>
      </c>
      <c r="E3">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816D6-F648-412E-BB13-DAC6E6885DB8}">
  <sheetPr codeName="Sheet4"/>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96.875" style="1" customWidth="1"/>
    <col min="3" max="3" width="9.75" customWidth="1"/>
  </cols>
  <sheetData>
    <row r="1" spans="1:10">
      <c r="A1" s="2" t="s">
        <v>0</v>
      </c>
      <c r="B1" s="1" t="s">
        <v>12</v>
      </c>
    </row>
    <row r="2" spans="1:10">
      <c r="A2" s="2" t="s">
        <v>2</v>
      </c>
      <c r="B2" s="3" t="s">
        <v>13</v>
      </c>
      <c r="D2">
        <f>SUM(D4:D1000)</f>
        <v>80</v>
      </c>
      <c r="E2">
        <f>SUM(E4:E1000)</f>
        <v>100</v>
      </c>
    </row>
    <row r="3" spans="1:10">
      <c r="A3" s="2" t="s">
        <v>1</v>
      </c>
      <c r="B3" s="1" t="s">
        <v>3</v>
      </c>
      <c r="C3" t="s">
        <v>6</v>
      </c>
      <c r="D3" t="s">
        <v>4</v>
      </c>
      <c r="E3" t="s">
        <v>5</v>
      </c>
    </row>
    <row r="4" spans="1:10">
      <c r="A4" s="2" t="s">
        <v>30</v>
      </c>
      <c r="B4" s="1" t="s">
        <v>31</v>
      </c>
      <c r="C4">
        <f>IF(B4&lt;&gt;"",LEN(B4),"")</f>
        <v>45</v>
      </c>
      <c r="D4">
        <v>8</v>
      </c>
      <c r="E4">
        <v>8</v>
      </c>
    </row>
    <row r="5" spans="1:10">
      <c r="A5" s="2" t="s">
        <v>32</v>
      </c>
      <c r="B5" s="1" t="s">
        <v>33</v>
      </c>
      <c r="C5">
        <f t="shared" ref="C5:C68" si="0">IF(B5&lt;&gt;"",LEN(B5),"")</f>
        <v>22</v>
      </c>
      <c r="D5">
        <v>8</v>
      </c>
      <c r="E5">
        <v>8</v>
      </c>
      <c r="G5" t="s">
        <v>14</v>
      </c>
      <c r="J5" t="s">
        <v>28</v>
      </c>
    </row>
    <row r="6" spans="1:10">
      <c r="A6" s="2" t="s">
        <v>34</v>
      </c>
      <c r="B6" s="1" t="s">
        <v>35</v>
      </c>
      <c r="C6">
        <f t="shared" si="0"/>
        <v>41</v>
      </c>
      <c r="D6">
        <v>4</v>
      </c>
      <c r="E6">
        <v>8</v>
      </c>
      <c r="G6" t="s">
        <v>15</v>
      </c>
      <c r="J6" t="s">
        <v>29</v>
      </c>
    </row>
    <row r="7" spans="1:10">
      <c r="A7" s="2" t="s">
        <v>36</v>
      </c>
      <c r="B7" s="1" t="s">
        <v>37</v>
      </c>
      <c r="C7">
        <f t="shared" si="0"/>
        <v>6</v>
      </c>
      <c r="D7">
        <v>4</v>
      </c>
      <c r="E7">
        <v>4</v>
      </c>
      <c r="G7" t="s">
        <v>16</v>
      </c>
      <c r="J7" t="s">
        <v>39</v>
      </c>
    </row>
    <row r="8" spans="1:10">
      <c r="A8" s="2" t="s">
        <v>38</v>
      </c>
      <c r="B8" s="1">
        <v>9</v>
      </c>
      <c r="C8">
        <f t="shared" si="0"/>
        <v>1</v>
      </c>
      <c r="D8">
        <v>3</v>
      </c>
      <c r="E8">
        <v>3</v>
      </c>
      <c r="G8" t="s">
        <v>17</v>
      </c>
      <c r="J8" t="s">
        <v>41</v>
      </c>
    </row>
    <row r="9" spans="1:10">
      <c r="A9" s="2" t="s">
        <v>40</v>
      </c>
      <c r="B9" s="1" t="s">
        <v>42</v>
      </c>
      <c r="C9">
        <f t="shared" si="0"/>
        <v>53</v>
      </c>
      <c r="D9">
        <v>5</v>
      </c>
      <c r="E9">
        <v>10</v>
      </c>
      <c r="G9" t="s">
        <v>18</v>
      </c>
      <c r="J9" t="s">
        <v>44</v>
      </c>
    </row>
    <row r="10" spans="1:10">
      <c r="A10" s="2" t="s">
        <v>43</v>
      </c>
      <c r="B10" s="1" t="s">
        <v>45</v>
      </c>
      <c r="C10">
        <f t="shared" si="0"/>
        <v>1</v>
      </c>
      <c r="D10">
        <v>3</v>
      </c>
      <c r="E10">
        <v>3</v>
      </c>
      <c r="G10" t="s">
        <v>19</v>
      </c>
    </row>
    <row r="11" spans="1:10">
      <c r="A11" s="2" t="s">
        <v>46</v>
      </c>
      <c r="B11" s="1" t="s">
        <v>47</v>
      </c>
      <c r="C11">
        <f t="shared" si="0"/>
        <v>3</v>
      </c>
      <c r="D11">
        <v>3</v>
      </c>
      <c r="E11">
        <v>3</v>
      </c>
      <c r="G11" t="s">
        <v>20</v>
      </c>
      <c r="J11" t="s">
        <v>51</v>
      </c>
    </row>
    <row r="12" spans="1:10">
      <c r="B12" s="1" t="s">
        <v>48</v>
      </c>
      <c r="C12">
        <f t="shared" si="0"/>
        <v>3</v>
      </c>
      <c r="D12">
        <v>3</v>
      </c>
      <c r="E12">
        <v>3</v>
      </c>
      <c r="G12" t="s">
        <v>21</v>
      </c>
    </row>
    <row r="13" spans="1:10">
      <c r="B13" s="1" t="s">
        <v>49</v>
      </c>
      <c r="C13">
        <f t="shared" si="0"/>
        <v>3</v>
      </c>
      <c r="D13">
        <v>3</v>
      </c>
      <c r="E13">
        <v>3</v>
      </c>
      <c r="G13" t="s">
        <v>22</v>
      </c>
    </row>
    <row r="14" spans="1:10">
      <c r="A14" s="2" t="s">
        <v>50</v>
      </c>
      <c r="B14" s="1">
        <v>9</v>
      </c>
      <c r="C14">
        <f t="shared" si="0"/>
        <v>1</v>
      </c>
      <c r="D14">
        <v>0</v>
      </c>
      <c r="E14">
        <v>6</v>
      </c>
      <c r="G14" t="s">
        <v>23</v>
      </c>
    </row>
    <row r="15" spans="1:10" ht="37.5">
      <c r="A15" s="2" t="s">
        <v>52</v>
      </c>
      <c r="B15" s="1" t="s">
        <v>53</v>
      </c>
      <c r="C15">
        <f t="shared" si="0"/>
        <v>70</v>
      </c>
      <c r="D15">
        <v>10</v>
      </c>
      <c r="E15">
        <v>10</v>
      </c>
      <c r="G15" t="s">
        <v>24</v>
      </c>
    </row>
    <row r="16" spans="1:10">
      <c r="A16" s="2" t="s">
        <v>54</v>
      </c>
      <c r="B16" s="1" t="s">
        <v>55</v>
      </c>
      <c r="C16">
        <f t="shared" si="0"/>
        <v>41</v>
      </c>
      <c r="D16">
        <v>5</v>
      </c>
      <c r="E16">
        <v>10</v>
      </c>
      <c r="G16" t="s">
        <v>25</v>
      </c>
    </row>
    <row r="17" spans="1:7">
      <c r="B17" s="1" t="s">
        <v>56</v>
      </c>
      <c r="C17">
        <f t="shared" si="0"/>
        <v>39</v>
      </c>
      <c r="G17" t="s">
        <v>26</v>
      </c>
    </row>
    <row r="18" spans="1:7">
      <c r="A18" s="2" t="s">
        <v>57</v>
      </c>
      <c r="B18" s="1">
        <f>3*8</f>
        <v>24</v>
      </c>
      <c r="C18">
        <f t="shared" si="0"/>
        <v>2</v>
      </c>
      <c r="D18">
        <v>3</v>
      </c>
      <c r="E18">
        <v>3</v>
      </c>
      <c r="G18" t="s">
        <v>27</v>
      </c>
    </row>
    <row r="19" spans="1:7">
      <c r="A19" s="2" t="s">
        <v>58</v>
      </c>
      <c r="B19" s="1" t="s">
        <v>59</v>
      </c>
      <c r="C19">
        <f t="shared" si="0"/>
        <v>42</v>
      </c>
      <c r="D19">
        <v>10</v>
      </c>
      <c r="E19">
        <v>10</v>
      </c>
    </row>
    <row r="20" spans="1:7">
      <c r="A20" s="2" t="s">
        <v>60</v>
      </c>
      <c r="B20" s="1" t="s">
        <v>61</v>
      </c>
      <c r="C20">
        <f t="shared" si="0"/>
        <v>23</v>
      </c>
      <c r="D20">
        <v>8</v>
      </c>
      <c r="E20">
        <v>8</v>
      </c>
    </row>
    <row r="21" spans="1:7">
      <c r="C21" t="str">
        <f t="shared" si="0"/>
        <v/>
      </c>
    </row>
    <row r="22" spans="1:7">
      <c r="C22" t="str">
        <f t="shared" si="0"/>
        <v/>
      </c>
    </row>
    <row r="23" spans="1:7">
      <c r="C23" t="str">
        <f t="shared" si="0"/>
        <v/>
      </c>
    </row>
    <row r="24" spans="1:7">
      <c r="C24" t="str">
        <f t="shared" si="0"/>
        <v/>
      </c>
    </row>
    <row r="25" spans="1:7">
      <c r="C25" t="str">
        <f t="shared" si="0"/>
        <v/>
      </c>
    </row>
    <row r="26" spans="1:7">
      <c r="C26" t="str">
        <f t="shared" si="0"/>
        <v/>
      </c>
    </row>
    <row r="27" spans="1:7">
      <c r="C27" t="str">
        <f t="shared" si="0"/>
        <v/>
      </c>
    </row>
    <row r="28" spans="1:7">
      <c r="C28" t="str">
        <f t="shared" si="0"/>
        <v/>
      </c>
    </row>
    <row r="29" spans="1:7">
      <c r="C29" t="str">
        <f t="shared" si="0"/>
        <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C1939-F856-4FC4-A357-8E5B776FC0DE}">
  <sheetPr codeName="Sheet5"/>
  <dimension ref="A1:Q167"/>
  <sheetViews>
    <sheetView zoomScale="85" zoomScaleNormal="85" workbookViewId="0">
      <pane xSplit="1" ySplit="3" topLeftCell="B4" activePane="bottomRight" state="frozen"/>
      <selection pane="topRight" activeCell="B1" sqref="B1"/>
      <selection pane="bottomLeft" activeCell="A4" sqref="A4"/>
      <selection pane="bottomRight" activeCell="D33" sqref="D33"/>
    </sheetView>
  </sheetViews>
  <sheetFormatPr defaultRowHeight="18.75"/>
  <cols>
    <col min="1" max="1" width="9" style="2"/>
    <col min="2" max="2" width="96.875" style="1" customWidth="1"/>
    <col min="3" max="3" width="9.75" customWidth="1"/>
  </cols>
  <sheetData>
    <row r="1" spans="1:17">
      <c r="A1" s="2" t="s">
        <v>0</v>
      </c>
      <c r="B1" s="1" t="s">
        <v>12</v>
      </c>
    </row>
    <row r="2" spans="1:17">
      <c r="A2" s="2" t="s">
        <v>2</v>
      </c>
      <c r="B2" s="3" t="s">
        <v>65</v>
      </c>
      <c r="D2">
        <f>SUM(D4:D1000)</f>
        <v>65</v>
      </c>
      <c r="E2">
        <f>SUM(E4:E1000)</f>
        <v>100</v>
      </c>
    </row>
    <row r="3" spans="1:17">
      <c r="A3" s="2" t="s">
        <v>1</v>
      </c>
      <c r="B3" s="1" t="s">
        <v>3</v>
      </c>
      <c r="C3" t="s">
        <v>6</v>
      </c>
      <c r="D3" t="s">
        <v>4</v>
      </c>
      <c r="E3" t="s">
        <v>5</v>
      </c>
    </row>
    <row r="4" spans="1:17">
      <c r="A4" s="2" t="s">
        <v>30</v>
      </c>
      <c r="B4" s="1" t="s">
        <v>85</v>
      </c>
      <c r="C4">
        <f>IF(B4&lt;&gt;"",LEN(B4),"")</f>
        <v>43</v>
      </c>
      <c r="D4">
        <v>10</v>
      </c>
      <c r="E4">
        <v>10</v>
      </c>
    </row>
    <row r="5" spans="1:17">
      <c r="A5" s="2" t="s">
        <v>32</v>
      </c>
      <c r="B5" s="1" t="s">
        <v>88</v>
      </c>
      <c r="C5">
        <f t="shared" ref="C5:C68" si="0">IF(B5&lt;&gt;"",LEN(B5),"")</f>
        <v>3</v>
      </c>
      <c r="D5">
        <v>2</v>
      </c>
      <c r="E5">
        <v>2</v>
      </c>
      <c r="H5" t="s">
        <v>66</v>
      </c>
      <c r="J5" t="s">
        <v>70</v>
      </c>
      <c r="N5" t="s">
        <v>74</v>
      </c>
      <c r="Q5" t="s">
        <v>78</v>
      </c>
    </row>
    <row r="6" spans="1:17">
      <c r="B6" s="1" t="s">
        <v>87</v>
      </c>
      <c r="C6">
        <f t="shared" si="0"/>
        <v>3</v>
      </c>
      <c r="D6">
        <v>2</v>
      </c>
      <c r="E6">
        <v>2</v>
      </c>
      <c r="H6" t="s">
        <v>67</v>
      </c>
      <c r="J6" t="s">
        <v>71</v>
      </c>
      <c r="N6" t="s">
        <v>75</v>
      </c>
      <c r="Q6" t="s">
        <v>79</v>
      </c>
    </row>
    <row r="7" spans="1:17">
      <c r="B7" s="1" t="s">
        <v>86</v>
      </c>
      <c r="C7">
        <f t="shared" si="0"/>
        <v>3</v>
      </c>
      <c r="D7">
        <v>0</v>
      </c>
      <c r="E7">
        <v>2</v>
      </c>
      <c r="H7" t="s">
        <v>68</v>
      </c>
      <c r="J7" t="s">
        <v>72</v>
      </c>
      <c r="N7" t="s">
        <v>76</v>
      </c>
      <c r="Q7" t="s">
        <v>80</v>
      </c>
    </row>
    <row r="8" spans="1:17" ht="37.5">
      <c r="A8" s="2" t="s">
        <v>34</v>
      </c>
      <c r="B8" s="1" t="s">
        <v>89</v>
      </c>
      <c r="C8">
        <f t="shared" si="0"/>
        <v>89</v>
      </c>
      <c r="D8">
        <v>5</v>
      </c>
      <c r="E8">
        <v>10</v>
      </c>
      <c r="H8" t="s">
        <v>69</v>
      </c>
      <c r="J8" t="s">
        <v>73</v>
      </c>
      <c r="L8" t="s">
        <v>77</v>
      </c>
      <c r="Q8" t="s">
        <v>81</v>
      </c>
    </row>
    <row r="9" spans="1:17">
      <c r="A9" s="2" t="s">
        <v>90</v>
      </c>
      <c r="B9" s="4" t="s">
        <v>95</v>
      </c>
      <c r="C9">
        <f t="shared" si="0"/>
        <v>6</v>
      </c>
      <c r="D9">
        <v>0</v>
      </c>
      <c r="E9">
        <v>5</v>
      </c>
      <c r="H9" t="s">
        <v>82</v>
      </c>
      <c r="J9" t="s">
        <v>91</v>
      </c>
      <c r="L9" t="s">
        <v>94</v>
      </c>
      <c r="N9" t="s">
        <v>99</v>
      </c>
    </row>
    <row r="10" spans="1:17">
      <c r="B10" s="4" t="s">
        <v>96</v>
      </c>
      <c r="C10">
        <f t="shared" si="0"/>
        <v>9</v>
      </c>
      <c r="D10">
        <v>0</v>
      </c>
      <c r="E10">
        <v>5</v>
      </c>
      <c r="H10" t="s">
        <v>83</v>
      </c>
      <c r="J10" t="s">
        <v>92</v>
      </c>
      <c r="L10" t="s">
        <v>101</v>
      </c>
    </row>
    <row r="11" spans="1:17">
      <c r="B11" s="4" t="s">
        <v>97</v>
      </c>
      <c r="C11">
        <f t="shared" si="0"/>
        <v>8</v>
      </c>
      <c r="D11">
        <v>0</v>
      </c>
      <c r="E11">
        <v>5</v>
      </c>
      <c r="H11" t="s">
        <v>84</v>
      </c>
      <c r="J11" t="s">
        <v>93</v>
      </c>
    </row>
    <row r="12" spans="1:17">
      <c r="B12" s="4" t="s">
        <v>98</v>
      </c>
      <c r="C12">
        <f t="shared" si="0"/>
        <v>6</v>
      </c>
      <c r="D12">
        <v>0</v>
      </c>
      <c r="E12">
        <v>5</v>
      </c>
    </row>
    <row r="13" spans="1:17">
      <c r="A13" s="2" t="s">
        <v>100</v>
      </c>
      <c r="B13" s="1" t="s">
        <v>104</v>
      </c>
      <c r="C13">
        <f t="shared" si="0"/>
        <v>6</v>
      </c>
      <c r="D13">
        <v>0</v>
      </c>
      <c r="E13">
        <v>2</v>
      </c>
      <c r="H13" t="s">
        <v>112</v>
      </c>
    </row>
    <row r="14" spans="1:17">
      <c r="B14" s="1" t="s">
        <v>103</v>
      </c>
      <c r="C14">
        <f t="shared" si="0"/>
        <v>4</v>
      </c>
      <c r="D14">
        <v>0</v>
      </c>
      <c r="E14">
        <v>2</v>
      </c>
      <c r="H14" t="s">
        <v>113</v>
      </c>
    </row>
    <row r="15" spans="1:17">
      <c r="B15" s="1" t="s">
        <v>102</v>
      </c>
      <c r="C15">
        <f t="shared" si="0"/>
        <v>13</v>
      </c>
      <c r="D15">
        <v>2</v>
      </c>
      <c r="E15">
        <v>2</v>
      </c>
    </row>
    <row r="16" spans="1:17">
      <c r="A16" s="2" t="s">
        <v>105</v>
      </c>
      <c r="B16" s="1" t="s">
        <v>106</v>
      </c>
      <c r="C16">
        <f t="shared" si="0"/>
        <v>6</v>
      </c>
      <c r="D16">
        <v>2</v>
      </c>
      <c r="E16">
        <v>2</v>
      </c>
      <c r="H16" t="s">
        <v>115</v>
      </c>
    </row>
    <row r="17" spans="1:8">
      <c r="B17" s="1" t="s">
        <v>107</v>
      </c>
      <c r="C17">
        <f t="shared" si="0"/>
        <v>10</v>
      </c>
      <c r="D17">
        <v>2</v>
      </c>
      <c r="E17">
        <v>2</v>
      </c>
      <c r="H17" t="s">
        <v>116</v>
      </c>
    </row>
    <row r="18" spans="1:8">
      <c r="A18" s="2" t="s">
        <v>108</v>
      </c>
      <c r="B18" s="1" t="s">
        <v>109</v>
      </c>
      <c r="C18">
        <f t="shared" si="0"/>
        <v>3</v>
      </c>
      <c r="D18">
        <v>2</v>
      </c>
      <c r="E18">
        <v>2</v>
      </c>
    </row>
    <row r="19" spans="1:8">
      <c r="B19" s="1" t="s">
        <v>110</v>
      </c>
      <c r="C19">
        <f t="shared" si="0"/>
        <v>3</v>
      </c>
      <c r="D19">
        <v>2</v>
      </c>
      <c r="E19">
        <v>2</v>
      </c>
    </row>
    <row r="20" spans="1:8">
      <c r="B20" s="1" t="s">
        <v>111</v>
      </c>
      <c r="C20">
        <f t="shared" si="0"/>
        <v>3</v>
      </c>
      <c r="D20">
        <v>2</v>
      </c>
      <c r="E20">
        <v>2</v>
      </c>
    </row>
    <row r="21" spans="1:8">
      <c r="A21" s="2" t="s">
        <v>43</v>
      </c>
      <c r="B21" s="1" t="s">
        <v>114</v>
      </c>
      <c r="C21">
        <f t="shared" si="0"/>
        <v>3</v>
      </c>
      <c r="D21">
        <v>6</v>
      </c>
      <c r="E21">
        <v>6</v>
      </c>
    </row>
    <row r="22" spans="1:8">
      <c r="A22" s="2" t="s">
        <v>46</v>
      </c>
      <c r="B22" s="1" t="s">
        <v>117</v>
      </c>
      <c r="C22">
        <f t="shared" si="0"/>
        <v>33</v>
      </c>
      <c r="D22">
        <v>4</v>
      </c>
      <c r="E22">
        <v>8</v>
      </c>
    </row>
    <row r="23" spans="1:8">
      <c r="A23" s="2" t="s">
        <v>118</v>
      </c>
      <c r="B23" s="1" t="s">
        <v>119</v>
      </c>
      <c r="C23">
        <f t="shared" si="0"/>
        <v>3</v>
      </c>
      <c r="D23">
        <v>3</v>
      </c>
      <c r="E23">
        <v>3</v>
      </c>
    </row>
    <row r="24" spans="1:8">
      <c r="B24" s="1" t="s">
        <v>120</v>
      </c>
      <c r="C24">
        <f t="shared" si="0"/>
        <v>3</v>
      </c>
      <c r="D24">
        <v>3</v>
      </c>
      <c r="E24">
        <v>3</v>
      </c>
    </row>
    <row r="25" spans="1:8">
      <c r="A25" s="2" t="s">
        <v>121</v>
      </c>
      <c r="B25" s="1" t="s">
        <v>122</v>
      </c>
      <c r="C25">
        <f t="shared" si="0"/>
        <v>6</v>
      </c>
      <c r="D25">
        <v>3</v>
      </c>
      <c r="E25">
        <v>3</v>
      </c>
    </row>
    <row r="26" spans="1:8">
      <c r="B26" s="1" t="s">
        <v>123</v>
      </c>
      <c r="C26">
        <f t="shared" si="0"/>
        <v>5</v>
      </c>
      <c r="D26">
        <v>3</v>
      </c>
      <c r="E26">
        <v>3</v>
      </c>
    </row>
    <row r="27" spans="1:8">
      <c r="A27" s="2" t="s">
        <v>124</v>
      </c>
      <c r="B27" s="1" t="s">
        <v>125</v>
      </c>
      <c r="C27">
        <f t="shared" si="0"/>
        <v>3</v>
      </c>
      <c r="D27">
        <v>2</v>
      </c>
      <c r="E27">
        <v>2</v>
      </c>
    </row>
    <row r="28" spans="1:8">
      <c r="B28" s="1" t="s">
        <v>126</v>
      </c>
      <c r="C28">
        <f t="shared" si="0"/>
        <v>3</v>
      </c>
      <c r="D28">
        <v>2</v>
      </c>
      <c r="E28">
        <v>2</v>
      </c>
    </row>
    <row r="29" spans="1:8">
      <c r="B29" s="1" t="s">
        <v>127</v>
      </c>
      <c r="C29">
        <f t="shared" si="0"/>
        <v>3</v>
      </c>
      <c r="D29">
        <v>2</v>
      </c>
      <c r="E29">
        <v>2</v>
      </c>
    </row>
    <row r="30" spans="1:8">
      <c r="B30" s="1" t="s">
        <v>128</v>
      </c>
      <c r="C30">
        <f t="shared" si="0"/>
        <v>3</v>
      </c>
      <c r="D30">
        <v>2</v>
      </c>
      <c r="E30">
        <v>2</v>
      </c>
    </row>
    <row r="31" spans="1:8">
      <c r="B31" s="1" t="s">
        <v>129</v>
      </c>
      <c r="C31">
        <f t="shared" si="0"/>
        <v>3</v>
      </c>
      <c r="D31">
        <v>2</v>
      </c>
      <c r="E31">
        <v>2</v>
      </c>
    </row>
    <row r="32" spans="1:8">
      <c r="B32" s="1" t="s">
        <v>130</v>
      </c>
      <c r="C32">
        <f t="shared" si="0"/>
        <v>3</v>
      </c>
      <c r="D32">
        <v>2</v>
      </c>
      <c r="E32">
        <v>2</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レビュー</vt:lpstr>
      <vt:lpstr>format</vt:lpstr>
      <vt:lpstr>1</vt:lpstr>
      <vt:lpstr>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2025-01-26T02:51:40Z</dcterms:modified>
</cp:coreProperties>
</file>