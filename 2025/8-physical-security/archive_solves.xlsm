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8-physical-security\"/>
    </mc:Choice>
  </mc:AlternateContent>
  <xr:revisionPtr revIDLastSave="0" documentId="13_ncr:1_{EF5A09B9-D690-4745-AC4C-11FABF6F1247}" xr6:coauthVersionLast="47" xr6:coauthVersionMax="47" xr10:uidLastSave="{00000000-0000-0000-0000-000000000000}"/>
  <bookViews>
    <workbookView xWindow="-108" yWindow="-108" windowWidth="23256" windowHeight="14856" xr2:uid="{00000000-000D-0000-FFFF-FFFF00000000}"/>
  </bookViews>
  <sheets>
    <sheet name="レビュー" sheetId="2" r:id="rId1"/>
    <sheet name="format" sheetId="4" r:id="rId2"/>
    <sheet name="1" sheetId="5" r:id="rId3"/>
    <sheet name="2" sheetId="6" r:id="rId4"/>
    <sheet name="3" sheetId="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4" i="7" l="1"/>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<sst xmlns="http://schemas.openxmlformats.org/spreadsheetml/2006/main" count="198" uniqueCount="163">
  <si>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</si>
  <si>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</si>
  <si>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</si>
  <si>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</si>
  <si>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</si>
  <si>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</si>
  <si>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</si>
  <si>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</si>
  <si>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</si>
  <si>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</si>
  <si>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</si>
  <si>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</si>
  <si>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</si>
  <si>
    <t>重点対策</t>
    <rPh sb="0" eb="2">
      <t>ジュウテン</t>
    </rPh>
    <rPh sb="2" eb="4">
      <t>タイサク</t>
    </rPh>
    <phoneticPr fontId="1"/>
  </si>
  <si>
    <t>8-1</t>
  </si>
  <si>
    <t>8-1</t>
    <phoneticPr fontId="1"/>
  </si>
  <si>
    <t>LAN分離</t>
    <rPh sb="3" eb="5">
      <t>ブンリ</t>
    </rPh>
    <phoneticPr fontId="1"/>
  </si>
  <si>
    <t>新薬創出、ベンチャ</t>
    <rPh sb="0" eb="2">
      <t>シンヤク</t>
    </rPh>
    <rPh sb="2" eb="4">
      <t>ソウシュツ</t>
    </rPh>
    <phoneticPr fontId="1"/>
  </si>
  <si>
    <t>webプロキシ</t>
    <phoneticPr fontId="1"/>
  </si>
  <si>
    <t>更新ファイル提供サービス</t>
    <rPh sb="0" eb="2">
      <t>コウシン</t>
    </rPh>
    <rPh sb="6" eb="8">
      <t>テイキョウ</t>
    </rPh>
    <phoneticPr fontId="1"/>
  </si>
  <si>
    <t>1-(1)</t>
    <phoneticPr fontId="1"/>
  </si>
  <si>
    <t>a:ウ</t>
    <phoneticPr fontId="1"/>
  </si>
  <si>
    <t>b:イ</t>
    <phoneticPr fontId="1"/>
  </si>
  <si>
    <t>2-(2)</t>
    <phoneticPr fontId="1"/>
  </si>
  <si>
    <t>c:ア</t>
    <phoneticPr fontId="1"/>
  </si>
  <si>
    <t>d:ウ</t>
    <phoneticPr fontId="1"/>
  </si>
  <si>
    <t>1-(2)</t>
    <phoneticPr fontId="1"/>
  </si>
  <si>
    <t>2-(1)</t>
    <phoneticPr fontId="1"/>
  </si>
  <si>
    <t>FW2により通信が遮断されるため</t>
    <rPh sb="6" eb="8">
      <t>ツウシン</t>
    </rPh>
    <rPh sb="9" eb="11">
      <t>シャダン</t>
    </rPh>
    <phoneticPr fontId="1"/>
  </si>
  <si>
    <t>e:アップロード用URL</t>
    <rPh sb="8" eb="9">
      <t>ヨウ</t>
    </rPh>
    <phoneticPr fontId="1"/>
  </si>
  <si>
    <t>f:利用者ID</t>
    <rPh sb="2" eb="5">
      <t>リヨウシャ</t>
    </rPh>
    <phoneticPr fontId="1"/>
  </si>
  <si>
    <t>g:パスワード</t>
    <phoneticPr fontId="1"/>
  </si>
  <si>
    <t>アップロード時の通信を盗聴する</t>
    <rPh sb="6" eb="7">
      <t>ジ</t>
    </rPh>
    <rPh sb="8" eb="10">
      <t>ツウシン</t>
    </rPh>
    <rPh sb="11" eb="13">
      <t>トウチョウ</t>
    </rPh>
    <phoneticPr fontId="1"/>
  </si>
  <si>
    <t>2-(3)</t>
    <phoneticPr fontId="1"/>
  </si>
  <si>
    <t>一定時間内にアップロードされたファイルを、意図的にダウンロードする可能性が低いため</t>
    <rPh sb="0" eb="4">
      <t>イッテイジカン</t>
    </rPh>
    <rPh sb="4" eb="5">
      <t>ナイ</t>
    </rPh>
    <rPh sb="21" eb="24">
      <t>イトテキ</t>
    </rPh>
    <rPh sb="33" eb="36">
      <t>カノウセイ</t>
    </rPh>
    <rPh sb="37" eb="38">
      <t>ヒク</t>
    </rPh>
    <phoneticPr fontId="1"/>
  </si>
  <si>
    <t>3</t>
    <phoneticPr fontId="1"/>
  </si>
  <si>
    <t>h:高い</t>
    <rPh sb="2" eb="3">
      <t>タカ</t>
    </rPh>
    <phoneticPr fontId="1"/>
  </si>
  <si>
    <t>i：通信を遮断する機器がないため</t>
    <rPh sb="2" eb="4">
      <t>ツウシン</t>
    </rPh>
    <rPh sb="5" eb="7">
      <t>シャダン</t>
    </rPh>
    <rPh sb="9" eb="11">
      <t>キキ</t>
    </rPh>
    <phoneticPr fontId="1"/>
  </si>
  <si>
    <t>j低い</t>
    <rPh sb="1" eb="2">
      <t>ヒク</t>
    </rPh>
    <phoneticPr fontId="1"/>
  </si>
  <si>
    <t>k:FW2によって通信が遮断されるため</t>
    <rPh sb="9" eb="11">
      <t>ツウシン</t>
    </rPh>
    <rPh sb="12" eb="14">
      <t>シャダン</t>
    </rPh>
    <phoneticPr fontId="1"/>
  </si>
  <si>
    <t>4</t>
    <phoneticPr fontId="1"/>
  </si>
  <si>
    <t>上長による承認</t>
    <rPh sb="0" eb="2">
      <t>ジョウチョウ</t>
    </rPh>
    <rPh sb="5" eb="7">
      <t>ショウニン</t>
    </rPh>
    <phoneticPr fontId="1"/>
  </si>
  <si>
    <t>8-2</t>
    <phoneticPr fontId="1"/>
  </si>
  <si>
    <t>金属部品の製造会社</t>
    <rPh sb="0" eb="4">
      <t>キンゾクブヒン</t>
    </rPh>
    <rPh sb="5" eb="9">
      <t>セイゾウカイシャ</t>
    </rPh>
    <phoneticPr fontId="1"/>
  </si>
  <si>
    <t>A-NET</t>
    <phoneticPr fontId="1"/>
  </si>
  <si>
    <t>３か所向上</t>
    <rPh sb="2" eb="3">
      <t>ショ</t>
    </rPh>
    <rPh sb="3" eb="5">
      <t>コウジョウ</t>
    </rPh>
    <phoneticPr fontId="1"/>
  </si>
  <si>
    <t>標準PCシステム管理</t>
    <rPh sb="0" eb="2">
      <t>ヒョウジュン</t>
    </rPh>
    <rPh sb="8" eb="10">
      <t>カンリ</t>
    </rPh>
    <phoneticPr fontId="1"/>
  </si>
  <si>
    <t>パッチ</t>
    <phoneticPr fontId="1"/>
  </si>
  <si>
    <t>標準以外のPCもOK</t>
    <rPh sb="0" eb="2">
      <t>ヒョウジュン</t>
    </rPh>
    <rPh sb="2" eb="4">
      <t>イガイ</t>
    </rPh>
    <phoneticPr fontId="1"/>
  </si>
  <si>
    <t>CADツール</t>
    <phoneticPr fontId="1"/>
  </si>
  <si>
    <t>A社内で標準的に使われているブラウザを示すUser-Agentであった場合。</t>
    <rPh sb="1" eb="3">
      <t>シャナイ</t>
    </rPh>
    <rPh sb="4" eb="6">
      <t>ヒョウジュン</t>
    </rPh>
    <rPh sb="6" eb="7">
      <t>テキ</t>
    </rPh>
    <rPh sb="8" eb="9">
      <t>ツカ</t>
    </rPh>
    <rPh sb="19" eb="20">
      <t>シメ</t>
    </rPh>
    <rPh sb="35" eb="37">
      <t>バアイ</t>
    </rPh>
    <phoneticPr fontId="1"/>
  </si>
  <si>
    <t>a:エ</t>
    <phoneticPr fontId="1"/>
  </si>
  <si>
    <t>1-(3)</t>
    <phoneticPr fontId="1"/>
  </si>
  <si>
    <t>ファイルTの検知ツール</t>
    <rPh sb="6" eb="8">
      <t>ケンチ</t>
    </rPh>
    <phoneticPr fontId="1"/>
  </si>
  <si>
    <t>b:ア</t>
    <phoneticPr fontId="1"/>
  </si>
  <si>
    <t>1-(4)</t>
    <phoneticPr fontId="1"/>
  </si>
  <si>
    <t>サイトU</t>
    <phoneticPr fontId="1"/>
  </si>
  <si>
    <t>ぷろじぇくとW</t>
    <phoneticPr fontId="1"/>
  </si>
  <si>
    <t>セキュリティの対策を行う</t>
    <rPh sb="7" eb="9">
      <t>タイサク</t>
    </rPh>
    <rPh sb="10" eb="11">
      <t>オコナ</t>
    </rPh>
    <phoneticPr fontId="1"/>
  </si>
  <si>
    <t>APT</t>
    <phoneticPr fontId="1"/>
  </si>
  <si>
    <t>d:カ</t>
    <phoneticPr fontId="1"/>
  </si>
  <si>
    <t>e:キ</t>
    <phoneticPr fontId="1"/>
  </si>
  <si>
    <t>f:オ</t>
    <phoneticPr fontId="1"/>
  </si>
  <si>
    <t>a:1</t>
    <phoneticPr fontId="1"/>
  </si>
  <si>
    <t>b:7</t>
    <phoneticPr fontId="1"/>
  </si>
  <si>
    <t>c:3</t>
    <phoneticPr fontId="1"/>
  </si>
  <si>
    <t>向上</t>
    <rPh sb="0" eb="2">
      <t>コウジョウ</t>
    </rPh>
    <phoneticPr fontId="1"/>
  </si>
  <si>
    <t>AP,FA端末</t>
    <rPh sb="5" eb="7">
      <t>タンマツ</t>
    </rPh>
    <phoneticPr fontId="1"/>
  </si>
  <si>
    <t>APは標準PC</t>
    <rPh sb="3" eb="5">
      <t>ヒョウジュン</t>
    </rPh>
    <phoneticPr fontId="1"/>
  </si>
  <si>
    <t>MACで制限</t>
    <rPh sb="4" eb="6">
      <t>セイゲン</t>
    </rPh>
    <phoneticPr fontId="1"/>
  </si>
  <si>
    <t>g: 通信を盗聴</t>
    <rPh sb="3" eb="5">
      <t>ツウシン</t>
    </rPh>
    <rPh sb="6" eb="8">
      <t>トウチョウ</t>
    </rPh>
    <phoneticPr fontId="1"/>
  </si>
  <si>
    <t>h: MACアドレス</t>
    <phoneticPr fontId="1"/>
  </si>
  <si>
    <t>清算データを登録、印刷</t>
    <rPh sb="0" eb="2">
      <t>セイサン</t>
    </rPh>
    <rPh sb="6" eb="8">
      <t>トウロク</t>
    </rPh>
    <rPh sb="9" eb="11">
      <t>インサツ</t>
    </rPh>
    <phoneticPr fontId="1"/>
  </si>
  <si>
    <t>FA端末のメンテは月に数回、AーNET経由</t>
    <rPh sb="2" eb="4">
      <t>タンマツ</t>
    </rPh>
    <rPh sb="9" eb="10">
      <t>ツキ</t>
    </rPh>
    <rPh sb="11" eb="13">
      <t>スウカイ</t>
    </rPh>
    <rPh sb="19" eb="21">
      <t>ケイユ</t>
    </rPh>
    <phoneticPr fontId="1"/>
  </si>
  <si>
    <t>ねっとわーく構成を見直す</t>
    <rPh sb="6" eb="8">
      <t>コウセイ</t>
    </rPh>
    <rPh sb="9" eb="11">
      <t>ミナオ</t>
    </rPh>
    <phoneticPr fontId="1"/>
  </si>
  <si>
    <t>データダイオードは片方向の転送のみ</t>
    <rPh sb="9" eb="12">
      <t>カタホウコウ</t>
    </rPh>
    <rPh sb="13" eb="15">
      <t>テンソウ</t>
    </rPh>
    <phoneticPr fontId="1"/>
  </si>
  <si>
    <t>Internetからの攻撃者の指示を遮断する</t>
    <rPh sb="11" eb="14">
      <t>コウゲキシャ</t>
    </rPh>
    <rPh sb="15" eb="17">
      <t>シジ</t>
    </rPh>
    <rPh sb="18" eb="20">
      <t>シャダン</t>
    </rPh>
    <phoneticPr fontId="1"/>
  </si>
  <si>
    <t>4-(1)</t>
    <phoneticPr fontId="1"/>
  </si>
  <si>
    <t>4-(2)</t>
    <phoneticPr fontId="1"/>
  </si>
  <si>
    <t>i:イ</t>
    <phoneticPr fontId="1"/>
  </si>
  <si>
    <t>j:ウ</t>
    <phoneticPr fontId="1"/>
  </si>
  <si>
    <t>k:ア</t>
    <phoneticPr fontId="1"/>
  </si>
  <si>
    <t>4-(3)</t>
    <phoneticPr fontId="1"/>
  </si>
  <si>
    <t>USBメモリをマルウェア対策ソフトでスキャンする</t>
    <rPh sb="12" eb="14">
      <t>タイサク</t>
    </rPh>
    <phoneticPr fontId="1"/>
  </si>
  <si>
    <t>5-(1)</t>
    <phoneticPr fontId="1"/>
  </si>
  <si>
    <t>認証SVは事務と怨嗟</t>
    <rPh sb="0" eb="2">
      <t>ニンショウ</t>
    </rPh>
    <rPh sb="5" eb="7">
      <t>ジム</t>
    </rPh>
    <rPh sb="8" eb="10">
      <t>エンサ</t>
    </rPh>
    <phoneticPr fontId="1"/>
  </si>
  <si>
    <t>事務用LAN:い</t>
    <rPh sb="0" eb="3">
      <t>ジムヨウ</t>
    </rPh>
    <phoneticPr fontId="1"/>
  </si>
  <si>
    <t>センサLAN:か</t>
    <phoneticPr fontId="1"/>
  </si>
  <si>
    <t>図5は図4に比べて優れている</t>
    <rPh sb="0" eb="1">
      <t>ズ</t>
    </rPh>
    <rPh sb="3" eb="4">
      <t>ズ</t>
    </rPh>
    <rPh sb="6" eb="7">
      <t>クラ</t>
    </rPh>
    <rPh sb="9" eb="10">
      <t>スグ</t>
    </rPh>
    <phoneticPr fontId="1"/>
  </si>
  <si>
    <t>設備停止がないようにする</t>
    <rPh sb="0" eb="2">
      <t>セツビ</t>
    </rPh>
    <rPh sb="2" eb="4">
      <t>テイシ</t>
    </rPh>
    <phoneticPr fontId="1"/>
  </si>
  <si>
    <t>5-(2)</t>
    <phoneticPr fontId="1"/>
  </si>
  <si>
    <t>Internetからの不正な操作があっても、F-Netに直接通信ができず、生産設備関係の端末への攻撃を抑制出来る。</t>
    <rPh sb="11" eb="13">
      <t>フセイ</t>
    </rPh>
    <rPh sb="14" eb="16">
      <t>ソウサ</t>
    </rPh>
    <rPh sb="28" eb="30">
      <t>チョクセツ</t>
    </rPh>
    <rPh sb="30" eb="32">
      <t>ツウシン</t>
    </rPh>
    <rPh sb="37" eb="39">
      <t>セイサン</t>
    </rPh>
    <rPh sb="39" eb="41">
      <t>セツビ</t>
    </rPh>
    <rPh sb="41" eb="43">
      <t>カンケイ</t>
    </rPh>
    <rPh sb="44" eb="46">
      <t>タンマツ</t>
    </rPh>
    <rPh sb="48" eb="50">
      <t>コウゲキ</t>
    </rPh>
    <rPh sb="51" eb="53">
      <t>ヨクセイ</t>
    </rPh>
    <rPh sb="53" eb="55">
      <t>デキ</t>
    </rPh>
    <phoneticPr fontId="1"/>
  </si>
  <si>
    <t>6-(1)</t>
    <phoneticPr fontId="1"/>
  </si>
  <si>
    <t>イ</t>
    <phoneticPr fontId="1"/>
  </si>
  <si>
    <t>6-(2)</t>
    <phoneticPr fontId="1"/>
  </si>
  <si>
    <t>業務用ソフトのバージョン情報を収集する</t>
    <rPh sb="0" eb="2">
      <t>ギョウム</t>
    </rPh>
    <rPh sb="2" eb="3">
      <t>ヨウ</t>
    </rPh>
    <rPh sb="12" eb="14">
      <t>ジョウホウ</t>
    </rPh>
    <rPh sb="15" eb="17">
      <t>シュウシュウ</t>
    </rPh>
    <phoneticPr fontId="1"/>
  </si>
  <si>
    <t>業務ソフトの脆弱性管理と修正パッチの適用を行う</t>
    <rPh sb="0" eb="2">
      <t>ギョウム</t>
    </rPh>
    <rPh sb="6" eb="9">
      <t>ゼイジャクセイ</t>
    </rPh>
    <rPh sb="9" eb="11">
      <t>カンリ</t>
    </rPh>
    <rPh sb="12" eb="14">
      <t>シュウセイ</t>
    </rPh>
    <rPh sb="18" eb="20">
      <t>テキヨウ</t>
    </rPh>
    <rPh sb="21" eb="22">
      <t>オコナ</t>
    </rPh>
    <phoneticPr fontId="1"/>
  </si>
  <si>
    <t>7-(1)</t>
    <phoneticPr fontId="1"/>
  </si>
  <si>
    <t>図4:工場LANエ</t>
    <rPh sb="0" eb="1">
      <t>ズ</t>
    </rPh>
    <rPh sb="3" eb="5">
      <t>コウジョウ</t>
    </rPh>
    <phoneticPr fontId="1"/>
  </si>
  <si>
    <t>図4:標準PCエ</t>
    <rPh sb="0" eb="1">
      <t>ズ</t>
    </rPh>
    <rPh sb="3" eb="5">
      <t>ヒョウジュン</t>
    </rPh>
    <phoneticPr fontId="1"/>
  </si>
  <si>
    <t>図4:FAア</t>
    <rPh sb="0" eb="1">
      <t>ズ</t>
    </rPh>
    <phoneticPr fontId="1"/>
  </si>
  <si>
    <t>図5:事務LANエ</t>
    <rPh sb="0" eb="1">
      <t>ズ</t>
    </rPh>
    <rPh sb="3" eb="5">
      <t>ジム</t>
    </rPh>
    <phoneticPr fontId="1"/>
  </si>
  <si>
    <t>図5:F-NETア</t>
    <rPh sb="0" eb="1">
      <t>ズ</t>
    </rPh>
    <phoneticPr fontId="1"/>
  </si>
  <si>
    <t>図5:センサNETア</t>
    <rPh sb="0" eb="1">
      <t>ズ</t>
    </rPh>
    <phoneticPr fontId="1"/>
  </si>
  <si>
    <t>図5:標準PCエ</t>
    <rPh sb="0" eb="1">
      <t>ズ</t>
    </rPh>
    <rPh sb="3" eb="5">
      <t>ヒョウジュン</t>
    </rPh>
    <phoneticPr fontId="1"/>
  </si>
  <si>
    <t>図5:FA端末ア</t>
    <rPh sb="0" eb="1">
      <t>ズ</t>
    </rPh>
    <rPh sb="5" eb="7">
      <t>タンマツ</t>
    </rPh>
    <phoneticPr fontId="1"/>
  </si>
  <si>
    <t>7-(2)</t>
    <phoneticPr fontId="1"/>
  </si>
  <si>
    <t>A-NET接続のため実施したアセスメント</t>
    <rPh sb="5" eb="7">
      <t>セツゾク</t>
    </rPh>
    <rPh sb="10" eb="12">
      <t>ジッシ</t>
    </rPh>
    <phoneticPr fontId="1"/>
  </si>
  <si>
    <t>管理・維持のための定めた措置</t>
    <rPh sb="0" eb="2">
      <t>カンリ</t>
    </rPh>
    <rPh sb="3" eb="5">
      <t>イジ</t>
    </rPh>
    <rPh sb="9" eb="10">
      <t>サダ</t>
    </rPh>
    <rPh sb="12" eb="14">
      <t>ソチ</t>
    </rPh>
    <phoneticPr fontId="1"/>
  </si>
  <si>
    <t>8-2</t>
  </si>
  <si>
    <t>極選</t>
    <rPh sb="0" eb="1">
      <t>キワ</t>
    </rPh>
    <rPh sb="1" eb="2">
      <t>エラ</t>
    </rPh>
    <phoneticPr fontId="1"/>
  </si>
  <si>
    <t>10-2</t>
    <phoneticPr fontId="1"/>
  </si>
  <si>
    <t>Cヘルスケア</t>
    <phoneticPr fontId="1"/>
  </si>
  <si>
    <t>パイロット事業</t>
    <rPh sb="5" eb="7">
      <t>ジギョウ</t>
    </rPh>
    <phoneticPr fontId="1"/>
  </si>
  <si>
    <t>プロキシ経由で外部</t>
    <rPh sb="4" eb="6">
      <t>ケイユ</t>
    </rPh>
    <rPh sb="7" eb="9">
      <t>ガイブ</t>
    </rPh>
    <phoneticPr fontId="1"/>
  </si>
  <si>
    <t>NPC</t>
    <phoneticPr fontId="1"/>
  </si>
  <si>
    <t>郵船LAN以外に無線あり</t>
    <rPh sb="0" eb="2">
      <t>ユウセン</t>
    </rPh>
    <rPh sb="5" eb="7">
      <t>イガイ</t>
    </rPh>
    <rPh sb="8" eb="10">
      <t>ムセン</t>
    </rPh>
    <phoneticPr fontId="1"/>
  </si>
  <si>
    <t>取引先なりすまし</t>
    <rPh sb="0" eb="3">
      <t>トリヒキサキ</t>
    </rPh>
    <phoneticPr fontId="1"/>
  </si>
  <si>
    <t>不特定PCにばらまき</t>
    <rPh sb="0" eb="3">
      <t>フトクテイ</t>
    </rPh>
    <phoneticPr fontId="1"/>
  </si>
  <si>
    <t>ZIPで自動実行</t>
    <rPh sb="4" eb="8">
      <t>ジドウジッコウ</t>
    </rPh>
    <phoneticPr fontId="1"/>
  </si>
  <si>
    <t>Uはインジェクション</t>
    <phoneticPr fontId="1"/>
  </si>
  <si>
    <t>CSRF</t>
    <phoneticPr fontId="1"/>
  </si>
  <si>
    <t>通信に介入する攻撃はＭＩＴＢ</t>
    <rPh sb="0" eb="2">
      <t>ツウシン</t>
    </rPh>
    <rPh sb="3" eb="5">
      <t>カイニュウ</t>
    </rPh>
    <rPh sb="7" eb="9">
      <t>コウゲキ</t>
    </rPh>
    <phoneticPr fontId="1"/>
  </si>
  <si>
    <t>ばらまきメール</t>
    <phoneticPr fontId="1"/>
  </si>
  <si>
    <t>PCのメモリをダンプする</t>
    <phoneticPr fontId="1"/>
  </si>
  <si>
    <t>駆除ツールで駆除しきれていない可能性があるため</t>
    <rPh sb="0" eb="2">
      <t>クジョ</t>
    </rPh>
    <rPh sb="6" eb="8">
      <t>クジョ</t>
    </rPh>
    <rPh sb="15" eb="18">
      <t>カノウセイ</t>
    </rPh>
    <phoneticPr fontId="1"/>
  </si>
  <si>
    <t>マルウェア対策の見直し</t>
    <rPh sb="5" eb="7">
      <t>タイサク</t>
    </rPh>
    <rPh sb="8" eb="10">
      <t>ミナオ</t>
    </rPh>
    <phoneticPr fontId="1"/>
  </si>
  <si>
    <t>パイロット事業を考慮</t>
    <rPh sb="5" eb="7">
      <t>ジギョウ</t>
    </rPh>
    <rPh sb="8" eb="10">
      <t>コウリョ</t>
    </rPh>
    <phoneticPr fontId="1"/>
  </si>
  <si>
    <t>スマホ</t>
    <phoneticPr fontId="1"/>
  </si>
  <si>
    <t>標的型攻撃メールは巧妙に作成されているため、より意識が必要なため。</t>
    <rPh sb="0" eb="2">
      <t>ヒョウテキ</t>
    </rPh>
    <rPh sb="2" eb="3">
      <t>カタ</t>
    </rPh>
    <rPh sb="3" eb="5">
      <t>コウゲキ</t>
    </rPh>
    <rPh sb="9" eb="11">
      <t>コウミョウ</t>
    </rPh>
    <rPh sb="12" eb="14">
      <t>サクセイ</t>
    </rPh>
    <rPh sb="24" eb="26">
      <t>イシキ</t>
    </rPh>
    <rPh sb="27" eb="29">
      <t>ヒツヨウ</t>
    </rPh>
    <phoneticPr fontId="1"/>
  </si>
  <si>
    <t>標的型攻撃メールの実際を事例として理解できるため。</t>
    <rPh sb="0" eb="3">
      <t>ヒョウテキカタ</t>
    </rPh>
    <rPh sb="3" eb="5">
      <t>コウゲキ</t>
    </rPh>
    <rPh sb="9" eb="11">
      <t>ジッサイ</t>
    </rPh>
    <rPh sb="12" eb="14">
      <t>ジレイ</t>
    </rPh>
    <rPh sb="17" eb="19">
      <t>リカイ</t>
    </rPh>
    <phoneticPr fontId="1"/>
  </si>
  <si>
    <t>3-(1)</t>
    <phoneticPr fontId="1"/>
  </si>
  <si>
    <t>PCに感染</t>
    <rPh sb="3" eb="5">
      <t>カンセン</t>
    </rPh>
    <phoneticPr fontId="1"/>
  </si>
  <si>
    <t>すべてのファイルを暗号化</t>
    <rPh sb="9" eb="12">
      <t>アンゴウカ</t>
    </rPh>
    <phoneticPr fontId="1"/>
  </si>
  <si>
    <t>a: ウ</t>
    <phoneticPr fontId="1"/>
  </si>
  <si>
    <t>b: ク</t>
    <phoneticPr fontId="1"/>
  </si>
  <si>
    <t>3-(2)</t>
    <phoneticPr fontId="1"/>
  </si>
  <si>
    <t>感染した場合の対策</t>
    <rPh sb="0" eb="2">
      <t>カンセン</t>
    </rPh>
    <rPh sb="4" eb="6">
      <t>バアイ</t>
    </rPh>
    <rPh sb="7" eb="9">
      <t>タイサク</t>
    </rPh>
    <phoneticPr fontId="1"/>
  </si>
  <si>
    <t>会社の機密情報は暗号化して保存する</t>
    <rPh sb="0" eb="2">
      <t>カイシャ</t>
    </rPh>
    <rPh sb="3" eb="7">
      <t>キミツジョウホウ</t>
    </rPh>
    <rPh sb="8" eb="11">
      <t>アンゴウカ</t>
    </rPh>
    <rPh sb="13" eb="15">
      <t>ホゾン</t>
    </rPh>
    <phoneticPr fontId="1"/>
  </si>
  <si>
    <t>可用性の高いデータはバックアップしておく</t>
    <rPh sb="0" eb="3">
      <t>カヨウセイ</t>
    </rPh>
    <rPh sb="4" eb="5">
      <t>タカ</t>
    </rPh>
    <phoneticPr fontId="1"/>
  </si>
  <si>
    <t>3-(3)</t>
    <phoneticPr fontId="1"/>
  </si>
  <si>
    <t>NPC</t>
    <phoneticPr fontId="1"/>
  </si>
  <si>
    <t>代替用のPCを用意しておく</t>
    <rPh sb="0" eb="2">
      <t>ダイタイ</t>
    </rPh>
    <rPh sb="2" eb="3">
      <t>ヨウ</t>
    </rPh>
    <rPh sb="7" eb="9">
      <t>ヨウイ</t>
    </rPh>
    <phoneticPr fontId="1"/>
  </si>
  <si>
    <t>不正アプリ対策の検討</t>
    <rPh sb="0" eb="2">
      <t>フセイ</t>
    </rPh>
    <rPh sb="5" eb="7">
      <t>タイサク</t>
    </rPh>
    <rPh sb="8" eb="10">
      <t>ケントウ</t>
    </rPh>
    <phoneticPr fontId="1"/>
  </si>
  <si>
    <t>A</t>
    <phoneticPr fontId="1"/>
  </si>
  <si>
    <t>4-(1)</t>
    <phoneticPr fontId="1"/>
  </si>
  <si>
    <t>エ</t>
    <phoneticPr fontId="1"/>
  </si>
  <si>
    <t>4-(2)</t>
    <phoneticPr fontId="1"/>
  </si>
  <si>
    <t>OSの脆弱性に対する対策を行うことでマルウェア感染による権限昇格のリスクを低減できるため。</t>
    <rPh sb="3" eb="6">
      <t>ゼイジャクセイ</t>
    </rPh>
    <rPh sb="7" eb="8">
      <t>タイ</t>
    </rPh>
    <rPh sb="10" eb="12">
      <t>タイサク</t>
    </rPh>
    <rPh sb="13" eb="14">
      <t>オコナ</t>
    </rPh>
    <rPh sb="23" eb="25">
      <t>カンセン</t>
    </rPh>
    <rPh sb="28" eb="32">
      <t>ケンゲンショウカク</t>
    </rPh>
    <rPh sb="37" eb="39">
      <t>テイゲン</t>
    </rPh>
    <phoneticPr fontId="1"/>
  </si>
  <si>
    <t>5-(1)</t>
    <phoneticPr fontId="1"/>
  </si>
  <si>
    <t>5-(2)</t>
    <phoneticPr fontId="1"/>
  </si>
  <si>
    <t>社内に侵入したマルウェアから接続を試みる可能性があるため。</t>
    <rPh sb="0" eb="2">
      <t>シャナイ</t>
    </rPh>
    <rPh sb="3" eb="5">
      <t>シンニュウ</t>
    </rPh>
    <rPh sb="14" eb="16">
      <t>セツゾク</t>
    </rPh>
    <rPh sb="17" eb="18">
      <t>ココロ</t>
    </rPh>
    <rPh sb="20" eb="23">
      <t>カノウセイ</t>
    </rPh>
    <phoneticPr fontId="1"/>
  </si>
  <si>
    <t>5-(3)</t>
    <phoneticPr fontId="1"/>
  </si>
  <si>
    <t>d: ネットワークから切断する</t>
    <rPh sb="11" eb="13">
      <t>セツダン</t>
    </rPh>
    <phoneticPr fontId="1"/>
  </si>
  <si>
    <t>e: PCを再起動する</t>
    <rPh sb="6" eb="9">
      <t>サイキドウ</t>
    </rPh>
    <phoneticPr fontId="1"/>
  </si>
  <si>
    <t>f: パスワードを変更する</t>
    <rPh sb="9" eb="11">
      <t>ヘンコウ</t>
    </rPh>
    <phoneticPr fontId="1"/>
  </si>
  <si>
    <t>6-(1)</t>
    <phoneticPr fontId="1"/>
  </si>
  <si>
    <t>3, 5</t>
    <phoneticPr fontId="1"/>
  </si>
  <si>
    <t>6-(2)</t>
    <phoneticPr fontId="1"/>
  </si>
  <si>
    <t>水飲み場攻撃</t>
    <rPh sb="0" eb="2">
      <t>ミズノ</t>
    </rPh>
    <rPh sb="3" eb="4">
      <t>バ</t>
    </rPh>
    <rPh sb="4" eb="6">
      <t>コウゲキ</t>
    </rPh>
    <phoneticPr fontId="1"/>
  </si>
  <si>
    <t>多層防御によってセキュリティを高めるため。</t>
    <rPh sb="0" eb="4">
      <t>タソウボウギョ</t>
    </rPh>
    <rPh sb="15" eb="16">
      <t>タカ</t>
    </rPh>
    <phoneticPr fontId="1"/>
  </si>
  <si>
    <t>極選</t>
  </si>
  <si>
    <t>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</si>
</sst>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20"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tabSelected="1" topLeftCell="C1" workbookViewId="0">
      <selection activeCell="J13" sqref="J13"/>
    </sheetView>
  </sheetViews>
  <sheetFormatPr defaultRowHeight="18"/>
  <cols>
    <col min="2" max="3" width="9" style="2"/>
  </cols>
  <sheetData>
    <row r="1" spans="1:6">
      <c r="A1" t="s">
        <v>11</v>
      </c>
      <c r="B1" s="2" t="s">
        <v>7</v>
      </c>
      <c r="C1" s="2" t="s">
        <v>8</v>
      </c>
      <c r="D1" t="s">
        <v>9</v>
      </c>
      <c r="E1" t="s">
        <v>5</v>
      </c>
      <c r="F1" t="s">
        <v>10</v>
      </c>
    </row>
    <row r="2" spans="1:6">
      <c r="A2">
        <v>1</v>
      </c>
      <c r="B2" s="2" t="s">
        <v>12</v>
      </c>
      <c r="C2" s="2" t="s">
        <v>14</v>
      </c>
      <c r="D2">
        <v>48</v>
      </c>
      <c r="E2">
        <v>50</v>
      </c>
    </row>
    <row r="3" spans="1:6">
      <c r="A3">
        <v>2</v>
      </c>
      <c r="B3" s="2" t="s">
        <v>12</v>
      </c>
      <c r="C3" s="2" t="s">
        <v>109</v>
      </c>
      <c r="D3">
        <v>87</v>
      </c>
      <c r="E3">
        <v>100</v>
      </c>
    </row>
    <row r="4" spans="1:6">
      <c r="A4">
        <v>3</v>
      </c>
      <c r="B4" s="2" t="s">
        <v>161</v>
      </c>
      <c r="C4" s="2" t="s">
        <v>162</v>
      </c>
      <c r="D4">
        <v>84</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91F1C-48F7-4728-883E-283A8DD96971}">
  <sheetPr codeName="Sheet4"/>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96.8984375" style="1" customWidth="1"/>
    <col min="3" max="3" width="9.69921875" customWidth="1"/>
  </cols>
  <sheetData>
    <row r="1" spans="1:7">
      <c r="A1" s="2" t="s">
        <v>0</v>
      </c>
      <c r="B1" s="1" t="s">
        <v>13</v>
      </c>
    </row>
    <row r="2" spans="1:7">
      <c r="A2" s="2" t="s">
        <v>2</v>
      </c>
      <c r="B2" s="3" t="s">
        <v>15</v>
      </c>
      <c r="D2">
        <f>SUM(D4:D1000)</f>
        <v>48</v>
      </c>
      <c r="E2">
        <f>SUM(E4:E1000)</f>
        <v>50</v>
      </c>
    </row>
    <row r="3" spans="1:7">
      <c r="A3" s="2" t="s">
        <v>1</v>
      </c>
      <c r="B3" s="1" t="s">
        <v>3</v>
      </c>
      <c r="C3" t="s">
        <v>6</v>
      </c>
      <c r="D3" t="s">
        <v>4</v>
      </c>
      <c r="E3" t="s">
        <v>5</v>
      </c>
    </row>
    <row r="4" spans="1:7">
      <c r="A4" s="2" t="s">
        <v>20</v>
      </c>
      <c r="B4" s="1" t="s">
        <v>21</v>
      </c>
      <c r="C4">
        <f>IF(B4&lt;&gt;"",LEN(B4),"")</f>
        <v>3</v>
      </c>
      <c r="D4">
        <v>2</v>
      </c>
      <c r="E4">
        <v>2</v>
      </c>
      <c r="G4" t="s">
        <v>16</v>
      </c>
    </row>
    <row r="5" spans="1:7">
      <c r="B5" s="1" t="s">
        <v>22</v>
      </c>
      <c r="C5">
        <f t="shared" ref="C5:C68" si="0">IF(B5&lt;&gt;"",LEN(B5),"")</f>
        <v>3</v>
      </c>
      <c r="D5">
        <v>0</v>
      </c>
      <c r="E5">
        <v>2</v>
      </c>
      <c r="G5" t="s">
        <v>17</v>
      </c>
    </row>
    <row r="6" spans="1:7">
      <c r="A6" s="2" t="s">
        <v>26</v>
      </c>
      <c r="B6" s="1" t="s">
        <v>24</v>
      </c>
      <c r="C6">
        <f t="shared" si="0"/>
        <v>3</v>
      </c>
      <c r="D6">
        <v>2</v>
      </c>
      <c r="E6">
        <v>2</v>
      </c>
      <c r="G6" t="s">
        <v>18</v>
      </c>
    </row>
    <row r="7" spans="1:7">
      <c r="B7" s="1" t="s">
        <v>25</v>
      </c>
      <c r="C7">
        <f t="shared" si="0"/>
        <v>3</v>
      </c>
      <c r="D7">
        <v>2</v>
      </c>
      <c r="E7">
        <v>2</v>
      </c>
      <c r="G7" t="s">
        <v>19</v>
      </c>
    </row>
    <row r="8" spans="1:7">
      <c r="A8" s="2" t="s">
        <v>27</v>
      </c>
      <c r="B8" s="1" t="s">
        <v>28</v>
      </c>
      <c r="C8">
        <f t="shared" si="0"/>
        <v>16</v>
      </c>
      <c r="D8">
        <v>6</v>
      </c>
      <c r="E8">
        <v>6</v>
      </c>
    </row>
    <row r="9" spans="1:7">
      <c r="A9" s="2" t="s">
        <v>23</v>
      </c>
      <c r="B9" s="1" t="s">
        <v>29</v>
      </c>
      <c r="C9">
        <f t="shared" si="0"/>
        <v>12</v>
      </c>
      <c r="D9">
        <v>2</v>
      </c>
      <c r="E9">
        <v>2</v>
      </c>
    </row>
    <row r="10" spans="1:7">
      <c r="B10" s="1" t="s">
        <v>30</v>
      </c>
      <c r="C10">
        <f t="shared" si="0"/>
        <v>7</v>
      </c>
      <c r="D10">
        <v>2</v>
      </c>
      <c r="E10">
        <v>2</v>
      </c>
    </row>
    <row r="11" spans="1:7">
      <c r="B11" s="1" t="s">
        <v>31</v>
      </c>
      <c r="C11">
        <f t="shared" si="0"/>
        <v>7</v>
      </c>
      <c r="D11">
        <v>2</v>
      </c>
      <c r="E11">
        <v>2</v>
      </c>
    </row>
    <row r="12" spans="1:7">
      <c r="B12" s="1" t="s">
        <v>32</v>
      </c>
      <c r="C12">
        <f t="shared" si="0"/>
        <v>15</v>
      </c>
      <c r="D12">
        <v>6</v>
      </c>
      <c r="E12">
        <v>6</v>
      </c>
    </row>
    <row r="13" spans="1:7">
      <c r="A13" s="2" t="s">
        <v>33</v>
      </c>
      <c r="B13" s="1" t="s">
        <v>34</v>
      </c>
      <c r="C13">
        <f t="shared" si="0"/>
        <v>41</v>
      </c>
      <c r="D13">
        <v>6</v>
      </c>
      <c r="E13">
        <v>6</v>
      </c>
    </row>
    <row r="14" spans="1:7">
      <c r="A14" s="2" t="s">
        <v>35</v>
      </c>
      <c r="B14" s="1" t="s">
        <v>36</v>
      </c>
      <c r="C14">
        <f t="shared" si="0"/>
        <v>4</v>
      </c>
      <c r="D14">
        <v>2</v>
      </c>
      <c r="E14">
        <v>2</v>
      </c>
    </row>
    <row r="15" spans="1:7">
      <c r="B15" s="1" t="s">
        <v>37</v>
      </c>
      <c r="C15">
        <f t="shared" si="0"/>
        <v>16</v>
      </c>
      <c r="D15">
        <v>4</v>
      </c>
      <c r="E15">
        <v>4</v>
      </c>
    </row>
    <row r="16" spans="1:7">
      <c r="B16" s="1" t="s">
        <v>38</v>
      </c>
      <c r="C16">
        <f t="shared" si="0"/>
        <v>3</v>
      </c>
      <c r="D16">
        <v>2</v>
      </c>
      <c r="E16">
        <v>2</v>
      </c>
    </row>
    <row r="17" spans="1:5">
      <c r="B17" s="1" t="s">
        <v>39</v>
      </c>
      <c r="C17">
        <f t="shared" si="0"/>
        <v>19</v>
      </c>
      <c r="D17">
        <v>4</v>
      </c>
      <c r="E17">
        <v>4</v>
      </c>
    </row>
    <row r="18" spans="1:5">
      <c r="A18" s="2" t="s">
        <v>40</v>
      </c>
      <c r="B18" s="1" t="s">
        <v>41</v>
      </c>
      <c r="C18">
        <f t="shared" si="0"/>
        <v>7</v>
      </c>
      <c r="D18">
        <v>6</v>
      </c>
      <c r="E18">
        <v>6</v>
      </c>
    </row>
    <row r="19" spans="1:5">
      <c r="C19" t="str">
        <f t="shared" si="0"/>
        <v/>
      </c>
    </row>
    <row r="20" spans="1:5">
      <c r="C20" t="str">
        <f t="shared" si="0"/>
        <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2C444-C471-46C1-AF67-5ED9C5F218BE}">
  <sheetPr codeName="Sheet5"/>
  <dimension ref="A1:N167"/>
  <sheetViews>
    <sheetView zoomScale="85" zoomScaleNormal="85" workbookViewId="0">
      <pane xSplit="1" ySplit="3" topLeftCell="B4" activePane="bottomRight" state="frozen"/>
      <selection pane="topRight" activeCell="B1" sqref="B1"/>
      <selection pane="bottomLeft" activeCell="A4" sqref="A4"/>
      <selection pane="bottomRight" activeCell="D35" sqref="D35:D36"/>
    </sheetView>
  </sheetViews>
  <sheetFormatPr defaultRowHeight="18"/>
  <cols>
    <col min="1" max="1" width="9" style="2"/>
    <col min="2" max="2" width="96.8984375" style="1" customWidth="1"/>
    <col min="3" max="3" width="9.69921875" customWidth="1"/>
  </cols>
  <sheetData>
    <row r="1" spans="1:14">
      <c r="A1" s="2" t="s">
        <v>0</v>
      </c>
      <c r="B1" s="1" t="s">
        <v>13</v>
      </c>
    </row>
    <row r="2" spans="1:14">
      <c r="A2" s="2" t="s">
        <v>2</v>
      </c>
      <c r="B2" s="3" t="s">
        <v>42</v>
      </c>
      <c r="D2">
        <f>SUM(D4:D1000)</f>
        <v>87</v>
      </c>
      <c r="E2">
        <f>SUM(E4:E1000)</f>
        <v>100</v>
      </c>
    </row>
    <row r="3" spans="1:14">
      <c r="A3" s="2" t="s">
        <v>1</v>
      </c>
      <c r="B3" s="1" t="s">
        <v>3</v>
      </c>
      <c r="C3" t="s">
        <v>6</v>
      </c>
      <c r="D3" t="s">
        <v>4</v>
      </c>
      <c r="E3" t="s">
        <v>5</v>
      </c>
    </row>
    <row r="4" spans="1:14">
      <c r="A4" s="2" t="s">
        <v>20</v>
      </c>
      <c r="B4" s="1" t="s">
        <v>50</v>
      </c>
      <c r="C4">
        <f>IF(B4&lt;&gt;"",LEN(B4),"")</f>
        <v>38</v>
      </c>
      <c r="D4">
        <v>8</v>
      </c>
      <c r="E4">
        <v>8</v>
      </c>
    </row>
    <row r="5" spans="1:14">
      <c r="A5" s="2" t="s">
        <v>26</v>
      </c>
      <c r="B5" s="1" t="s">
        <v>51</v>
      </c>
      <c r="C5">
        <f t="shared" ref="C5:C68" si="0">IF(B5&lt;&gt;"",LEN(B5),"")</f>
        <v>3</v>
      </c>
      <c r="D5">
        <v>2</v>
      </c>
      <c r="E5">
        <v>2</v>
      </c>
      <c r="G5" t="s">
        <v>43</v>
      </c>
      <c r="I5" t="s">
        <v>48</v>
      </c>
      <c r="K5" t="s">
        <v>57</v>
      </c>
    </row>
    <row r="6" spans="1:14">
      <c r="A6" s="2" t="s">
        <v>52</v>
      </c>
      <c r="B6" s="1" t="s">
        <v>54</v>
      </c>
      <c r="C6">
        <f t="shared" si="0"/>
        <v>3</v>
      </c>
      <c r="D6">
        <v>2</v>
      </c>
      <c r="E6">
        <v>2</v>
      </c>
      <c r="G6" t="s">
        <v>44</v>
      </c>
      <c r="I6" t="s">
        <v>49</v>
      </c>
      <c r="K6" t="s">
        <v>58</v>
      </c>
    </row>
    <row r="7" spans="1:14">
      <c r="A7" s="2" t="s">
        <v>55</v>
      </c>
      <c r="B7" s="1" t="s">
        <v>56</v>
      </c>
      <c r="C7">
        <f t="shared" si="0"/>
        <v>4</v>
      </c>
      <c r="D7">
        <v>2</v>
      </c>
      <c r="E7">
        <v>2</v>
      </c>
      <c r="G7" t="s">
        <v>45</v>
      </c>
      <c r="I7" t="s">
        <v>53</v>
      </c>
      <c r="K7" t="s">
        <v>59</v>
      </c>
    </row>
    <row r="8" spans="1:14">
      <c r="A8" s="2" t="s">
        <v>27</v>
      </c>
      <c r="B8" s="1" t="s">
        <v>60</v>
      </c>
      <c r="C8">
        <f t="shared" si="0"/>
        <v>3</v>
      </c>
      <c r="D8">
        <v>2</v>
      </c>
      <c r="E8">
        <v>2</v>
      </c>
      <c r="G8" t="s">
        <v>46</v>
      </c>
    </row>
    <row r="9" spans="1:14">
      <c r="B9" s="1" t="s">
        <v>61</v>
      </c>
      <c r="C9">
        <f t="shared" si="0"/>
        <v>3</v>
      </c>
      <c r="D9">
        <v>2</v>
      </c>
      <c r="E9">
        <v>2</v>
      </c>
      <c r="G9" t="s">
        <v>47</v>
      </c>
    </row>
    <row r="10" spans="1:14">
      <c r="B10" s="1" t="s">
        <v>62</v>
      </c>
      <c r="C10">
        <f t="shared" si="0"/>
        <v>3</v>
      </c>
      <c r="D10">
        <v>2</v>
      </c>
      <c r="E10">
        <v>2</v>
      </c>
    </row>
    <row r="11" spans="1:14">
      <c r="A11" s="2" t="s">
        <v>23</v>
      </c>
      <c r="B11" s="4" t="s">
        <v>63</v>
      </c>
      <c r="C11">
        <f t="shared" si="0"/>
        <v>3</v>
      </c>
      <c r="D11">
        <v>2</v>
      </c>
      <c r="E11">
        <v>3</v>
      </c>
      <c r="G11" t="s">
        <v>66</v>
      </c>
      <c r="I11" t="s">
        <v>69</v>
      </c>
      <c r="K11" t="s">
        <v>72</v>
      </c>
      <c r="N11" t="s">
        <v>74</v>
      </c>
    </row>
    <row r="12" spans="1:14">
      <c r="B12" s="4" t="s">
        <v>64</v>
      </c>
      <c r="C12">
        <f t="shared" si="0"/>
        <v>3</v>
      </c>
      <c r="D12">
        <v>2</v>
      </c>
      <c r="E12">
        <v>3</v>
      </c>
      <c r="G12" t="s">
        <v>67</v>
      </c>
      <c r="K12" t="s">
        <v>73</v>
      </c>
    </row>
    <row r="13" spans="1:14">
      <c r="B13" s="1" t="s">
        <v>65</v>
      </c>
      <c r="C13">
        <f t="shared" si="0"/>
        <v>3</v>
      </c>
      <c r="D13">
        <v>2</v>
      </c>
      <c r="E13">
        <v>3</v>
      </c>
      <c r="G13" t="s">
        <v>68</v>
      </c>
    </row>
    <row r="14" spans="1:14">
      <c r="A14" s="2" t="s">
        <v>35</v>
      </c>
      <c r="B14" s="1" t="s">
        <v>70</v>
      </c>
      <c r="C14">
        <f t="shared" si="0"/>
        <v>8</v>
      </c>
      <c r="D14">
        <v>4</v>
      </c>
      <c r="E14">
        <v>4</v>
      </c>
      <c r="G14" t="s">
        <v>75</v>
      </c>
    </row>
    <row r="15" spans="1:14">
      <c r="B15" s="1" t="s">
        <v>71</v>
      </c>
      <c r="C15">
        <f t="shared" si="0"/>
        <v>10</v>
      </c>
      <c r="D15">
        <v>4</v>
      </c>
      <c r="E15">
        <v>4</v>
      </c>
    </row>
    <row r="16" spans="1:14">
      <c r="A16" s="2" t="s">
        <v>77</v>
      </c>
      <c r="B16" s="1" t="s">
        <v>76</v>
      </c>
      <c r="C16">
        <f t="shared" si="0"/>
        <v>22</v>
      </c>
      <c r="D16">
        <v>6</v>
      </c>
      <c r="E16">
        <v>6</v>
      </c>
      <c r="G16" t="s">
        <v>85</v>
      </c>
    </row>
    <row r="17" spans="1:7">
      <c r="A17" s="2" t="s">
        <v>78</v>
      </c>
      <c r="B17" s="1" t="s">
        <v>79</v>
      </c>
      <c r="C17">
        <f t="shared" si="0"/>
        <v>3</v>
      </c>
      <c r="D17">
        <v>2</v>
      </c>
      <c r="E17">
        <v>2</v>
      </c>
    </row>
    <row r="18" spans="1:7">
      <c r="B18" s="1" t="s">
        <v>80</v>
      </c>
      <c r="C18">
        <f t="shared" si="0"/>
        <v>3</v>
      </c>
      <c r="D18">
        <v>2</v>
      </c>
      <c r="E18">
        <v>2</v>
      </c>
      <c r="G18" t="s">
        <v>88</v>
      </c>
    </row>
    <row r="19" spans="1:7">
      <c r="B19" s="1" t="s">
        <v>81</v>
      </c>
      <c r="C19">
        <f t="shared" si="0"/>
        <v>3</v>
      </c>
      <c r="D19">
        <v>2</v>
      </c>
      <c r="E19">
        <v>2</v>
      </c>
      <c r="G19" t="s">
        <v>89</v>
      </c>
    </row>
    <row r="20" spans="1:7">
      <c r="A20" s="2" t="s">
        <v>82</v>
      </c>
      <c r="B20" s="1" t="s">
        <v>83</v>
      </c>
      <c r="C20">
        <f t="shared" si="0"/>
        <v>24</v>
      </c>
      <c r="D20">
        <v>6</v>
      </c>
      <c r="E20">
        <v>6</v>
      </c>
    </row>
    <row r="21" spans="1:7">
      <c r="A21" s="2" t="s">
        <v>84</v>
      </c>
      <c r="B21" s="1" t="s">
        <v>86</v>
      </c>
      <c r="C21">
        <f t="shared" si="0"/>
        <v>8</v>
      </c>
      <c r="D21">
        <v>2</v>
      </c>
      <c r="E21">
        <v>2</v>
      </c>
    </row>
    <row r="22" spans="1:7">
      <c r="B22" s="1" t="s">
        <v>87</v>
      </c>
      <c r="C22">
        <f t="shared" si="0"/>
        <v>8</v>
      </c>
      <c r="D22">
        <v>2</v>
      </c>
      <c r="E22">
        <v>2</v>
      </c>
    </row>
    <row r="23" spans="1:7">
      <c r="A23" s="2" t="s">
        <v>90</v>
      </c>
      <c r="B23" s="1" t="s">
        <v>91</v>
      </c>
      <c r="C23">
        <f t="shared" si="0"/>
        <v>57</v>
      </c>
      <c r="D23">
        <v>4</v>
      </c>
      <c r="E23">
        <v>8</v>
      </c>
    </row>
    <row r="24" spans="1:7">
      <c r="A24" s="2" t="s">
        <v>92</v>
      </c>
      <c r="B24" s="1" t="s">
        <v>93</v>
      </c>
      <c r="C24">
        <f t="shared" si="0"/>
        <v>1</v>
      </c>
      <c r="D24">
        <v>3</v>
      </c>
      <c r="E24">
        <v>3</v>
      </c>
    </row>
    <row r="25" spans="1:7">
      <c r="A25" s="2" t="s">
        <v>94</v>
      </c>
      <c r="B25" s="1" t="s">
        <v>95</v>
      </c>
      <c r="C25">
        <f t="shared" si="0"/>
        <v>19</v>
      </c>
      <c r="D25">
        <v>0</v>
      </c>
      <c r="E25">
        <v>6</v>
      </c>
    </row>
    <row r="26" spans="1:7">
      <c r="B26" s="1" t="s">
        <v>96</v>
      </c>
      <c r="C26">
        <f t="shared" si="0"/>
        <v>23</v>
      </c>
      <c r="D26">
        <v>6</v>
      </c>
      <c r="E26">
        <v>6</v>
      </c>
    </row>
    <row r="27" spans="1:7">
      <c r="A27" s="2" t="s">
        <v>97</v>
      </c>
      <c r="B27" s="1" t="s">
        <v>98</v>
      </c>
      <c r="C27">
        <f t="shared" si="0"/>
        <v>9</v>
      </c>
      <c r="D27">
        <v>1</v>
      </c>
      <c r="E27">
        <v>1</v>
      </c>
    </row>
    <row r="28" spans="1:7">
      <c r="B28" s="1" t="s">
        <v>99</v>
      </c>
      <c r="C28">
        <f t="shared" si="0"/>
        <v>8</v>
      </c>
      <c r="D28">
        <v>1</v>
      </c>
      <c r="E28">
        <v>1</v>
      </c>
    </row>
    <row r="29" spans="1:7">
      <c r="B29" s="1" t="s">
        <v>100</v>
      </c>
      <c r="C29">
        <f t="shared" si="0"/>
        <v>6</v>
      </c>
      <c r="D29">
        <v>1</v>
      </c>
      <c r="E29">
        <v>1</v>
      </c>
    </row>
    <row r="30" spans="1:7">
      <c r="B30" s="1" t="s">
        <v>101</v>
      </c>
      <c r="C30">
        <f t="shared" si="0"/>
        <v>9</v>
      </c>
      <c r="D30">
        <v>1</v>
      </c>
      <c r="E30">
        <v>1</v>
      </c>
    </row>
    <row r="31" spans="1:7">
      <c r="B31" s="1" t="s">
        <v>102</v>
      </c>
      <c r="C31">
        <f t="shared" si="0"/>
        <v>9</v>
      </c>
      <c r="D31">
        <v>1</v>
      </c>
      <c r="E31">
        <v>1</v>
      </c>
    </row>
    <row r="32" spans="1:7">
      <c r="B32" s="1" t="s">
        <v>103</v>
      </c>
      <c r="C32">
        <f t="shared" si="0"/>
        <v>10</v>
      </c>
      <c r="D32">
        <v>1</v>
      </c>
      <c r="E32">
        <v>1</v>
      </c>
    </row>
    <row r="33" spans="1:5">
      <c r="B33" s="1" t="s">
        <v>104</v>
      </c>
      <c r="C33">
        <f t="shared" si="0"/>
        <v>8</v>
      </c>
      <c r="D33">
        <v>1</v>
      </c>
      <c r="E33">
        <v>1</v>
      </c>
    </row>
    <row r="34" spans="1:5">
      <c r="B34" s="1" t="s">
        <v>105</v>
      </c>
      <c r="C34">
        <f t="shared" si="0"/>
        <v>8</v>
      </c>
      <c r="D34">
        <v>1</v>
      </c>
      <c r="E34">
        <v>1</v>
      </c>
    </row>
    <row r="35" spans="1:5">
      <c r="A35" s="2" t="s">
        <v>106</v>
      </c>
      <c r="B35" s="1" t="s">
        <v>108</v>
      </c>
      <c r="C35">
        <f t="shared" si="0"/>
        <v>14</v>
      </c>
      <c r="D35">
        <v>5</v>
      </c>
      <c r="E35">
        <v>5</v>
      </c>
    </row>
    <row r="36" spans="1:5">
      <c r="B36" s="1" t="s">
        <v>107</v>
      </c>
      <c r="C36">
        <f t="shared" si="0"/>
        <v>20</v>
      </c>
      <c r="D36">
        <v>5</v>
      </c>
      <c r="E36">
        <v>5</v>
      </c>
    </row>
    <row r="37" spans="1:5">
      <c r="C37" t="str">
        <f t="shared" si="0"/>
        <v/>
      </c>
    </row>
    <row r="38" spans="1:5">
      <c r="C38" t="str">
        <f t="shared" si="0"/>
        <v/>
      </c>
    </row>
    <row r="39" spans="1:5">
      <c r="C39" t="str">
        <f t="shared" si="0"/>
        <v/>
      </c>
    </row>
    <row r="40" spans="1:5">
      <c r="C40" t="str">
        <f t="shared" si="0"/>
        <v/>
      </c>
    </row>
    <row r="41" spans="1:5">
      <c r="C41" t="str">
        <f t="shared" si="0"/>
        <v/>
      </c>
    </row>
    <row r="42" spans="1:5">
      <c r="C42" t="str">
        <f t="shared" si="0"/>
        <v/>
      </c>
    </row>
    <row r="43" spans="1:5">
      <c r="C43" t="str">
        <f t="shared" si="0"/>
        <v/>
      </c>
    </row>
    <row r="44" spans="1:5">
      <c r="C44" t="str">
        <f t="shared" si="0"/>
        <v/>
      </c>
    </row>
    <row r="45" spans="1:5">
      <c r="C45" t="str">
        <f t="shared" si="0"/>
        <v/>
      </c>
    </row>
    <row r="46" spans="1:5">
      <c r="C46" t="str">
        <f t="shared" si="0"/>
        <v/>
      </c>
    </row>
    <row r="47" spans="1:5">
      <c r="C47" t="str">
        <f t="shared" si="0"/>
        <v/>
      </c>
    </row>
    <row r="48" spans="1:5">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3DAF4-C0A0-4BED-A467-8CB2C1AF7073}">
  <sheetPr codeName="Sheet6"/>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E3" sqref="E3"/>
    </sheetView>
  </sheetViews>
  <sheetFormatPr defaultRowHeight="18"/>
  <cols>
    <col min="1" max="1" width="8.796875" style="2"/>
    <col min="2" max="2" width="96.8984375" style="1" customWidth="1"/>
    <col min="3" max="3" width="9.69921875" customWidth="1"/>
  </cols>
  <sheetData>
    <row r="1" spans="1:13">
      <c r="A1" s="2" t="s">
        <v>0</v>
      </c>
      <c r="B1" s="1" t="s">
        <v>110</v>
      </c>
    </row>
    <row r="2" spans="1:13">
      <c r="A2" s="2" t="s">
        <v>2</v>
      </c>
      <c r="B2" s="3" t="s">
        <v>111</v>
      </c>
      <c r="D2">
        <f>SUM(D4:D1000)</f>
        <v>84</v>
      </c>
      <c r="E2">
        <v>100</v>
      </c>
      <c r="G2" t="s">
        <v>159</v>
      </c>
    </row>
    <row r="3" spans="1:13">
      <c r="A3" s="2" t="s">
        <v>1</v>
      </c>
      <c r="B3" s="1" t="s">
        <v>3</v>
      </c>
      <c r="C3" t="s">
        <v>6</v>
      </c>
      <c r="D3" t="s">
        <v>4</v>
      </c>
      <c r="E3" t="s">
        <v>5</v>
      </c>
    </row>
    <row r="4" spans="1:13">
      <c r="A4" s="2" t="s">
        <v>20</v>
      </c>
      <c r="B4" s="1" t="s">
        <v>121</v>
      </c>
      <c r="C4">
        <f>IF(B4&lt;&gt;"",LEN(B4),"")</f>
        <v>4</v>
      </c>
      <c r="D4">
        <v>4</v>
      </c>
      <c r="E4">
        <v>0</v>
      </c>
      <c r="F4">
        <v>0</v>
      </c>
      <c r="G4" t="s">
        <v>122</v>
      </c>
      <c r="K4" t="s">
        <v>123</v>
      </c>
      <c r="M4" t="s">
        <v>132</v>
      </c>
    </row>
    <row r="5" spans="1:13">
      <c r="A5" s="2" t="s">
        <v>26</v>
      </c>
      <c r="B5" s="1" t="s">
        <v>124</v>
      </c>
      <c r="C5">
        <f t="shared" ref="C5:C68" si="0">IF(B5&lt;&gt;"",LEN(B5),"")</f>
        <v>12</v>
      </c>
      <c r="D5">
        <v>6</v>
      </c>
      <c r="E5">
        <v>0</v>
      </c>
      <c r="F5">
        <v>0</v>
      </c>
      <c r="G5" t="s">
        <v>112</v>
      </c>
      <c r="I5" t="s">
        <v>117</v>
      </c>
      <c r="K5" t="s">
        <v>126</v>
      </c>
      <c r="M5" t="s">
        <v>133</v>
      </c>
    </row>
    <row r="6" spans="1:13">
      <c r="A6" s="2" t="s">
        <v>52</v>
      </c>
      <c r="B6" s="1" t="s">
        <v>125</v>
      </c>
      <c r="C6">
        <f t="shared" si="0"/>
        <v>23</v>
      </c>
      <c r="D6">
        <v>6</v>
      </c>
      <c r="E6">
        <v>1</v>
      </c>
      <c r="F6">
        <v>1</v>
      </c>
      <c r="G6" t="s">
        <v>113</v>
      </c>
      <c r="I6" t="s">
        <v>118</v>
      </c>
      <c r="K6" t="s">
        <v>127</v>
      </c>
      <c r="M6" t="s">
        <v>133</v>
      </c>
    </row>
    <row r="7" spans="1:13">
      <c r="A7" s="2" t="s">
        <v>27</v>
      </c>
      <c r="B7" s="1" t="s">
        <v>129</v>
      </c>
      <c r="C7">
        <f t="shared" si="0"/>
        <v>33</v>
      </c>
      <c r="D7">
        <v>6</v>
      </c>
      <c r="E7">
        <v>1</v>
      </c>
      <c r="G7" t="s">
        <v>114</v>
      </c>
      <c r="I7" t="s">
        <v>119</v>
      </c>
      <c r="K7" t="s">
        <v>128</v>
      </c>
    </row>
    <row r="8" spans="1:13">
      <c r="A8" s="2" t="s">
        <v>23</v>
      </c>
      <c r="B8" s="1" t="s">
        <v>130</v>
      </c>
      <c r="C8">
        <f t="shared" si="0"/>
        <v>25</v>
      </c>
      <c r="D8">
        <v>6</v>
      </c>
      <c r="E8">
        <v>0</v>
      </c>
      <c r="G8" t="s">
        <v>115</v>
      </c>
      <c r="I8" t="s">
        <v>120</v>
      </c>
    </row>
    <row r="9" spans="1:13">
      <c r="A9" s="2" t="s">
        <v>131</v>
      </c>
      <c r="B9" s="1" t="s">
        <v>134</v>
      </c>
      <c r="C9">
        <f t="shared" si="0"/>
        <v>4</v>
      </c>
      <c r="D9">
        <v>3</v>
      </c>
      <c r="E9">
        <v>0</v>
      </c>
      <c r="G9" t="s">
        <v>116</v>
      </c>
      <c r="I9" t="s">
        <v>143</v>
      </c>
    </row>
    <row r="10" spans="1:13">
      <c r="B10" s="1" t="s">
        <v>135</v>
      </c>
      <c r="C10">
        <f t="shared" si="0"/>
        <v>4</v>
      </c>
      <c r="D10">
        <v>3</v>
      </c>
      <c r="E10">
        <v>1</v>
      </c>
      <c r="I10" t="s">
        <v>144</v>
      </c>
    </row>
    <row r="11" spans="1:13">
      <c r="A11" s="2" t="s">
        <v>136</v>
      </c>
      <c r="B11" s="1" t="s">
        <v>138</v>
      </c>
      <c r="C11">
        <f t="shared" si="0"/>
        <v>17</v>
      </c>
      <c r="D11">
        <v>6</v>
      </c>
      <c r="E11">
        <v>1</v>
      </c>
      <c r="G11" t="s">
        <v>137</v>
      </c>
    </row>
    <row r="12" spans="1:13">
      <c r="B12" s="1" t="s">
        <v>139</v>
      </c>
      <c r="C12">
        <f t="shared" si="0"/>
        <v>20</v>
      </c>
      <c r="D12">
        <v>6</v>
      </c>
      <c r="E12">
        <v>1</v>
      </c>
      <c r="G12" t="s">
        <v>141</v>
      </c>
    </row>
    <row r="13" spans="1:13">
      <c r="A13" s="2" t="s">
        <v>140</v>
      </c>
      <c r="B13" s="1" t="s">
        <v>142</v>
      </c>
      <c r="C13">
        <f t="shared" si="0"/>
        <v>13</v>
      </c>
      <c r="D13">
        <v>6</v>
      </c>
      <c r="E13">
        <v>1</v>
      </c>
    </row>
    <row r="14" spans="1:13">
      <c r="A14" s="2" t="s">
        <v>145</v>
      </c>
      <c r="B14" s="1" t="s">
        <v>146</v>
      </c>
      <c r="C14">
        <f t="shared" si="0"/>
        <v>1</v>
      </c>
      <c r="D14">
        <v>0</v>
      </c>
      <c r="E14">
        <v>0</v>
      </c>
      <c r="H14">
        <f>20*10^9/2000/8/25</f>
        <v>50000</v>
      </c>
    </row>
    <row r="15" spans="1:13">
      <c r="A15" s="2" t="s">
        <v>147</v>
      </c>
      <c r="B15" s="1" t="s">
        <v>148</v>
      </c>
      <c r="C15">
        <f t="shared" si="0"/>
        <v>45</v>
      </c>
      <c r="D15">
        <v>6</v>
      </c>
      <c r="E15">
        <v>0.5</v>
      </c>
    </row>
    <row r="16" spans="1:13">
      <c r="A16" s="2" t="s">
        <v>149</v>
      </c>
      <c r="B16" s="1">
        <v>50000</v>
      </c>
      <c r="C16">
        <f t="shared" si="0"/>
        <v>5</v>
      </c>
      <c r="D16">
        <v>0</v>
      </c>
      <c r="E16">
        <v>0</v>
      </c>
    </row>
    <row r="17" spans="1:5">
      <c r="A17" s="2" t="s">
        <v>150</v>
      </c>
      <c r="B17" s="1" t="s">
        <v>151</v>
      </c>
      <c r="C17">
        <f t="shared" si="0"/>
        <v>29</v>
      </c>
      <c r="D17">
        <v>8</v>
      </c>
      <c r="E17">
        <v>1</v>
      </c>
    </row>
    <row r="18" spans="1:5">
      <c r="A18" s="2" t="s">
        <v>152</v>
      </c>
      <c r="B18" s="1" t="s">
        <v>153</v>
      </c>
      <c r="C18">
        <f t="shared" si="0"/>
        <v>15</v>
      </c>
      <c r="D18">
        <v>4</v>
      </c>
      <c r="E18">
        <v>1</v>
      </c>
    </row>
    <row r="19" spans="1:5">
      <c r="B19" s="1" t="s">
        <v>154</v>
      </c>
      <c r="C19">
        <f t="shared" si="0"/>
        <v>11</v>
      </c>
      <c r="D19">
        <v>4</v>
      </c>
      <c r="E19">
        <v>1</v>
      </c>
    </row>
    <row r="20" spans="1:5">
      <c r="B20" s="1" t="s">
        <v>155</v>
      </c>
      <c r="C20">
        <f t="shared" si="0"/>
        <v>13</v>
      </c>
      <c r="D20">
        <v>4</v>
      </c>
      <c r="E20">
        <v>1</v>
      </c>
    </row>
    <row r="21" spans="1:5">
      <c r="A21" s="2" t="s">
        <v>156</v>
      </c>
      <c r="B21" s="1" t="s">
        <v>157</v>
      </c>
      <c r="C21">
        <f t="shared" si="0"/>
        <v>4</v>
      </c>
      <c r="D21">
        <v>0</v>
      </c>
      <c r="E21">
        <v>0</v>
      </c>
    </row>
    <row r="22" spans="1:5">
      <c r="A22" s="2" t="s">
        <v>158</v>
      </c>
      <c r="B22" s="1" t="s">
        <v>160</v>
      </c>
      <c r="C22">
        <f t="shared" si="0"/>
        <v>21</v>
      </c>
      <c r="D22">
        <v>6</v>
      </c>
      <c r="E22">
        <v>1</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2025-02-11T10:29:57Z</dcterms:modified>
</cp:coreProperties>
</file>