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8-physical-security\"/>
    </mc:Choice>
  </mc:AlternateContent>
  <xr:revisionPtr revIDLastSave="0" documentId="13_ncr:1_{BE0EAAF4-E9BB-4797-BD4B-76F90316105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<sst xmlns="http://schemas.openxmlformats.org/spreadsheetml/2006/main" count="132" uniqueCount="110">
  <si>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</si>
  <si>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</si>
  <si>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</si>
  <si>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</si>
  <si>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</si>
  <si>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</si>
  <si>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</si>
  <si>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</si>
  <si>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</si>
  <si>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</si>
  <si>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</si>
  <si>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</si>
  <si>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</si>
  <si>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</si>
  <si>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8-1</t>
  </si>
  <si>
    <t>8-1</t>
    <phoneticPr fontId="1"/>
  </si>
  <si>
    <t>LAN分離</t>
    <rPh sb="3" eb="5">
      <t>ブンリ</t>
    </rPh>
    <phoneticPr fontId="1"/>
  </si>
  <si>
    <t>新薬創出、ベンチャ</t>
    <rPh sb="0" eb="2">
      <t>シンヤク</t>
    </rPh>
    <rPh sb="2" eb="4">
      <t>ソウシュツ</t>
    </rPh>
    <phoneticPr fontId="1"/>
  </si>
  <si>
    <t>webプロキシ</t>
    <phoneticPr fontId="1"/>
  </si>
  <si>
    <t>更新ファイル提供サービス</t>
    <rPh sb="0" eb="2">
      <t>コウシン</t>
    </rPh>
    <rPh sb="6" eb="8">
      <t>テイキョウ</t>
    </rPh>
    <phoneticPr fontId="1"/>
  </si>
  <si>
    <t>1-(1)</t>
    <phoneticPr fontId="1"/>
  </si>
  <si>
    <t>a:ウ</t>
    <phoneticPr fontId="1"/>
  </si>
  <si>
    <t>b:イ</t>
    <phoneticPr fontId="1"/>
  </si>
  <si>
    <t>2-(2)</t>
    <phoneticPr fontId="1"/>
  </si>
  <si>
    <t>c:ア</t>
    <phoneticPr fontId="1"/>
  </si>
  <si>
    <t>d:ウ</t>
    <phoneticPr fontId="1"/>
  </si>
  <si>
    <t>1-(2)</t>
    <phoneticPr fontId="1"/>
  </si>
  <si>
    <t>2-(1)</t>
    <phoneticPr fontId="1"/>
  </si>
  <si>
    <t>FW2により通信が遮断されるため</t>
    <rPh sb="6" eb="8">
      <t>ツウシン</t>
    </rPh>
    <rPh sb="9" eb="11">
      <t>シャダン</t>
    </rPh>
    <phoneticPr fontId="1"/>
  </si>
  <si>
    <t>e:アップロード用URL</t>
    <rPh sb="8" eb="9">
      <t>ヨウ</t>
    </rPh>
    <phoneticPr fontId="1"/>
  </si>
  <si>
    <t>f:利用者ID</t>
    <rPh sb="2" eb="5">
      <t>リヨウシャ</t>
    </rPh>
    <phoneticPr fontId="1"/>
  </si>
  <si>
    <t>g:パスワード</t>
    <phoneticPr fontId="1"/>
  </si>
  <si>
    <t>アップロード時の通信を盗聴する</t>
    <rPh sb="6" eb="7">
      <t>ジ</t>
    </rPh>
    <rPh sb="8" eb="10">
      <t>ツウシン</t>
    </rPh>
    <rPh sb="11" eb="13">
      <t>トウチョウ</t>
    </rPh>
    <phoneticPr fontId="1"/>
  </si>
  <si>
    <t>2-(3)</t>
    <phoneticPr fontId="1"/>
  </si>
  <si>
    <t>一定時間内にアップロードされたファイルを、意図的にダウンロードする可能性が低いため</t>
    <rPh sb="0" eb="4">
      <t>イッテイジカン</t>
    </rPh>
    <rPh sb="4" eb="5">
      <t>ナイ</t>
    </rPh>
    <rPh sb="21" eb="24">
      <t>イトテキ</t>
    </rPh>
    <rPh sb="33" eb="36">
      <t>カノウセイ</t>
    </rPh>
    <rPh sb="37" eb="38">
      <t>ヒク</t>
    </rPh>
    <phoneticPr fontId="1"/>
  </si>
  <si>
    <t>3</t>
    <phoneticPr fontId="1"/>
  </si>
  <si>
    <t>h:高い</t>
    <rPh sb="2" eb="3">
      <t>タカ</t>
    </rPh>
    <phoneticPr fontId="1"/>
  </si>
  <si>
    <t>i：通信を遮断する機器がないため</t>
    <rPh sb="2" eb="4">
      <t>ツウシン</t>
    </rPh>
    <rPh sb="5" eb="7">
      <t>シャダン</t>
    </rPh>
    <rPh sb="9" eb="11">
      <t>キキ</t>
    </rPh>
    <phoneticPr fontId="1"/>
  </si>
  <si>
    <t>j低い</t>
    <rPh sb="1" eb="2">
      <t>ヒク</t>
    </rPh>
    <phoneticPr fontId="1"/>
  </si>
  <si>
    <t>k:FW2によって通信が遮断されるため</t>
    <rPh sb="9" eb="11">
      <t>ツウシン</t>
    </rPh>
    <rPh sb="12" eb="14">
      <t>シャダン</t>
    </rPh>
    <phoneticPr fontId="1"/>
  </si>
  <si>
    <t>4</t>
    <phoneticPr fontId="1"/>
  </si>
  <si>
    <t>上長による承認</t>
    <rPh sb="0" eb="2">
      <t>ジョウチョウ</t>
    </rPh>
    <rPh sb="5" eb="7">
      <t>ショウニン</t>
    </rPh>
    <phoneticPr fontId="1"/>
  </si>
  <si>
    <t>8-2</t>
    <phoneticPr fontId="1"/>
  </si>
  <si>
    <t>金属部品の製造会社</t>
    <rPh sb="0" eb="4">
      <t>キンゾクブヒン</t>
    </rPh>
    <rPh sb="5" eb="9">
      <t>セイゾウカイシャ</t>
    </rPh>
    <phoneticPr fontId="1"/>
  </si>
  <si>
    <t>A-NET</t>
    <phoneticPr fontId="1"/>
  </si>
  <si>
    <t>３か所向上</t>
    <rPh sb="2" eb="3">
      <t>ショ</t>
    </rPh>
    <rPh sb="3" eb="5">
      <t>コウジョウ</t>
    </rPh>
    <phoneticPr fontId="1"/>
  </si>
  <si>
    <t>標準PCシステム管理</t>
    <rPh sb="0" eb="2">
      <t>ヒョウジュン</t>
    </rPh>
    <rPh sb="8" eb="10">
      <t>カンリ</t>
    </rPh>
    <phoneticPr fontId="1"/>
  </si>
  <si>
    <t>パッチ</t>
    <phoneticPr fontId="1"/>
  </si>
  <si>
    <t>標準以外のPCもOK</t>
    <rPh sb="0" eb="2">
      <t>ヒョウジュン</t>
    </rPh>
    <rPh sb="2" eb="4">
      <t>イガイ</t>
    </rPh>
    <phoneticPr fontId="1"/>
  </si>
  <si>
    <t>CADツール</t>
    <phoneticPr fontId="1"/>
  </si>
  <si>
    <t>A社内で標準的に使われているブラウザを示すUser-Agentであった場合。</t>
    <rPh sb="1" eb="3">
      <t>シャナイ</t>
    </rPh>
    <rPh sb="4" eb="6">
      <t>ヒョウジュン</t>
    </rPh>
    <rPh sb="6" eb="7">
      <t>テキ</t>
    </rPh>
    <rPh sb="8" eb="9">
      <t>ツカ</t>
    </rPh>
    <rPh sb="19" eb="20">
      <t>シメ</t>
    </rPh>
    <rPh sb="35" eb="37">
      <t>バアイ</t>
    </rPh>
    <phoneticPr fontId="1"/>
  </si>
  <si>
    <t>a:エ</t>
    <phoneticPr fontId="1"/>
  </si>
  <si>
    <t>1-(3)</t>
    <phoneticPr fontId="1"/>
  </si>
  <si>
    <t>ファイルTの検知ツール</t>
    <rPh sb="6" eb="8">
      <t>ケンチ</t>
    </rPh>
    <phoneticPr fontId="1"/>
  </si>
  <si>
    <t>b:ア</t>
    <phoneticPr fontId="1"/>
  </si>
  <si>
    <t>1-(4)</t>
    <phoneticPr fontId="1"/>
  </si>
  <si>
    <t>サイトU</t>
    <phoneticPr fontId="1"/>
  </si>
  <si>
    <t>ぷろじぇくとW</t>
    <phoneticPr fontId="1"/>
  </si>
  <si>
    <t>セキュリティの対策を行う</t>
    <rPh sb="7" eb="9">
      <t>タイサク</t>
    </rPh>
    <rPh sb="10" eb="11">
      <t>オコナ</t>
    </rPh>
    <phoneticPr fontId="1"/>
  </si>
  <si>
    <t>APT</t>
    <phoneticPr fontId="1"/>
  </si>
  <si>
    <t>d:カ</t>
    <phoneticPr fontId="1"/>
  </si>
  <si>
    <t>e:キ</t>
    <phoneticPr fontId="1"/>
  </si>
  <si>
    <t>f:オ</t>
    <phoneticPr fontId="1"/>
  </si>
  <si>
    <t>a:1</t>
    <phoneticPr fontId="1"/>
  </si>
  <si>
    <t>b:7</t>
    <phoneticPr fontId="1"/>
  </si>
  <si>
    <t>c:3</t>
    <phoneticPr fontId="1"/>
  </si>
  <si>
    <t>向上</t>
    <rPh sb="0" eb="2">
      <t>コウジョウ</t>
    </rPh>
    <phoneticPr fontId="1"/>
  </si>
  <si>
    <t>AP,FA端末</t>
    <rPh sb="5" eb="7">
      <t>タンマツ</t>
    </rPh>
    <phoneticPr fontId="1"/>
  </si>
  <si>
    <t>APは標準PC</t>
    <rPh sb="3" eb="5">
      <t>ヒョウジュン</t>
    </rPh>
    <phoneticPr fontId="1"/>
  </si>
  <si>
    <t>MACで制限</t>
    <rPh sb="4" eb="6">
      <t>セイゲン</t>
    </rPh>
    <phoneticPr fontId="1"/>
  </si>
  <si>
    <t>g: 通信を盗聴</t>
    <rPh sb="3" eb="5">
      <t>ツウシン</t>
    </rPh>
    <rPh sb="6" eb="8">
      <t>トウチョウ</t>
    </rPh>
    <phoneticPr fontId="1"/>
  </si>
  <si>
    <t>h: MACアドレス</t>
    <phoneticPr fontId="1"/>
  </si>
  <si>
    <t>清算データを登録、印刷</t>
    <rPh sb="0" eb="2">
      <t>セイサン</t>
    </rPh>
    <rPh sb="6" eb="8">
      <t>トウロク</t>
    </rPh>
    <rPh sb="9" eb="11">
      <t>インサツ</t>
    </rPh>
    <phoneticPr fontId="1"/>
  </si>
  <si>
    <t>FA端末のメンテは月に数回、AーNET経由</t>
    <rPh sb="2" eb="4">
      <t>タンマツ</t>
    </rPh>
    <rPh sb="9" eb="10">
      <t>ツキ</t>
    </rPh>
    <rPh sb="11" eb="13">
      <t>スウカイ</t>
    </rPh>
    <rPh sb="19" eb="21">
      <t>ケイユ</t>
    </rPh>
    <phoneticPr fontId="1"/>
  </si>
  <si>
    <t>ねっとわーく構成を見直す</t>
    <rPh sb="6" eb="8">
      <t>コウセイ</t>
    </rPh>
    <rPh sb="9" eb="11">
      <t>ミナオ</t>
    </rPh>
    <phoneticPr fontId="1"/>
  </si>
  <si>
    <t>データダイオードは片方向の転送のみ</t>
    <rPh sb="9" eb="12">
      <t>カタホウコウ</t>
    </rPh>
    <rPh sb="13" eb="15">
      <t>テンソウ</t>
    </rPh>
    <phoneticPr fontId="1"/>
  </si>
  <si>
    <t>Internetからの攻撃者の指示を遮断する</t>
    <rPh sb="11" eb="14">
      <t>コウゲキシャ</t>
    </rPh>
    <rPh sb="15" eb="17">
      <t>シジ</t>
    </rPh>
    <rPh sb="18" eb="20">
      <t>シャダン</t>
    </rPh>
    <phoneticPr fontId="1"/>
  </si>
  <si>
    <t>4-(1)</t>
    <phoneticPr fontId="1"/>
  </si>
  <si>
    <t>4-(2)</t>
    <phoneticPr fontId="1"/>
  </si>
  <si>
    <t>i:イ</t>
    <phoneticPr fontId="1"/>
  </si>
  <si>
    <t>j:ウ</t>
    <phoneticPr fontId="1"/>
  </si>
  <si>
    <t>k:ア</t>
    <phoneticPr fontId="1"/>
  </si>
  <si>
    <t>4-(3)</t>
    <phoneticPr fontId="1"/>
  </si>
  <si>
    <t>USBメモリをマルウェア対策ソフトでスキャンする</t>
    <rPh sb="12" eb="14">
      <t>タイサク</t>
    </rPh>
    <phoneticPr fontId="1"/>
  </si>
  <si>
    <t>5-(1)</t>
    <phoneticPr fontId="1"/>
  </si>
  <si>
    <t>認証SVは事務と怨嗟</t>
    <rPh sb="0" eb="2">
      <t>ニンショウ</t>
    </rPh>
    <rPh sb="5" eb="7">
      <t>ジム</t>
    </rPh>
    <rPh sb="8" eb="10">
      <t>エンサ</t>
    </rPh>
    <phoneticPr fontId="1"/>
  </si>
  <si>
    <t>事務用LAN:い</t>
    <rPh sb="0" eb="3">
      <t>ジムヨウ</t>
    </rPh>
    <phoneticPr fontId="1"/>
  </si>
  <si>
    <t>センサLAN:か</t>
    <phoneticPr fontId="1"/>
  </si>
  <si>
    <t>図5は図4に比べて優れている</t>
    <rPh sb="0" eb="1">
      <t>ズ</t>
    </rPh>
    <rPh sb="3" eb="4">
      <t>ズ</t>
    </rPh>
    <rPh sb="6" eb="7">
      <t>クラ</t>
    </rPh>
    <rPh sb="9" eb="10">
      <t>スグ</t>
    </rPh>
    <phoneticPr fontId="1"/>
  </si>
  <si>
    <t>設備停止がないようにする</t>
    <rPh sb="0" eb="2">
      <t>セツビ</t>
    </rPh>
    <rPh sb="2" eb="4">
      <t>テイシ</t>
    </rPh>
    <phoneticPr fontId="1"/>
  </si>
  <si>
    <t>5-(2)</t>
    <phoneticPr fontId="1"/>
  </si>
  <si>
    <t>Internetからの不正な操作があっても、F-Netに直接通信ができず、生産設備関係の端末への攻撃を抑制出来る。</t>
    <rPh sb="11" eb="13">
      <t>フセイ</t>
    </rPh>
    <rPh sb="14" eb="16">
      <t>ソウサ</t>
    </rPh>
    <rPh sb="28" eb="30">
      <t>チョクセツ</t>
    </rPh>
    <rPh sb="30" eb="32">
      <t>ツウシン</t>
    </rPh>
    <rPh sb="37" eb="39">
      <t>セイサン</t>
    </rPh>
    <rPh sb="39" eb="41">
      <t>セツビ</t>
    </rPh>
    <rPh sb="41" eb="43">
      <t>カンケイ</t>
    </rPh>
    <rPh sb="44" eb="46">
      <t>タンマツ</t>
    </rPh>
    <rPh sb="48" eb="50">
      <t>コウゲキ</t>
    </rPh>
    <rPh sb="51" eb="53">
      <t>ヨクセイ</t>
    </rPh>
    <rPh sb="53" eb="55">
      <t>デキ</t>
    </rPh>
    <phoneticPr fontId="1"/>
  </si>
  <si>
    <t>6-(1)</t>
    <phoneticPr fontId="1"/>
  </si>
  <si>
    <t>イ</t>
    <phoneticPr fontId="1"/>
  </si>
  <si>
    <t>6-(2)</t>
    <phoneticPr fontId="1"/>
  </si>
  <si>
    <t>業務用ソフトのバージョン情報を収集する</t>
    <rPh sb="0" eb="2">
      <t>ギョウム</t>
    </rPh>
    <rPh sb="2" eb="3">
      <t>ヨウ</t>
    </rPh>
    <rPh sb="12" eb="14">
      <t>ジョウホウ</t>
    </rPh>
    <rPh sb="15" eb="17">
      <t>シュウシュウ</t>
    </rPh>
    <phoneticPr fontId="1"/>
  </si>
  <si>
    <t>業務ソフトの脆弱性管理と修正パッチの適用を行う</t>
    <rPh sb="0" eb="2">
      <t>ギョウム</t>
    </rPh>
    <rPh sb="6" eb="9">
      <t>ゼイジャクセイ</t>
    </rPh>
    <rPh sb="9" eb="11">
      <t>カンリ</t>
    </rPh>
    <rPh sb="12" eb="14">
      <t>シュウセイ</t>
    </rPh>
    <rPh sb="18" eb="20">
      <t>テキヨウ</t>
    </rPh>
    <rPh sb="21" eb="22">
      <t>オコナ</t>
    </rPh>
    <phoneticPr fontId="1"/>
  </si>
  <si>
    <t>7-(1)</t>
    <phoneticPr fontId="1"/>
  </si>
  <si>
    <t>図4:工場LANエ</t>
    <rPh sb="0" eb="1">
      <t>ズ</t>
    </rPh>
    <rPh sb="3" eb="5">
      <t>コウジョウ</t>
    </rPh>
    <phoneticPr fontId="1"/>
  </si>
  <si>
    <t>図4:標準PCエ</t>
    <rPh sb="0" eb="1">
      <t>ズ</t>
    </rPh>
    <rPh sb="3" eb="5">
      <t>ヒョウジュン</t>
    </rPh>
    <phoneticPr fontId="1"/>
  </si>
  <si>
    <t>図4:FAア</t>
    <rPh sb="0" eb="1">
      <t>ズ</t>
    </rPh>
    <phoneticPr fontId="1"/>
  </si>
  <si>
    <t>図5:事務LANエ</t>
    <rPh sb="0" eb="1">
      <t>ズ</t>
    </rPh>
    <rPh sb="3" eb="5">
      <t>ジム</t>
    </rPh>
    <phoneticPr fontId="1"/>
  </si>
  <si>
    <t>図5:F-NETア</t>
    <rPh sb="0" eb="1">
      <t>ズ</t>
    </rPh>
    <phoneticPr fontId="1"/>
  </si>
  <si>
    <t>図5:センサNETア</t>
    <rPh sb="0" eb="1">
      <t>ズ</t>
    </rPh>
    <phoneticPr fontId="1"/>
  </si>
  <si>
    <t>図5:標準PCエ</t>
    <rPh sb="0" eb="1">
      <t>ズ</t>
    </rPh>
    <rPh sb="3" eb="5">
      <t>ヒョウジュン</t>
    </rPh>
    <phoneticPr fontId="1"/>
  </si>
  <si>
    <t>図5:FA端末ア</t>
    <rPh sb="0" eb="1">
      <t>ズ</t>
    </rPh>
    <rPh sb="5" eb="7">
      <t>タンマツ</t>
    </rPh>
    <phoneticPr fontId="1"/>
  </si>
  <si>
    <t>7-(2)</t>
    <phoneticPr fontId="1"/>
  </si>
  <si>
    <t>A-NET接続のため実施したアセスメント</t>
    <rPh sb="5" eb="7">
      <t>セツゾク</t>
    </rPh>
    <rPh sb="10" eb="12">
      <t>ジッシ</t>
    </rPh>
    <phoneticPr fontId="1"/>
  </si>
  <si>
    <t>管理・維持のための定めた措置</t>
    <rPh sb="0" eb="2">
      <t>カンリ</t>
    </rPh>
    <rPh sb="3" eb="5">
      <t>イジ</t>
    </rPh>
    <rPh sb="9" eb="10">
      <t>サダ</t>
    </rPh>
    <rPh sb="12" eb="14">
      <t>ソチ</t>
    </rPh>
    <phoneticPr fontId="1"/>
  </si>
  <si>
    <t>8-2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</si>
</sst>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20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topLeftCell="C1" workbookViewId="0">
      <selection activeCell="I9" sqref="I9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48</v>
      </c>
      <c r="E2">
        <v>50</v>
      </c>
    </row>
    <row r="3" spans="1:6">
      <c r="A3">
        <v>2</v>
      </c>
      <c r="B3" s="2" t="s">
        <v>12</v>
      </c>
      <c r="C3" s="2" t="s">
        <v>109</v>
      </c>
      <c r="D3">
        <v>87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91F1C-48F7-4728-883E-283A8DD96971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48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20</v>
      </c>
      <c r="B4" s="1" t="s">
        <v>21</v>
      </c>
      <c r="C4">
        <f>IF(B4&lt;&gt;"",LEN(B4),"")</f>
        <v>3</v>
      </c>
      <c r="D4">
        <v>2</v>
      </c>
      <c r="E4">
        <v>2</v>
      </c>
      <c r="G4" t="s">
        <v>16</v>
      </c>
    </row>
    <row r="5" spans="1:7">
      <c r="B5" s="1" t="s">
        <v>22</v>
      </c>
      <c r="C5">
        <f t="shared" ref="C5:C68" si="0">IF(B5&lt;&gt;"",LEN(B5),"")</f>
        <v>3</v>
      </c>
      <c r="D5">
        <v>0</v>
      </c>
      <c r="E5">
        <v>2</v>
      </c>
      <c r="G5" t="s">
        <v>17</v>
      </c>
    </row>
    <row r="6" spans="1:7">
      <c r="A6" s="2" t="s">
        <v>26</v>
      </c>
      <c r="B6" s="1" t="s">
        <v>24</v>
      </c>
      <c r="C6">
        <f t="shared" si="0"/>
        <v>3</v>
      </c>
      <c r="D6">
        <v>2</v>
      </c>
      <c r="E6">
        <v>2</v>
      </c>
      <c r="G6" t="s">
        <v>18</v>
      </c>
    </row>
    <row r="7" spans="1:7">
      <c r="B7" s="1" t="s">
        <v>25</v>
      </c>
      <c r="C7">
        <f t="shared" si="0"/>
        <v>3</v>
      </c>
      <c r="D7">
        <v>2</v>
      </c>
      <c r="E7">
        <v>2</v>
      </c>
      <c r="G7" t="s">
        <v>19</v>
      </c>
    </row>
    <row r="8" spans="1:7">
      <c r="A8" s="2" t="s">
        <v>27</v>
      </c>
      <c r="B8" s="1" t="s">
        <v>28</v>
      </c>
      <c r="C8">
        <f t="shared" si="0"/>
        <v>16</v>
      </c>
      <c r="D8">
        <v>6</v>
      </c>
      <c r="E8">
        <v>6</v>
      </c>
    </row>
    <row r="9" spans="1:7">
      <c r="A9" s="2" t="s">
        <v>23</v>
      </c>
      <c r="B9" s="1" t="s">
        <v>29</v>
      </c>
      <c r="C9">
        <f t="shared" si="0"/>
        <v>12</v>
      </c>
      <c r="D9">
        <v>2</v>
      </c>
      <c r="E9">
        <v>2</v>
      </c>
    </row>
    <row r="10" spans="1:7">
      <c r="B10" s="1" t="s">
        <v>30</v>
      </c>
      <c r="C10">
        <f t="shared" si="0"/>
        <v>7</v>
      </c>
      <c r="D10">
        <v>2</v>
      </c>
      <c r="E10">
        <v>2</v>
      </c>
    </row>
    <row r="11" spans="1:7">
      <c r="B11" s="1" t="s">
        <v>31</v>
      </c>
      <c r="C11">
        <f t="shared" si="0"/>
        <v>7</v>
      </c>
      <c r="D11">
        <v>2</v>
      </c>
      <c r="E11">
        <v>2</v>
      </c>
    </row>
    <row r="12" spans="1:7">
      <c r="B12" s="1" t="s">
        <v>32</v>
      </c>
      <c r="C12">
        <f t="shared" si="0"/>
        <v>15</v>
      </c>
      <c r="D12">
        <v>6</v>
      </c>
      <c r="E12">
        <v>6</v>
      </c>
    </row>
    <row r="13" spans="1:7">
      <c r="A13" s="2" t="s">
        <v>33</v>
      </c>
      <c r="B13" s="1" t="s">
        <v>34</v>
      </c>
      <c r="C13">
        <f t="shared" si="0"/>
        <v>41</v>
      </c>
      <c r="D13">
        <v>6</v>
      </c>
      <c r="E13">
        <v>6</v>
      </c>
    </row>
    <row r="14" spans="1:7">
      <c r="A14" s="2" t="s">
        <v>35</v>
      </c>
      <c r="B14" s="1" t="s">
        <v>36</v>
      </c>
      <c r="C14">
        <f t="shared" si="0"/>
        <v>4</v>
      </c>
      <c r="D14">
        <v>2</v>
      </c>
      <c r="E14">
        <v>2</v>
      </c>
    </row>
    <row r="15" spans="1:7">
      <c r="B15" s="1" t="s">
        <v>37</v>
      </c>
      <c r="C15">
        <f t="shared" si="0"/>
        <v>16</v>
      </c>
      <c r="D15">
        <v>4</v>
      </c>
      <c r="E15">
        <v>4</v>
      </c>
    </row>
    <row r="16" spans="1:7">
      <c r="B16" s="1" t="s">
        <v>38</v>
      </c>
      <c r="C16">
        <f t="shared" si="0"/>
        <v>3</v>
      </c>
      <c r="D16">
        <v>2</v>
      </c>
      <c r="E16">
        <v>2</v>
      </c>
    </row>
    <row r="17" spans="1:5">
      <c r="B17" s="1" t="s">
        <v>39</v>
      </c>
      <c r="C17">
        <f t="shared" si="0"/>
        <v>19</v>
      </c>
      <c r="D17">
        <v>4</v>
      </c>
      <c r="E17">
        <v>4</v>
      </c>
    </row>
    <row r="18" spans="1:5">
      <c r="A18" s="2" t="s">
        <v>40</v>
      </c>
      <c r="B18" s="1" t="s">
        <v>41</v>
      </c>
      <c r="C18">
        <f t="shared" si="0"/>
        <v>7</v>
      </c>
      <c r="D18">
        <v>6</v>
      </c>
      <c r="E18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2C444-C471-46C1-AF67-5ED9C5F218BE}">
  <sheetPr codeName="Sheet5"/>
  <dimension ref="A1:N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35" sqref="D35:D36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4">
      <c r="A1" s="2" t="s">
        <v>0</v>
      </c>
      <c r="B1" s="1" t="s">
        <v>13</v>
      </c>
    </row>
    <row r="2" spans="1:14">
      <c r="A2" s="2" t="s">
        <v>2</v>
      </c>
      <c r="B2" s="3" t="s">
        <v>42</v>
      </c>
      <c r="D2">
        <f>SUM(D4:D1000)</f>
        <v>87</v>
      </c>
      <c r="E2">
        <f>SUM(E4:E1000)</f>
        <v>100</v>
      </c>
    </row>
    <row r="3" spans="1:14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4">
      <c r="A4" s="2" t="s">
        <v>20</v>
      </c>
      <c r="B4" s="1" t="s">
        <v>50</v>
      </c>
      <c r="C4">
        <f>IF(B4&lt;&gt;"",LEN(B4),"")</f>
        <v>38</v>
      </c>
      <c r="D4">
        <v>8</v>
      </c>
      <c r="E4">
        <v>8</v>
      </c>
    </row>
    <row r="5" spans="1:14">
      <c r="A5" s="2" t="s">
        <v>26</v>
      </c>
      <c r="B5" s="1" t="s">
        <v>51</v>
      </c>
      <c r="C5">
        <f t="shared" ref="C5:C68" si="0">IF(B5&lt;&gt;"",LEN(B5),"")</f>
        <v>3</v>
      </c>
      <c r="D5">
        <v>2</v>
      </c>
      <c r="E5">
        <v>2</v>
      </c>
      <c r="G5" t="s">
        <v>43</v>
      </c>
      <c r="I5" t="s">
        <v>48</v>
      </c>
      <c r="K5" t="s">
        <v>57</v>
      </c>
    </row>
    <row r="6" spans="1:14">
      <c r="A6" s="2" t="s">
        <v>52</v>
      </c>
      <c r="B6" s="1" t="s">
        <v>54</v>
      </c>
      <c r="C6">
        <f t="shared" si="0"/>
        <v>3</v>
      </c>
      <c r="D6">
        <v>2</v>
      </c>
      <c r="E6">
        <v>2</v>
      </c>
      <c r="G6" t="s">
        <v>44</v>
      </c>
      <c r="I6" t="s">
        <v>49</v>
      </c>
      <c r="K6" t="s">
        <v>58</v>
      </c>
    </row>
    <row r="7" spans="1:14">
      <c r="A7" s="2" t="s">
        <v>55</v>
      </c>
      <c r="B7" s="1" t="s">
        <v>56</v>
      </c>
      <c r="C7">
        <f t="shared" si="0"/>
        <v>4</v>
      </c>
      <c r="D7">
        <v>2</v>
      </c>
      <c r="E7">
        <v>2</v>
      </c>
      <c r="G7" t="s">
        <v>45</v>
      </c>
      <c r="I7" t="s">
        <v>53</v>
      </c>
      <c r="K7" t="s">
        <v>59</v>
      </c>
    </row>
    <row r="8" spans="1:14">
      <c r="A8" s="2" t="s">
        <v>27</v>
      </c>
      <c r="B8" s="1" t="s">
        <v>60</v>
      </c>
      <c r="C8">
        <f t="shared" si="0"/>
        <v>3</v>
      </c>
      <c r="D8">
        <v>2</v>
      </c>
      <c r="E8">
        <v>2</v>
      </c>
      <c r="G8" t="s">
        <v>46</v>
      </c>
    </row>
    <row r="9" spans="1:14">
      <c r="B9" s="1" t="s">
        <v>61</v>
      </c>
      <c r="C9">
        <f t="shared" si="0"/>
        <v>3</v>
      </c>
      <c r="D9">
        <v>2</v>
      </c>
      <c r="E9">
        <v>2</v>
      </c>
      <c r="G9" t="s">
        <v>47</v>
      </c>
    </row>
    <row r="10" spans="1:14">
      <c r="B10" s="1" t="s">
        <v>62</v>
      </c>
      <c r="C10">
        <f t="shared" si="0"/>
        <v>3</v>
      </c>
      <c r="D10">
        <v>2</v>
      </c>
      <c r="E10">
        <v>2</v>
      </c>
    </row>
    <row r="11" spans="1:14">
      <c r="A11" s="2" t="s">
        <v>23</v>
      </c>
      <c r="B11" s="4" t="s">
        <v>63</v>
      </c>
      <c r="C11">
        <f t="shared" si="0"/>
        <v>3</v>
      </c>
      <c r="D11">
        <v>2</v>
      </c>
      <c r="E11">
        <v>3</v>
      </c>
      <c r="G11" t="s">
        <v>66</v>
      </c>
      <c r="I11" t="s">
        <v>69</v>
      </c>
      <c r="K11" t="s">
        <v>72</v>
      </c>
      <c r="N11" t="s">
        <v>74</v>
      </c>
    </row>
    <row r="12" spans="1:14">
      <c r="B12" s="4" t="s">
        <v>64</v>
      </c>
      <c r="C12">
        <f t="shared" si="0"/>
        <v>3</v>
      </c>
      <c r="D12">
        <v>2</v>
      </c>
      <c r="E12">
        <v>3</v>
      </c>
      <c r="G12" t="s">
        <v>67</v>
      </c>
      <c r="K12" t="s">
        <v>73</v>
      </c>
    </row>
    <row r="13" spans="1:14">
      <c r="B13" s="1" t="s">
        <v>65</v>
      </c>
      <c r="C13">
        <f t="shared" si="0"/>
        <v>3</v>
      </c>
      <c r="D13">
        <v>2</v>
      </c>
      <c r="E13">
        <v>3</v>
      </c>
      <c r="G13" t="s">
        <v>68</v>
      </c>
    </row>
    <row r="14" spans="1:14">
      <c r="A14" s="2" t="s">
        <v>35</v>
      </c>
      <c r="B14" s="1" t="s">
        <v>70</v>
      </c>
      <c r="C14">
        <f t="shared" si="0"/>
        <v>8</v>
      </c>
      <c r="D14">
        <v>4</v>
      </c>
      <c r="E14">
        <v>4</v>
      </c>
      <c r="G14" t="s">
        <v>75</v>
      </c>
    </row>
    <row r="15" spans="1:14">
      <c r="B15" s="1" t="s">
        <v>71</v>
      </c>
      <c r="C15">
        <f t="shared" si="0"/>
        <v>10</v>
      </c>
      <c r="D15">
        <v>4</v>
      </c>
      <c r="E15">
        <v>4</v>
      </c>
    </row>
    <row r="16" spans="1:14">
      <c r="A16" s="2" t="s">
        <v>77</v>
      </c>
      <c r="B16" s="1" t="s">
        <v>76</v>
      </c>
      <c r="C16">
        <f t="shared" si="0"/>
        <v>22</v>
      </c>
      <c r="D16">
        <v>6</v>
      </c>
      <c r="E16">
        <v>6</v>
      </c>
      <c r="G16" t="s">
        <v>85</v>
      </c>
    </row>
    <row r="17" spans="1:7">
      <c r="A17" s="2" t="s">
        <v>78</v>
      </c>
      <c r="B17" s="1" t="s">
        <v>79</v>
      </c>
      <c r="C17">
        <f t="shared" si="0"/>
        <v>3</v>
      </c>
      <c r="D17">
        <v>2</v>
      </c>
      <c r="E17">
        <v>2</v>
      </c>
    </row>
    <row r="18" spans="1:7">
      <c r="B18" s="1" t="s">
        <v>80</v>
      </c>
      <c r="C18">
        <f t="shared" si="0"/>
        <v>3</v>
      </c>
      <c r="D18">
        <v>2</v>
      </c>
      <c r="E18">
        <v>2</v>
      </c>
      <c r="G18" t="s">
        <v>88</v>
      </c>
    </row>
    <row r="19" spans="1:7">
      <c r="B19" s="1" t="s">
        <v>81</v>
      </c>
      <c r="C19">
        <f t="shared" si="0"/>
        <v>3</v>
      </c>
      <c r="D19">
        <v>2</v>
      </c>
      <c r="E19">
        <v>2</v>
      </c>
      <c r="G19" t="s">
        <v>89</v>
      </c>
    </row>
    <row r="20" spans="1:7">
      <c r="A20" s="2" t="s">
        <v>82</v>
      </c>
      <c r="B20" s="1" t="s">
        <v>83</v>
      </c>
      <c r="C20">
        <f t="shared" si="0"/>
        <v>24</v>
      </c>
      <c r="D20">
        <v>6</v>
      </c>
      <c r="E20">
        <v>6</v>
      </c>
    </row>
    <row r="21" spans="1:7">
      <c r="A21" s="2" t="s">
        <v>84</v>
      </c>
      <c r="B21" s="1" t="s">
        <v>86</v>
      </c>
      <c r="C21">
        <f t="shared" si="0"/>
        <v>8</v>
      </c>
      <c r="D21">
        <v>2</v>
      </c>
      <c r="E21">
        <v>2</v>
      </c>
    </row>
    <row r="22" spans="1:7">
      <c r="B22" s="1" t="s">
        <v>87</v>
      </c>
      <c r="C22">
        <f t="shared" si="0"/>
        <v>8</v>
      </c>
      <c r="D22">
        <v>2</v>
      </c>
      <c r="E22">
        <v>2</v>
      </c>
    </row>
    <row r="23" spans="1:7">
      <c r="A23" s="2" t="s">
        <v>90</v>
      </c>
      <c r="B23" s="1" t="s">
        <v>91</v>
      </c>
      <c r="C23">
        <f t="shared" si="0"/>
        <v>57</v>
      </c>
      <c r="D23">
        <v>4</v>
      </c>
      <c r="E23">
        <v>8</v>
      </c>
    </row>
    <row r="24" spans="1:7">
      <c r="A24" s="2" t="s">
        <v>92</v>
      </c>
      <c r="B24" s="1" t="s">
        <v>93</v>
      </c>
      <c r="C24">
        <f t="shared" si="0"/>
        <v>1</v>
      </c>
      <c r="D24">
        <v>3</v>
      </c>
      <c r="E24">
        <v>3</v>
      </c>
    </row>
    <row r="25" spans="1:7">
      <c r="A25" s="2" t="s">
        <v>94</v>
      </c>
      <c r="B25" s="1" t="s">
        <v>95</v>
      </c>
      <c r="C25">
        <f t="shared" si="0"/>
        <v>19</v>
      </c>
      <c r="D25">
        <v>0</v>
      </c>
      <c r="E25">
        <v>6</v>
      </c>
    </row>
    <row r="26" spans="1:7">
      <c r="B26" s="1" t="s">
        <v>96</v>
      </c>
      <c r="C26">
        <f t="shared" si="0"/>
        <v>23</v>
      </c>
      <c r="D26">
        <v>6</v>
      </c>
      <c r="E26">
        <v>6</v>
      </c>
    </row>
    <row r="27" spans="1:7">
      <c r="A27" s="2" t="s">
        <v>97</v>
      </c>
      <c r="B27" s="1" t="s">
        <v>98</v>
      </c>
      <c r="C27">
        <f t="shared" si="0"/>
        <v>9</v>
      </c>
      <c r="D27">
        <v>1</v>
      </c>
      <c r="E27">
        <v>1</v>
      </c>
    </row>
    <row r="28" spans="1:7">
      <c r="B28" s="1" t="s">
        <v>99</v>
      </c>
      <c r="C28">
        <f t="shared" si="0"/>
        <v>8</v>
      </c>
      <c r="D28">
        <v>1</v>
      </c>
      <c r="E28">
        <v>1</v>
      </c>
    </row>
    <row r="29" spans="1:7">
      <c r="B29" s="1" t="s">
        <v>100</v>
      </c>
      <c r="C29">
        <f t="shared" si="0"/>
        <v>6</v>
      </c>
      <c r="D29">
        <v>1</v>
      </c>
      <c r="E29">
        <v>1</v>
      </c>
    </row>
    <row r="30" spans="1:7">
      <c r="B30" s="1" t="s">
        <v>101</v>
      </c>
      <c r="C30">
        <f t="shared" si="0"/>
        <v>9</v>
      </c>
      <c r="D30">
        <v>1</v>
      </c>
      <c r="E30">
        <v>1</v>
      </c>
    </row>
    <row r="31" spans="1:7">
      <c r="B31" s="1" t="s">
        <v>102</v>
      </c>
      <c r="C31">
        <f t="shared" si="0"/>
        <v>9</v>
      </c>
      <c r="D31">
        <v>1</v>
      </c>
      <c r="E31">
        <v>1</v>
      </c>
    </row>
    <row r="32" spans="1:7">
      <c r="B32" s="1" t="s">
        <v>103</v>
      </c>
      <c r="C32">
        <f t="shared" si="0"/>
        <v>10</v>
      </c>
      <c r="D32">
        <v>1</v>
      </c>
      <c r="E32">
        <v>1</v>
      </c>
    </row>
    <row r="33" spans="1:5">
      <c r="B33" s="1" t="s">
        <v>104</v>
      </c>
      <c r="C33">
        <f t="shared" si="0"/>
        <v>8</v>
      </c>
      <c r="D33">
        <v>1</v>
      </c>
      <c r="E33">
        <v>1</v>
      </c>
    </row>
    <row r="34" spans="1:5">
      <c r="B34" s="1" t="s">
        <v>105</v>
      </c>
      <c r="C34">
        <f t="shared" si="0"/>
        <v>8</v>
      </c>
      <c r="D34">
        <v>1</v>
      </c>
      <c r="E34">
        <v>1</v>
      </c>
    </row>
    <row r="35" spans="1:5">
      <c r="A35" s="2" t="s">
        <v>106</v>
      </c>
      <c r="B35" s="1" t="s">
        <v>108</v>
      </c>
      <c r="C35">
        <f t="shared" si="0"/>
        <v>14</v>
      </c>
      <c r="D35">
        <v>5</v>
      </c>
      <c r="E35">
        <v>5</v>
      </c>
    </row>
    <row r="36" spans="1:5">
      <c r="B36" s="1" t="s">
        <v>107</v>
      </c>
      <c r="C36">
        <f t="shared" si="0"/>
        <v>20</v>
      </c>
      <c r="D36">
        <v>5</v>
      </c>
      <c r="E36">
        <v>5</v>
      </c>
    </row>
    <row r="37" spans="1:5">
      <c r="C37" t="str">
        <f t="shared" si="0"/>
        <v/>
      </c>
    </row>
    <row r="38" spans="1:5">
      <c r="C38" t="str">
        <f t="shared" si="0"/>
        <v/>
      </c>
    </row>
    <row r="39" spans="1:5">
      <c r="C39" t="str">
        <f t="shared" si="0"/>
        <v/>
      </c>
    </row>
    <row r="40" spans="1:5">
      <c r="C40" t="str">
        <f t="shared" si="0"/>
        <v/>
      </c>
    </row>
    <row r="41" spans="1:5">
      <c r="C41" t="str">
        <f t="shared" si="0"/>
        <v/>
      </c>
    </row>
    <row r="42" spans="1:5">
      <c r="C42" t="str">
        <f t="shared" si="0"/>
        <v/>
      </c>
    </row>
    <row r="43" spans="1:5">
      <c r="C43" t="str">
        <f t="shared" si="0"/>
        <v/>
      </c>
    </row>
    <row r="44" spans="1:5">
      <c r="C44" t="str">
        <f t="shared" si="0"/>
        <v/>
      </c>
    </row>
    <row r="45" spans="1:5">
      <c r="C45" t="str">
        <f t="shared" si="0"/>
        <v/>
      </c>
    </row>
    <row r="46" spans="1:5">
      <c r="C46" t="str">
        <f t="shared" si="0"/>
        <v/>
      </c>
    </row>
    <row r="47" spans="1:5">
      <c r="C47" t="str">
        <f t="shared" si="0"/>
        <v/>
      </c>
    </row>
    <row r="48" spans="1:5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2025-01-19T03:10:24Z</dcterms:modified>
</cp:coreProperties>
</file>