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2-PKI\"/>
    </mc:Choice>
  </mc:AlternateContent>
  <xr:revisionPtr revIDLastSave="0" documentId="13_ncr:1_{682F1DC2-41F3-4F18-9491-70C73C203152}" xr6:coauthVersionLast="47" xr6:coauthVersionMax="47" xr10:uidLastSave="{00000000-0000-0000-0000-000000000000}"/>
  <bookViews>
    <workbookView xWindow="-60" yWindow="15" windowWidth="21045" windowHeight="1479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<sst xmlns="http://schemas.openxmlformats.org/spreadsheetml/2006/main" count="224" uniqueCount="145">
  <si>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</si>
  <si>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</si>
  <si>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</si>
  <si>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</si>
  <si>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</si>
  <si>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</si>
  <si>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</si>
  <si>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</si>
  <si>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</si>
  <si>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</si>
  <si>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</si>
  <si>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</si>
  <si>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</si>
  <si>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</si>
  <si>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</si>
  <si>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</si>
  <si>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</si>
  <si>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</si>
  <si>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</si>
  <si>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</si>
  <si>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</si>
  <si>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</si>
  <si>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</si>
  <si>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</si>
  <si>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</si>
  <si>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</si>
  <si>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</si>
  <si>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</si>
  <si>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</si>
  <si>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</si>
  <si>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</si>
  <si>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</si>
  <si>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</si>
  <si>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</si>
  <si>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</si>
  <si>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</si>
  <si>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</si>
  <si>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</si>
  <si>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</si>
  <si>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</si>
  <si>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</si>
  <si>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</si>
  <si>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</si>
  <si>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</si>
  <si>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</si>
  <si>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</si>
  <si>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</si>
  <si>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</si>
  <si>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</si>
  <si>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</si>
  <si>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</si>
  <si>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</si>
  <si>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</si>
  <si>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</si>
  <si>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</si>
  <si>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</si>
  <si>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</si>
  <si>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</si>
  <si>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</si>
  <si>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</si>
  <si>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</si>
  <si>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</si>
  <si>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</si>
  <si>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</si>
  <si>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</si>
  <si>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</si>
  <si>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</si>
  <si>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</si>
  <si>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</si>
  <si>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</si>
  <si>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</si>
  <si>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</si>
  <si>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</si>
  <si>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</si>
  <si>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</si>
  <si>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</si>
  <si>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</si>
  <si>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</si>
  <si>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</si>
  <si>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</si>
  <si>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</si>
  <si>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</si>
  <si>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</si>
  <si>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</si>
  <si>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</si>
  <si>
    <t>3-(1)</t>
    <phoneticPr fontId="1"/>
  </si>
  <si>
    <t>サーバー証明書が信頼できないというエラーが表示される。</t>
    <rPh sb="4" eb="7">
      <t>ショウメイショ</t>
    </rPh>
    <rPh sb="8" eb="10">
      <t>シンライ</t>
    </rPh>
    <rPh sb="21" eb="23">
      <t>ヒョウジ</t>
    </rPh>
    <phoneticPr fontId="1"/>
  </si>
  <si>
    <t>サーバー証明書の正当性が確認できず警告が表示される</t>
    <rPh sb="4" eb="7">
      <t>ショウメイショ</t>
    </rPh>
    <rPh sb="8" eb="11">
      <t>セイトウセイ</t>
    </rPh>
    <rPh sb="12" eb="14">
      <t>カクニン</t>
    </rPh>
    <rPh sb="17" eb="19">
      <t>ケイコク</t>
    </rPh>
    <rPh sb="20" eb="22">
      <t>ヒョウジ</t>
    </rPh>
    <phoneticPr fontId="1"/>
  </si>
  <si>
    <t>3-(2)</t>
    <phoneticPr fontId="1"/>
  </si>
  <si>
    <t>ルートCAがなりすましされた場合に、不正なサーバーにアクセスするリスク</t>
    <rPh sb="14" eb="16">
      <t>バアイ</t>
    </rPh>
    <rPh sb="18" eb="20">
      <t>フセイ</t>
    </rPh>
    <phoneticPr fontId="1"/>
  </si>
  <si>
    <t>ルートCAが不正操作された場合に、不正なサーバーにアクセスするリスク</t>
    <rPh sb="6" eb="8">
      <t>フセイ</t>
    </rPh>
    <rPh sb="8" eb="10">
      <t>ソウサ</t>
    </rPh>
    <rPh sb="13" eb="15">
      <t>バアイ</t>
    </rPh>
    <rPh sb="17" eb="19">
      <t>フセイ</t>
    </rPh>
    <phoneticPr fontId="1"/>
  </si>
  <si>
    <t>4-(1)</t>
    <phoneticPr fontId="1"/>
  </si>
  <si>
    <t>方式A</t>
    <rPh sb="0" eb="2">
      <t>ホウシキ</t>
    </rPh>
    <phoneticPr fontId="1"/>
  </si>
  <si>
    <t>プロジェクトごとに認証カードを貸与</t>
    <rPh sb="9" eb="11">
      <t>ニンショウ</t>
    </rPh>
    <rPh sb="15" eb="17">
      <t>タイヨ</t>
    </rPh>
    <phoneticPr fontId="1"/>
  </si>
  <si>
    <t>方式B</t>
    <rPh sb="0" eb="2">
      <t>ホウシキ</t>
    </rPh>
    <phoneticPr fontId="1"/>
  </si>
  <si>
    <t>取引先には認証カード1枚のみ</t>
    <rPh sb="0" eb="3">
      <t>トリヒキサキ</t>
    </rPh>
    <rPh sb="5" eb="7">
      <t>ニンショウ</t>
    </rPh>
    <rPh sb="11" eb="12">
      <t>マイ</t>
    </rPh>
    <phoneticPr fontId="1"/>
  </si>
  <si>
    <t>認証カードがあるだけでは、認証はされるが、システムの認可はされないため、アクセスができないため。</t>
    <rPh sb="0" eb="2">
      <t>ニンショウ</t>
    </rPh>
    <rPh sb="13" eb="15">
      <t>ニンショウ</t>
    </rPh>
    <rPh sb="26" eb="28">
      <t>ニンカ</t>
    </rPh>
    <phoneticPr fontId="1"/>
  </si>
  <si>
    <t>4-(2)</t>
    <phoneticPr fontId="1"/>
  </si>
  <si>
    <t>認証カードの回収と、失効手続きの手間が１枚のみで済むため</t>
    <rPh sb="0" eb="2">
      <t>ニンショウ</t>
    </rPh>
    <rPh sb="6" eb="8">
      <t>カイシュウ</t>
    </rPh>
    <rPh sb="10" eb="12">
      <t>シッコウ</t>
    </rPh>
    <rPh sb="12" eb="14">
      <t>テツヅ</t>
    </rPh>
    <rPh sb="16" eb="18">
      <t>テマ</t>
    </rPh>
    <rPh sb="20" eb="21">
      <t>マイ</t>
    </rPh>
    <rPh sb="24" eb="25">
      <t>ス</t>
    </rPh>
    <phoneticPr fontId="1"/>
  </si>
  <si>
    <t>4-(3)</t>
    <phoneticPr fontId="1"/>
  </si>
  <si>
    <t>入室が出来なくなるため、従業員がカードを置き忘れがないよう意識するため。</t>
    <rPh sb="0" eb="2">
      <t>ニュウシツ</t>
    </rPh>
    <rPh sb="3" eb="5">
      <t>デキ</t>
    </rPh>
    <rPh sb="12" eb="15">
      <t>ジュウギョウイン</t>
    </rPh>
    <rPh sb="20" eb="21">
      <t>オ</t>
    </rPh>
    <rPh sb="22" eb="23">
      <t>ワス</t>
    </rPh>
    <rPh sb="29" eb="31">
      <t>イシキ</t>
    </rPh>
    <phoneticPr fontId="1"/>
  </si>
  <si>
    <t>2-2</t>
  </si>
  <si>
    <t>サイトQんでSKが刑事</t>
    <rPh sb="9" eb="11">
      <t>ケイジ</t>
    </rPh>
    <phoneticPr fontId="1"/>
  </si>
  <si>
    <t>a:コ</t>
    <phoneticPr fontId="1"/>
  </si>
  <si>
    <t>正規のサイトと思ってアクセスした利用者を偽のECサイトへ誘導する。</t>
    <rPh sb="0" eb="2">
      <t>セイキ</t>
    </rPh>
    <rPh sb="7" eb="8">
      <t>オモ</t>
    </rPh>
    <rPh sb="16" eb="19">
      <t>リヨウシャ</t>
    </rPh>
    <rPh sb="20" eb="21">
      <t>ニセ</t>
    </rPh>
    <rPh sb="28" eb="30">
      <t>ユウドウ</t>
    </rPh>
    <phoneticPr fontId="1"/>
  </si>
  <si>
    <t>ア：利用</t>
    <rPh sb="2" eb="4">
      <t>リヨウ</t>
    </rPh>
    <phoneticPr fontId="1"/>
  </si>
  <si>
    <t>イ：失効</t>
    <rPh sb="2" eb="4">
      <t>シッコウ</t>
    </rPh>
    <phoneticPr fontId="1"/>
  </si>
  <si>
    <t>・鍵が危殆かしたサイトのFQDN。</t>
    <rPh sb="1" eb="2">
      <t>カギ</t>
    </rPh>
    <rPh sb="3" eb="5">
      <t>キタイ</t>
    </rPh>
    <phoneticPr fontId="1"/>
  </si>
  <si>
    <t>・鍵が危殆化したと思われる日時。</t>
    <rPh sb="1" eb="2">
      <t>カギ</t>
    </rPh>
    <rPh sb="3" eb="5">
      <t>キタイ</t>
    </rPh>
    <rPh sb="5" eb="6">
      <t>カ</t>
    </rPh>
    <rPh sb="9" eb="10">
      <t>オモ</t>
    </rPh>
    <rPh sb="13" eb="15">
      <t>ニチジ</t>
    </rPh>
    <phoneticPr fontId="1"/>
  </si>
  <si>
    <t>新しい鍵ペア</t>
    <rPh sb="0" eb="1">
      <t>アタラ</t>
    </rPh>
    <rPh sb="3" eb="4">
      <t>カギ</t>
    </rPh>
    <phoneticPr fontId="1"/>
  </si>
  <si>
    <t>SSL3.0を利用不可の設定にする</t>
    <rPh sb="7" eb="9">
      <t>リヨウ</t>
    </rPh>
    <rPh sb="9" eb="11">
      <t>フカ</t>
    </rPh>
    <rPh sb="12" eb="14">
      <t>セッテイ</t>
    </rPh>
    <phoneticPr fontId="1"/>
  </si>
  <si>
    <t>ウ、オ</t>
    <phoneticPr fontId="1"/>
  </si>
  <si>
    <t>URLの存在性のみで発行されるため、正規を装った不正なサイトと見分けがつかない</t>
    <rPh sb="4" eb="6">
      <t>ソンザイ</t>
    </rPh>
    <rPh sb="6" eb="7">
      <t>セイ</t>
    </rPh>
    <rPh sb="10" eb="12">
      <t>ハッコウ</t>
    </rPh>
    <rPh sb="18" eb="20">
      <t>セイキ</t>
    </rPh>
    <rPh sb="21" eb="22">
      <t>ヨソオ</t>
    </rPh>
    <rPh sb="24" eb="26">
      <t>フセイ</t>
    </rPh>
    <rPh sb="31" eb="33">
      <t>ミワ</t>
    </rPh>
    <phoneticPr fontId="1"/>
  </si>
  <si>
    <t>ドメイン認証証明書ではサーバーの運営がC社であることを確認できない</t>
    <rPh sb="4" eb="6">
      <t>ニンショウ</t>
    </rPh>
    <rPh sb="6" eb="9">
      <t>ショウメイショ</t>
    </rPh>
    <rPh sb="16" eb="18">
      <t>ウンエイ</t>
    </rPh>
    <rPh sb="20" eb="21">
      <t>シャ</t>
    </rPh>
    <rPh sb="27" eb="29">
      <t>カクニン</t>
    </rPh>
    <phoneticPr fontId="1"/>
  </si>
  <si>
    <t>2-2-rev1</t>
    <phoneticPr fontId="1"/>
  </si>
  <si>
    <t>D社デベロッパ</t>
    <rPh sb="1" eb="2">
      <t>シャ</t>
    </rPh>
    <phoneticPr fontId="1"/>
  </si>
  <si>
    <t>ICカード</t>
    <phoneticPr fontId="1"/>
  </si>
  <si>
    <t>PCおよびネットワークを管理</t>
    <rPh sb="12" eb="14">
      <t>カンリ</t>
    </rPh>
    <phoneticPr fontId="1"/>
  </si>
  <si>
    <t>必要に応じてアカウント付与</t>
    <rPh sb="0" eb="2">
      <t>ヒツヨウ</t>
    </rPh>
    <rPh sb="3" eb="4">
      <t>オウ</t>
    </rPh>
    <rPh sb="11" eb="13">
      <t>フヨ</t>
    </rPh>
    <phoneticPr fontId="1"/>
  </si>
  <si>
    <t>利用者IDやPWで利用者認証</t>
    <rPh sb="0" eb="3">
      <t>リヨウシャ</t>
    </rPh>
    <rPh sb="9" eb="12">
      <t>リヨウシャ</t>
    </rPh>
    <rPh sb="12" eb="14">
      <t>ニンショウ</t>
    </rPh>
    <phoneticPr fontId="1"/>
  </si>
  <si>
    <t>事業用システムはTLS</t>
    <rPh sb="0" eb="3">
      <t>ジギョウヨウ</t>
    </rPh>
    <phoneticPr fontId="1"/>
  </si>
  <si>
    <t>PK証明書</t>
    <rPh sb="2" eb="5">
      <t>ショウメイショ</t>
    </rPh>
    <phoneticPr fontId="1"/>
  </si>
  <si>
    <t>利用者証明書</t>
    <rPh sb="0" eb="3">
      <t>リヨウシャ</t>
    </rPh>
    <rPh sb="3" eb="6">
      <t>ショウメイショ</t>
    </rPh>
    <phoneticPr fontId="1"/>
  </si>
  <si>
    <t>a: ウ</t>
    <phoneticPr fontId="1"/>
  </si>
  <si>
    <t>b: オ</t>
    <phoneticPr fontId="1"/>
  </si>
  <si>
    <t>ICカードを他者に貸与の上、PINを教える行為。</t>
    <rPh sb="6" eb="8">
      <t>タシャ</t>
    </rPh>
    <rPh sb="9" eb="11">
      <t>タイヨ</t>
    </rPh>
    <rPh sb="12" eb="13">
      <t>ウエ</t>
    </rPh>
    <rPh sb="18" eb="19">
      <t>オシ</t>
    </rPh>
    <rPh sb="21" eb="23">
      <t>コウイ</t>
    </rPh>
    <phoneticPr fontId="1"/>
  </si>
  <si>
    <t>PKI</t>
    <phoneticPr fontId="1"/>
  </si>
  <si>
    <t>k: エ</t>
    <phoneticPr fontId="1"/>
  </si>
  <si>
    <t>l: イ</t>
    <phoneticPr fontId="1"/>
  </si>
  <si>
    <t>c: ス</t>
    <phoneticPr fontId="1"/>
  </si>
  <si>
    <t>g: イ</t>
    <phoneticPr fontId="1"/>
  </si>
  <si>
    <t>h: オ</t>
    <phoneticPr fontId="1"/>
  </si>
  <si>
    <t>j: セ</t>
    <phoneticPr fontId="1"/>
  </si>
  <si>
    <t>i: ア</t>
    <phoneticPr fontId="1"/>
  </si>
  <si>
    <t>・申請者に対して、認証カードが発行済みではないか</t>
    <rPh sb="1" eb="4">
      <t>シンセイシャ</t>
    </rPh>
    <rPh sb="5" eb="6">
      <t>タイ</t>
    </rPh>
    <rPh sb="9" eb="11">
      <t>ニンショウ</t>
    </rPh>
    <rPh sb="15" eb="18">
      <t>ハッコウズ</t>
    </rPh>
    <phoneticPr fontId="1"/>
  </si>
  <si>
    <t>・業務上に発行の必要があることを上長に確認する。</t>
    <rPh sb="1" eb="3">
      <t>ギョウム</t>
    </rPh>
    <rPh sb="3" eb="4">
      <t>ウエ</t>
    </rPh>
    <rPh sb="5" eb="7">
      <t>ハッコウ</t>
    </rPh>
    <rPh sb="8" eb="10">
      <t>ヒツヨウ</t>
    </rPh>
    <rPh sb="16" eb="18">
      <t>ジョウチョウ</t>
    </rPh>
    <rPh sb="19" eb="21">
      <t>カクニン</t>
    </rPh>
    <phoneticPr fontId="1"/>
  </si>
  <si>
    <t>失効の申請があってから、失効情報サーバーへの登録に最短でも２日かかる。</t>
    <rPh sb="0" eb="2">
      <t>シッコウ</t>
    </rPh>
    <rPh sb="3" eb="5">
      <t>シンセイ</t>
    </rPh>
    <rPh sb="12" eb="14">
      <t>シッコウ</t>
    </rPh>
    <rPh sb="14" eb="16">
      <t>ジョウホウ</t>
    </rPh>
    <rPh sb="22" eb="24">
      <t>トウロク</t>
    </rPh>
    <rPh sb="25" eb="27">
      <t>サイタン</t>
    </rPh>
    <rPh sb="30" eb="31">
      <t>ニチ</t>
    </rPh>
    <phoneticPr fontId="1"/>
  </si>
  <si>
    <t>信頼されたサーバー証明書ではないという警告が表示される。</t>
    <rPh sb="0" eb="2">
      <t>シンライ</t>
    </rPh>
    <rPh sb="9" eb="12">
      <t>ショウメイショ</t>
    </rPh>
    <rPh sb="19" eb="21">
      <t>ケイコク</t>
    </rPh>
    <rPh sb="22" eb="24">
      <t>ヒョウジ</t>
    </rPh>
    <phoneticPr fontId="1"/>
  </si>
  <si>
    <t>Jシステムに攻撃があった場合の、影響を受けるリスク。</t>
    <rPh sb="6" eb="8">
      <t>コウゲキ</t>
    </rPh>
    <rPh sb="12" eb="14">
      <t>バアイ</t>
    </rPh>
    <rPh sb="16" eb="18">
      <t>エイキョウ</t>
    </rPh>
    <rPh sb="19" eb="20">
      <t>ウ</t>
    </rPh>
    <phoneticPr fontId="1"/>
  </si>
  <si>
    <t>PCのwebブラウザが不正なサーバー証明書を信頼し、不正なサーバーにアクセスするリスク</t>
    <rPh sb="11" eb="13">
      <t>フセイ</t>
    </rPh>
    <rPh sb="18" eb="21">
      <t>ショウメイショ</t>
    </rPh>
    <rPh sb="22" eb="24">
      <t>シンライ</t>
    </rPh>
    <rPh sb="26" eb="28">
      <t>フセイ</t>
    </rPh>
    <phoneticPr fontId="1"/>
  </si>
  <si>
    <t>認証が成功しても、認可が成功しないため。</t>
    <rPh sb="0" eb="2">
      <t>ニンショウ</t>
    </rPh>
    <rPh sb="3" eb="5">
      <t>セイコウ</t>
    </rPh>
    <rPh sb="9" eb="11">
      <t>ニンカ</t>
    </rPh>
    <rPh sb="12" eb="14">
      <t>セイコウ</t>
    </rPh>
    <phoneticPr fontId="1"/>
  </si>
  <si>
    <t>プロジェクトの参加、解除ごとに、カードの発行、改修を行わずに済むため。</t>
    <rPh sb="7" eb="9">
      <t>サンカ</t>
    </rPh>
    <rPh sb="10" eb="12">
      <t>カイジョ</t>
    </rPh>
    <rPh sb="20" eb="22">
      <t>ハッコウ</t>
    </rPh>
    <rPh sb="23" eb="25">
      <t>カイシュウ</t>
    </rPh>
    <rPh sb="26" eb="27">
      <t>オコナ</t>
    </rPh>
    <rPh sb="30" eb="31">
      <t>ス</t>
    </rPh>
    <phoneticPr fontId="1"/>
  </si>
  <si>
    <t>事業部門が管理責任者の役割を担わず、認証カードの配布・改修を担当しないため</t>
    <rPh sb="0" eb="4">
      <t>ジギョウブモン</t>
    </rPh>
    <rPh sb="5" eb="10">
      <t>カンリセキニンシャ</t>
    </rPh>
    <rPh sb="11" eb="13">
      <t>ヤクワリ</t>
    </rPh>
    <rPh sb="14" eb="15">
      <t>ニナ</t>
    </rPh>
    <rPh sb="18" eb="20">
      <t>ニンショウ</t>
    </rPh>
    <rPh sb="24" eb="26">
      <t>ハイフ</t>
    </rPh>
    <rPh sb="27" eb="29">
      <t>カイシュウ</t>
    </rPh>
    <rPh sb="30" eb="32">
      <t>タントウ</t>
    </rPh>
    <phoneticPr fontId="1"/>
  </si>
  <si>
    <t>入退出に必要なため、常に携帯する必要が増すため、現場事務所での保管がなくなる</t>
    <rPh sb="0" eb="3">
      <t>ニュウタイシュツ</t>
    </rPh>
    <rPh sb="4" eb="6">
      <t>ヒツヨウ</t>
    </rPh>
    <rPh sb="10" eb="11">
      <t>ツネ</t>
    </rPh>
    <rPh sb="12" eb="14">
      <t>ケイタイ</t>
    </rPh>
    <rPh sb="16" eb="18">
      <t>ヒツヨウ</t>
    </rPh>
    <rPh sb="19" eb="20">
      <t>マ</t>
    </rPh>
    <rPh sb="24" eb="26">
      <t>ゲンバ</t>
    </rPh>
    <rPh sb="26" eb="29">
      <t>ジムショ</t>
    </rPh>
    <rPh sb="31" eb="33">
      <t>ホカン</t>
    </rPh>
    <phoneticPr fontId="1"/>
  </si>
  <si>
    <t>2-2-rev1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</si>
</sst>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H8" sqref="H8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  <row r="3" spans="1:6">
      <c r="A3">
        <v>2</v>
      </c>
      <c r="B3" t="s">
        <v>47</v>
      </c>
      <c r="C3" s="2" t="s">
        <v>101</v>
      </c>
      <c r="D3">
        <v>75</v>
      </c>
      <c r="E3">
        <v>100</v>
      </c>
    </row>
    <row r="4" spans="1:6">
      <c r="A4">
        <v>3</v>
      </c>
      <c r="B4" t="s">
        <v>47</v>
      </c>
      <c r="C4" s="2" t="s">
        <v>48</v>
      </c>
      <c r="D4">
        <v>44</v>
      </c>
      <c r="E4">
        <v>50</v>
      </c>
    </row>
    <row r="5" spans="1:6">
      <c r="A5">
        <v>4</v>
      </c>
      <c r="B5" t="s">
        <v>47</v>
      </c>
      <c r="C5" s="2" t="s">
        <v>144</v>
      </c>
      <c r="D5">
        <v>92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zoomScale="85" zoomScaleNormal="85" workbookViewId="0">
      <pane xSplit="1" ySplit="3" topLeftCell="B8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75</v>
      </c>
      <c r="E2">
        <f>SUM(E4:E1000)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 s="4">
        <v>0</v>
      </c>
      <c r="E12" s="4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 s="4">
        <v>0</v>
      </c>
      <c r="E14" s="4">
        <v>3</v>
      </c>
      <c r="H14" t="s">
        <v>59</v>
      </c>
    </row>
    <row r="15" spans="1:13">
      <c r="B15" s="1" t="s">
        <v>70</v>
      </c>
      <c r="C15">
        <f t="shared" si="0"/>
        <v>3</v>
      </c>
      <c r="D15" s="4">
        <v>0</v>
      </c>
      <c r="E15" s="4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  <c r="H20" t="s">
        <v>92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  <c r="H21" t="s">
        <v>93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  <c r="H22" t="s">
        <v>94</v>
      </c>
    </row>
    <row r="23" spans="1:8">
      <c r="A23" s="2" t="s">
        <v>85</v>
      </c>
      <c r="B23" s="1" t="s">
        <v>86</v>
      </c>
      <c r="C23">
        <f t="shared" si="0"/>
        <v>27</v>
      </c>
      <c r="D23" s="4">
        <v>2</v>
      </c>
      <c r="E23" s="4">
        <v>6</v>
      </c>
      <c r="H23" t="s">
        <v>95</v>
      </c>
    </row>
    <row r="24" spans="1:8">
      <c r="B24" s="1" t="s">
        <v>87</v>
      </c>
      <c r="C24">
        <f t="shared" si="0"/>
        <v>25</v>
      </c>
    </row>
    <row r="25" spans="1:8">
      <c r="A25" s="2" t="s">
        <v>88</v>
      </c>
      <c r="B25" s="1" t="s">
        <v>89</v>
      </c>
      <c r="C25">
        <f t="shared" si="0"/>
        <v>35</v>
      </c>
      <c r="D25" s="4">
        <v>2</v>
      </c>
      <c r="E25" s="4">
        <v>6</v>
      </c>
    </row>
    <row r="26" spans="1:8">
      <c r="B26" s="1" t="s">
        <v>90</v>
      </c>
      <c r="C26">
        <f t="shared" si="0"/>
        <v>34</v>
      </c>
    </row>
    <row r="27" spans="1:8">
      <c r="A27" s="2" t="s">
        <v>91</v>
      </c>
      <c r="B27" s="1" t="s">
        <v>96</v>
      </c>
      <c r="C27">
        <f t="shared" si="0"/>
        <v>48</v>
      </c>
      <c r="D27">
        <v>6</v>
      </c>
      <c r="E27">
        <v>6</v>
      </c>
    </row>
    <row r="28" spans="1:8">
      <c r="A28" s="2" t="s">
        <v>97</v>
      </c>
      <c r="B28" s="1" t="s">
        <v>98</v>
      </c>
      <c r="C28">
        <f t="shared" si="0"/>
        <v>28</v>
      </c>
      <c r="D28" s="4">
        <v>6</v>
      </c>
      <c r="E28" s="4">
        <v>12</v>
      </c>
    </row>
    <row r="29" spans="1:8">
      <c r="A29" s="2" t="s">
        <v>99</v>
      </c>
      <c r="B29" s="1" t="s">
        <v>100</v>
      </c>
      <c r="C29">
        <f t="shared" si="0"/>
        <v>36</v>
      </c>
      <c r="D29" s="4">
        <v>3</v>
      </c>
      <c r="E29" s="4">
        <v>6</v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4FF9-C36E-456D-8B0C-196D2B7DCB9B}">
  <sheetPr codeName="Sheet6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0" sqref="B20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13</v>
      </c>
      <c r="D2">
        <f>SUM(D4:D1000)</f>
        <v>44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14</v>
      </c>
      <c r="B4" s="1" t="s">
        <v>103</v>
      </c>
      <c r="C4">
        <f>IF(B4&lt;&gt;"",LEN(B4),"")</f>
        <v>3</v>
      </c>
      <c r="D4">
        <v>2</v>
      </c>
      <c r="E4">
        <v>2</v>
      </c>
    </row>
    <row r="5" spans="1:7">
      <c r="B5" s="1" t="s">
        <v>16</v>
      </c>
      <c r="C5">
        <f t="shared" ref="C5:C68" si="0">IF(B5&lt;&gt;"",LEN(B5),"")</f>
        <v>3</v>
      </c>
      <c r="D5">
        <v>2</v>
      </c>
      <c r="E5">
        <v>2</v>
      </c>
      <c r="G5" t="s">
        <v>102</v>
      </c>
    </row>
    <row r="6" spans="1:7">
      <c r="B6" s="1" t="s">
        <v>19</v>
      </c>
      <c r="C6">
        <f t="shared" si="0"/>
        <v>3</v>
      </c>
      <c r="D6">
        <v>2</v>
      </c>
      <c r="E6">
        <v>2</v>
      </c>
    </row>
    <row r="7" spans="1:7">
      <c r="B7" s="1" t="s">
        <v>22</v>
      </c>
      <c r="C7">
        <f t="shared" si="0"/>
        <v>3</v>
      </c>
      <c r="D7">
        <v>2</v>
      </c>
      <c r="E7">
        <v>2</v>
      </c>
    </row>
    <row r="8" spans="1:7">
      <c r="A8" s="2" t="s">
        <v>24</v>
      </c>
      <c r="B8" s="1" t="s">
        <v>104</v>
      </c>
      <c r="C8">
        <f t="shared" si="0"/>
        <v>33</v>
      </c>
      <c r="D8">
        <v>6</v>
      </c>
      <c r="E8">
        <v>6</v>
      </c>
    </row>
    <row r="9" spans="1:7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7">
      <c r="A10" s="2" t="s">
        <v>29</v>
      </c>
      <c r="B10" s="1" t="s">
        <v>105</v>
      </c>
      <c r="C10">
        <f t="shared" si="0"/>
        <v>4</v>
      </c>
      <c r="D10">
        <v>2</v>
      </c>
      <c r="E10">
        <v>2</v>
      </c>
    </row>
    <row r="11" spans="1:7">
      <c r="B11" s="1" t="s">
        <v>106</v>
      </c>
      <c r="C11">
        <f t="shared" si="0"/>
        <v>4</v>
      </c>
      <c r="D11">
        <v>2</v>
      </c>
      <c r="E11">
        <v>2</v>
      </c>
    </row>
    <row r="12" spans="1:7">
      <c r="A12" s="2" t="s">
        <v>34</v>
      </c>
      <c r="B12" s="1" t="s">
        <v>107</v>
      </c>
      <c r="C12">
        <f t="shared" si="0"/>
        <v>17</v>
      </c>
      <c r="D12">
        <v>4</v>
      </c>
      <c r="E12">
        <v>4</v>
      </c>
    </row>
    <row r="13" spans="1:7">
      <c r="B13" s="1" t="s">
        <v>108</v>
      </c>
      <c r="C13">
        <f t="shared" si="0"/>
        <v>16</v>
      </c>
      <c r="D13">
        <v>4</v>
      </c>
      <c r="E13">
        <v>4</v>
      </c>
    </row>
    <row r="14" spans="1:7">
      <c r="A14" s="2" t="s">
        <v>38</v>
      </c>
      <c r="B14" s="1" t="s">
        <v>109</v>
      </c>
      <c r="C14">
        <f t="shared" si="0"/>
        <v>6</v>
      </c>
      <c r="D14">
        <v>3</v>
      </c>
      <c r="E14">
        <v>3</v>
      </c>
    </row>
    <row r="15" spans="1:7">
      <c r="A15" s="2" t="s">
        <v>40</v>
      </c>
      <c r="B15" s="1" t="s">
        <v>110</v>
      </c>
      <c r="C15">
        <f t="shared" si="0"/>
        <v>17</v>
      </c>
      <c r="D15">
        <v>6</v>
      </c>
      <c r="E15">
        <v>6</v>
      </c>
    </row>
    <row r="16" spans="1:7">
      <c r="A16" s="2" t="s">
        <v>42</v>
      </c>
      <c r="B16" s="1" t="s">
        <v>111</v>
      </c>
      <c r="C16">
        <f t="shared" si="0"/>
        <v>3</v>
      </c>
      <c r="D16">
        <v>4</v>
      </c>
      <c r="E16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112</v>
      </c>
      <c r="C18">
        <f t="shared" si="0"/>
        <v>39</v>
      </c>
      <c r="D18">
        <v>0</v>
      </c>
      <c r="E18">
        <v>6</v>
      </c>
    </row>
    <row r="19" spans="1:5">
      <c r="B19" s="1" t="s">
        <v>113</v>
      </c>
      <c r="C19">
        <f t="shared" si="0"/>
        <v>33</v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7042-CF33-4703-9D4C-E29AFED641E8}">
  <sheetPr codeName="Sheet7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9" sqref="B29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114</v>
      </c>
      <c r="D2">
        <f>SUM(D4:D1000)</f>
        <v>92</v>
      </c>
      <c r="E2">
        <f>SUM(E4:E1000)</f>
        <v>100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123</v>
      </c>
      <c r="C4">
        <f>IF(B4&lt;&gt;"",LEN(B4),"")</f>
        <v>4</v>
      </c>
      <c r="D4">
        <v>2</v>
      </c>
      <c r="E4">
        <v>2</v>
      </c>
    </row>
    <row r="5" spans="1:10">
      <c r="B5" s="1" t="s">
        <v>124</v>
      </c>
      <c r="C5">
        <f t="shared" ref="C5:C68" si="0">IF(B5&lt;&gt;"",LEN(B5),"")</f>
        <v>4</v>
      </c>
      <c r="D5">
        <v>2</v>
      </c>
      <c r="E5">
        <v>2</v>
      </c>
      <c r="G5" t="s">
        <v>115</v>
      </c>
      <c r="J5" t="s">
        <v>121</v>
      </c>
    </row>
    <row r="6" spans="1:10">
      <c r="B6" s="1" t="s">
        <v>129</v>
      </c>
      <c r="C6">
        <f t="shared" si="0"/>
        <v>4</v>
      </c>
      <c r="D6">
        <v>2</v>
      </c>
      <c r="E6">
        <v>2</v>
      </c>
      <c r="G6" t="s">
        <v>116</v>
      </c>
      <c r="J6" t="s">
        <v>122</v>
      </c>
    </row>
    <row r="7" spans="1:10">
      <c r="B7" s="1" t="s">
        <v>127</v>
      </c>
      <c r="C7">
        <f t="shared" si="0"/>
        <v>4</v>
      </c>
      <c r="D7">
        <v>2</v>
      </c>
      <c r="E7">
        <v>2</v>
      </c>
      <c r="G7" t="s">
        <v>117</v>
      </c>
      <c r="J7" t="s">
        <v>126</v>
      </c>
    </row>
    <row r="8" spans="1:10">
      <c r="B8" s="1" t="s">
        <v>128</v>
      </c>
      <c r="C8">
        <f t="shared" si="0"/>
        <v>4</v>
      </c>
      <c r="D8">
        <v>2</v>
      </c>
      <c r="E8">
        <v>2</v>
      </c>
      <c r="G8" t="s">
        <v>118</v>
      </c>
    </row>
    <row r="9" spans="1:10">
      <c r="A9" s="2" t="s">
        <v>24</v>
      </c>
      <c r="B9" s="1" t="s">
        <v>125</v>
      </c>
      <c r="C9">
        <f t="shared" si="0"/>
        <v>24</v>
      </c>
      <c r="D9">
        <v>6</v>
      </c>
      <c r="E9">
        <v>6</v>
      </c>
      <c r="G9" t="s">
        <v>119</v>
      </c>
    </row>
    <row r="10" spans="1:10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G10" t="s">
        <v>120</v>
      </c>
    </row>
    <row r="11" spans="1:10">
      <c r="B11" s="1" t="s">
        <v>67</v>
      </c>
      <c r="C11">
        <f t="shared" si="0"/>
        <v>3</v>
      </c>
      <c r="D11">
        <v>2</v>
      </c>
      <c r="E11">
        <v>2</v>
      </c>
      <c r="G11" t="s">
        <v>116</v>
      </c>
    </row>
    <row r="12" spans="1:10">
      <c r="B12" s="1" t="s">
        <v>75</v>
      </c>
      <c r="C12">
        <f t="shared" si="0"/>
        <v>3</v>
      </c>
      <c r="D12">
        <v>0</v>
      </c>
      <c r="E12">
        <v>2</v>
      </c>
    </row>
    <row r="13" spans="1:10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</row>
    <row r="14" spans="1:10">
      <c r="A14" s="2" t="s">
        <v>69</v>
      </c>
      <c r="B14" s="1" t="s">
        <v>130</v>
      </c>
      <c r="C14">
        <f t="shared" si="0"/>
        <v>4</v>
      </c>
      <c r="D14">
        <v>3</v>
      </c>
      <c r="E14">
        <v>3</v>
      </c>
    </row>
    <row r="15" spans="1:10">
      <c r="B15" s="1" t="s">
        <v>131</v>
      </c>
      <c r="C15">
        <f t="shared" si="0"/>
        <v>4</v>
      </c>
      <c r="D15">
        <v>3</v>
      </c>
      <c r="E15">
        <v>3</v>
      </c>
    </row>
    <row r="16" spans="1:10">
      <c r="B16" s="1" t="s">
        <v>133</v>
      </c>
      <c r="C16">
        <f t="shared" si="0"/>
        <v>4</v>
      </c>
      <c r="D16">
        <v>3</v>
      </c>
      <c r="E16">
        <v>3</v>
      </c>
    </row>
    <row r="17" spans="1:7">
      <c r="B17" s="1" t="s">
        <v>132</v>
      </c>
      <c r="C17">
        <f t="shared" si="0"/>
        <v>4</v>
      </c>
      <c r="D17">
        <v>3</v>
      </c>
      <c r="E17">
        <v>3</v>
      </c>
    </row>
    <row r="18" spans="1:7">
      <c r="A18" s="2" t="s">
        <v>29</v>
      </c>
      <c r="B18" s="1" t="s">
        <v>134</v>
      </c>
      <c r="C18">
        <f t="shared" si="0"/>
        <v>24</v>
      </c>
      <c r="D18">
        <v>5</v>
      </c>
      <c r="E18">
        <v>5</v>
      </c>
    </row>
    <row r="19" spans="1:7">
      <c r="B19" s="1" t="s">
        <v>135</v>
      </c>
      <c r="C19">
        <f t="shared" si="0"/>
        <v>24</v>
      </c>
      <c r="D19">
        <v>5</v>
      </c>
      <c r="E19">
        <v>5</v>
      </c>
    </row>
    <row r="20" spans="1:7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  <c r="G20" t="s">
        <v>139</v>
      </c>
    </row>
    <row r="21" spans="1:7">
      <c r="A21" s="2" t="s">
        <v>38</v>
      </c>
      <c r="B21" s="1" t="s">
        <v>136</v>
      </c>
      <c r="C21">
        <f t="shared" si="0"/>
        <v>35</v>
      </c>
      <c r="D21">
        <v>6</v>
      </c>
      <c r="E21">
        <v>6</v>
      </c>
    </row>
    <row r="22" spans="1:7">
      <c r="B22" s="1" t="s">
        <v>84</v>
      </c>
      <c r="C22">
        <f t="shared" si="0"/>
        <v>3</v>
      </c>
      <c r="D22">
        <v>4</v>
      </c>
      <c r="E22">
        <v>4</v>
      </c>
    </row>
    <row r="23" spans="1:7">
      <c r="A23" s="2" t="s">
        <v>40</v>
      </c>
      <c r="B23" s="1" t="s">
        <v>137</v>
      </c>
      <c r="C23">
        <f t="shared" si="0"/>
        <v>28</v>
      </c>
      <c r="D23">
        <v>6</v>
      </c>
      <c r="E23">
        <v>6</v>
      </c>
    </row>
    <row r="24" spans="1:7">
      <c r="A24" s="2" t="s">
        <v>42</v>
      </c>
      <c r="B24" s="1" t="s">
        <v>138</v>
      </c>
      <c r="C24">
        <f t="shared" si="0"/>
        <v>26</v>
      </c>
      <c r="D24">
        <v>0</v>
      </c>
      <c r="E24">
        <v>6</v>
      </c>
    </row>
    <row r="25" spans="1:7">
      <c r="A25" s="2" t="s">
        <v>91</v>
      </c>
      <c r="B25" s="1" t="s">
        <v>140</v>
      </c>
      <c r="C25">
        <f t="shared" si="0"/>
        <v>20</v>
      </c>
      <c r="D25">
        <v>6</v>
      </c>
      <c r="E25">
        <v>6</v>
      </c>
    </row>
    <row r="26" spans="1:7">
      <c r="A26" s="2" t="s">
        <v>97</v>
      </c>
      <c r="B26" s="1" t="s">
        <v>141</v>
      </c>
      <c r="C26">
        <f t="shared" si="0"/>
        <v>35</v>
      </c>
      <c r="D26">
        <v>6</v>
      </c>
      <c r="E26">
        <v>6</v>
      </c>
    </row>
    <row r="27" spans="1:7">
      <c r="B27" s="1" t="s">
        <v>142</v>
      </c>
      <c r="C27">
        <f t="shared" si="0"/>
        <v>37</v>
      </c>
      <c r="D27">
        <v>6</v>
      </c>
      <c r="E27">
        <v>6</v>
      </c>
    </row>
    <row r="28" spans="1:7">
      <c r="A28" s="2" t="s">
        <v>99</v>
      </c>
      <c r="B28" s="1" t="s">
        <v>143</v>
      </c>
      <c r="C28">
        <f t="shared" si="0"/>
        <v>38</v>
      </c>
      <c r="D28">
        <v>6</v>
      </c>
      <c r="E28">
        <v>6</v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2025-01-29T22:20:46Z</dcterms:modified>
</cp:coreProperties>
</file>