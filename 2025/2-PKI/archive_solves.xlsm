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2-PKI\"/>
    </mc:Choice>
  </mc:AlternateContent>
  <xr:revisionPtr revIDLastSave="0" documentId="13_ncr:1_{0290D63E-8A2B-4794-81ED-8E81FD268885}" xr6:coauthVersionLast="47" xr6:coauthVersionMax="47" xr10:uidLastSave="{00000000-0000-0000-0000-000000000000}"/>
  <bookViews>
    <workbookView xWindow="390" yWindow="240" windowWidth="21600" windowHeight="11295" activeTab="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8" l="1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<sst xmlns="http://schemas.openxmlformats.org/spreadsheetml/2006/main" count="197" uniqueCount="130">
  <si>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</si>
  <si>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</si>
  <si>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</si>
  <si>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</si>
  <si>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</si>
  <si>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</si>
  <si>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</si>
  <si>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</si>
  <si>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</si>
  <si>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</si>
  <si>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</si>
  <si>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</si>
  <si>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</si>
  <si>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2-1</t>
    <phoneticPr fontId="1"/>
  </si>
  <si>
    <t>1-(1)</t>
    <phoneticPr fontId="1"/>
  </si>
  <si>
    <t>a:キ</t>
    <phoneticPr fontId="1"/>
  </si>
  <si>
    <t>b:カ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</si>
  <si>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</si>
  <si>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</si>
  <si>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c:オ</t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</si>
  <si>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</si>
  <si>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</si>
  <si>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d:イ</t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</si>
  <si>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</si>
  <si>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</si>
  <si>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正規サイトにアクセスしたつもりのユーザーを偽のECサイトに誘導する</t>
    <rPh sb="0" eb="2">
      <t>セイキ</t>
    </rPh>
    <rPh sb="21" eb="22">
      <t>ニセ</t>
    </rPh>
    <rPh sb="29" eb="31">
      <t>ユウドウ</t>
    </rPh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</si>
  <si>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</si>
  <si>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</si>
  <si>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エ</t>
    <phoneticPr fontId="1"/>
  </si>
  <si>
    <t>2-(1)</t>
    <phoneticPr fontId="1"/>
  </si>
  <si>
    <t>ア: 利用</t>
    <rPh sb="3" eb="5">
      <t>リヨウ</t>
    </rPh>
    <phoneticPr fontId="1"/>
  </si>
  <si>
    <t>PFSをもつのは使い捨てのアルゴリズム</t>
    <rPh sb="8" eb="9">
      <t>ツカ</t>
    </rPh>
    <rPh sb="10" eb="11">
      <t>ス</t>
    </rPh>
    <phoneticPr fontId="1"/>
  </si>
  <si>
    <t>イ: 無効化</t>
    <rPh sb="3" eb="6">
      <t>ムコウカ</t>
    </rPh>
    <phoneticPr fontId="1"/>
  </si>
  <si>
    <t>DH</t>
    <phoneticPr fontId="1"/>
  </si>
  <si>
    <t>2-(2)</t>
    <phoneticPr fontId="1"/>
  </si>
  <si>
    <t>秘密鍵が危殆かしたと考えられる日時。</t>
    <rPh sb="0" eb="3">
      <t>ヒミツカギ</t>
    </rPh>
    <rPh sb="4" eb="6">
      <t>キタイ</t>
    </rPh>
    <rPh sb="10" eb="11">
      <t>カンガ</t>
    </rPh>
    <rPh sb="15" eb="17">
      <t>ニチジ</t>
    </rPh>
    <phoneticPr fontId="1"/>
  </si>
  <si>
    <t>ECDHE</t>
    <phoneticPr fontId="1"/>
  </si>
  <si>
    <t>秘密鍵を利用していたWEBサイトのFQDN。</t>
    <rPh sb="0" eb="3">
      <t>ヒミツカギ</t>
    </rPh>
    <rPh sb="4" eb="6">
      <t>リヨウ</t>
    </rPh>
    <phoneticPr fontId="1"/>
  </si>
  <si>
    <t>2-(3)</t>
    <phoneticPr fontId="1"/>
  </si>
  <si>
    <t>新規の鍵ペア</t>
    <rPh sb="0" eb="2">
      <t>シンキ</t>
    </rPh>
    <rPh sb="3" eb="4">
      <t>カギ</t>
    </rPh>
    <phoneticPr fontId="1"/>
  </si>
  <si>
    <t>3-(1)</t>
    <phoneticPr fontId="1"/>
  </si>
  <si>
    <t>SSL3.0を利用できないよう設定する。</t>
    <rPh sb="7" eb="9">
      <t>リヨウ</t>
    </rPh>
    <rPh sb="15" eb="17">
      <t>セッテイ</t>
    </rPh>
    <phoneticPr fontId="1"/>
  </si>
  <si>
    <t>3-(2)</t>
    <phoneticPr fontId="1"/>
  </si>
  <si>
    <t>オ、カ</t>
    <phoneticPr fontId="1"/>
  </si>
  <si>
    <t>3-(3)</t>
    <phoneticPr fontId="1"/>
  </si>
  <si>
    <t>3-(4)</t>
    <phoneticPr fontId="1"/>
  </si>
  <si>
    <t>組織が架空のものであるかを保証することが出来ないため。</t>
    <rPh sb="0" eb="2">
      <t>ソシキ</t>
    </rPh>
    <rPh sb="3" eb="5">
      <t>カクウ</t>
    </rPh>
    <rPh sb="13" eb="15">
      <t>ホショウ</t>
    </rPh>
    <rPh sb="20" eb="22">
      <t>デキ</t>
    </rPh>
    <phoneticPr fontId="1"/>
  </si>
  <si>
    <t>重点対策</t>
  </si>
  <si>
    <t>2-1</t>
  </si>
  <si>
    <t>2-2</t>
    <phoneticPr fontId="1"/>
  </si>
  <si>
    <t>D社は不動産デベロッパ</t>
    <rPh sb="1" eb="2">
      <t>シャ</t>
    </rPh>
    <rPh sb="3" eb="6">
      <t>フドウサン</t>
    </rPh>
    <phoneticPr fontId="1"/>
  </si>
  <si>
    <t>ICカードが貸与</t>
    <rPh sb="6" eb="8">
      <t>タイヨ</t>
    </rPh>
    <phoneticPr fontId="1"/>
  </si>
  <si>
    <t>各事業は専用WEBシステムを運用している</t>
    <rPh sb="0" eb="3">
      <t>カクジギョウ</t>
    </rPh>
    <rPh sb="4" eb="6">
      <t>センヨウ</t>
    </rPh>
    <rPh sb="14" eb="16">
      <t>ウンヨウ</t>
    </rPh>
    <phoneticPr fontId="1"/>
  </si>
  <si>
    <t>セキュリティ強化とコスト削減</t>
    <rPh sb="6" eb="8">
      <t>キョウカ</t>
    </rPh>
    <rPh sb="12" eb="14">
      <t>サクゲン</t>
    </rPh>
    <phoneticPr fontId="1"/>
  </si>
  <si>
    <t>ID＋PWで認証</t>
    <rPh sb="6" eb="8">
      <t>ニンショウ</t>
    </rPh>
    <phoneticPr fontId="1"/>
  </si>
  <si>
    <t>一部事業システムではアカウント共有することを許可している</t>
    <rPh sb="0" eb="2">
      <t>イチブ</t>
    </rPh>
    <rPh sb="2" eb="4">
      <t>ジギョウ</t>
    </rPh>
    <rPh sb="15" eb="17">
      <t>キョウユウ</t>
    </rPh>
    <rPh sb="22" eb="24">
      <t>キョカ</t>
    </rPh>
    <phoneticPr fontId="1"/>
  </si>
  <si>
    <t>初期PWの発行はシステム部の大きな負担となっている</t>
    <rPh sb="0" eb="2">
      <t>ショキ</t>
    </rPh>
    <rPh sb="5" eb="7">
      <t>ハッコウ</t>
    </rPh>
    <rPh sb="12" eb="13">
      <t>ブ</t>
    </rPh>
    <rPh sb="14" eb="15">
      <t>オオ</t>
    </rPh>
    <rPh sb="17" eb="19">
      <t>フタン</t>
    </rPh>
    <phoneticPr fontId="1"/>
  </si>
  <si>
    <t>利用者認証の仕組みを共通化する</t>
    <rPh sb="0" eb="3">
      <t>リヨウシャ</t>
    </rPh>
    <rPh sb="3" eb="5">
      <t>ニンショウ</t>
    </rPh>
    <rPh sb="6" eb="8">
      <t>シク</t>
    </rPh>
    <rPh sb="10" eb="13">
      <t>キョウツウカ</t>
    </rPh>
    <phoneticPr fontId="1"/>
  </si>
  <si>
    <t>利用者IDとPWに変えてICカードを利用者認証に利用するう</t>
    <rPh sb="0" eb="3">
      <t>リヨウシャ</t>
    </rPh>
    <rPh sb="9" eb="10">
      <t>カ</t>
    </rPh>
    <rPh sb="18" eb="21">
      <t>リヨウシャ</t>
    </rPh>
    <rPh sb="21" eb="23">
      <t>ニンショウ</t>
    </rPh>
    <rPh sb="24" eb="26">
      <t>リヨウ</t>
    </rPh>
    <phoneticPr fontId="1"/>
  </si>
  <si>
    <t>カードリーダで読んで認証する</t>
    <rPh sb="7" eb="8">
      <t>ヨ</t>
    </rPh>
    <rPh sb="10" eb="12">
      <t>ニンショウ</t>
    </rPh>
    <phoneticPr fontId="1"/>
  </si>
  <si>
    <t>→Jシステム</t>
    <phoneticPr fontId="1"/>
  </si>
  <si>
    <t>事業システムのサーバはサーバー証明書を発行する</t>
    <rPh sb="0" eb="2">
      <t>ジギョウ</t>
    </rPh>
    <rPh sb="15" eb="18">
      <t>ショウメイショ</t>
    </rPh>
    <rPh sb="19" eb="21">
      <t>ハッコウ</t>
    </rPh>
    <phoneticPr fontId="1"/>
  </si>
  <si>
    <t>a:ウ</t>
    <phoneticPr fontId="1"/>
  </si>
  <si>
    <t>b:オ</t>
    <phoneticPr fontId="1"/>
  </si>
  <si>
    <t>c:ス</t>
    <phoneticPr fontId="1"/>
  </si>
  <si>
    <t>他者に対してICカードを渡したうえで、PINを教える</t>
    <rPh sb="0" eb="2">
      <t>タシャ</t>
    </rPh>
    <rPh sb="3" eb="4">
      <t>タイ</t>
    </rPh>
    <rPh sb="12" eb="13">
      <t>ワタ</t>
    </rPh>
    <rPh sb="23" eb="24">
      <t>オシ</t>
    </rPh>
    <phoneticPr fontId="1"/>
  </si>
  <si>
    <t>d:ウ</t>
    <phoneticPr fontId="1"/>
  </si>
  <si>
    <t>e:カ</t>
    <phoneticPr fontId="1"/>
  </si>
  <si>
    <t>1-(4)</t>
    <phoneticPr fontId="1"/>
  </si>
  <si>
    <t>1-(5)</t>
    <phoneticPr fontId="1"/>
  </si>
  <si>
    <t>h:キ</t>
    <phoneticPr fontId="1"/>
  </si>
  <si>
    <t>g:オ</t>
    <phoneticPr fontId="1"/>
  </si>
  <si>
    <t>i:ア</t>
    <phoneticPr fontId="1"/>
  </si>
  <si>
    <t>j:セ</t>
    <phoneticPr fontId="1"/>
  </si>
  <si>
    <t>ア、イ、エ、キ、ク、ケ</t>
    <phoneticPr fontId="1"/>
  </si>
  <si>
    <t>f:ア</t>
    <phoneticPr fontId="1"/>
  </si>
  <si>
    <t>k:エ</t>
    <phoneticPr fontId="1"/>
  </si>
  <si>
    <t>l:イ</t>
    <phoneticPr fontId="1"/>
  </si>
  <si>
    <t>Kpを送付する際に用意しなくてはならないもの：公開鍵の週名所</t>
    <rPh sb="3" eb="5">
      <t>ソウフ</t>
    </rPh>
    <rPh sb="7" eb="8">
      <t>サイ</t>
    </rPh>
    <rPh sb="9" eb="11">
      <t>ヨウイ</t>
    </rPh>
    <rPh sb="23" eb="26">
      <t>コウカイカギ</t>
    </rPh>
    <rPh sb="27" eb="30">
      <t>シュウメイショ</t>
    </rPh>
    <phoneticPr fontId="1"/>
  </si>
  <si>
    <t>受付SVで認証カードの利用を申請する</t>
    <rPh sb="0" eb="2">
      <t>ウケツケ</t>
    </rPh>
    <rPh sb="5" eb="7">
      <t>ニンショウ</t>
    </rPh>
    <rPh sb="11" eb="13">
      <t>リヨウ</t>
    </rPh>
    <rPh sb="14" eb="16">
      <t>シンセイ</t>
    </rPh>
    <phoneticPr fontId="1"/>
  </si>
  <si>
    <t>業務上利用する必要があるかを確認</t>
    <rPh sb="0" eb="3">
      <t>ギョウムジョウ</t>
    </rPh>
    <rPh sb="3" eb="5">
      <t>リヨウ</t>
    </rPh>
    <rPh sb="7" eb="9">
      <t>ヒツヨウ</t>
    </rPh>
    <rPh sb="14" eb="16">
      <t>カクニン</t>
    </rPh>
    <phoneticPr fontId="1"/>
  </si>
  <si>
    <t>すでに認証カードが発行済みかを確認</t>
    <rPh sb="3" eb="5">
      <t>ニンショウ</t>
    </rPh>
    <rPh sb="9" eb="11">
      <t>ハッコウ</t>
    </rPh>
    <rPh sb="11" eb="12">
      <t>ズ</t>
    </rPh>
    <rPh sb="15" eb="17">
      <t>カクニン</t>
    </rPh>
    <phoneticPr fontId="1"/>
  </si>
  <si>
    <t>ア</t>
    <phoneticPr fontId="1"/>
  </si>
  <si>
    <t>失効の申請から、実際に失効処理が行われるまで最長5日の日数がかかる。</t>
    <rPh sb="0" eb="2">
      <t>シッコウ</t>
    </rPh>
    <rPh sb="3" eb="5">
      <t>シンセイ</t>
    </rPh>
    <rPh sb="8" eb="10">
      <t>ジッサイ</t>
    </rPh>
    <rPh sb="11" eb="13">
      <t>シッコウ</t>
    </rPh>
    <rPh sb="13" eb="15">
      <t>ショリ</t>
    </rPh>
    <rPh sb="16" eb="17">
      <t>オコナ</t>
    </rPh>
    <rPh sb="22" eb="24">
      <t>サイチョウ</t>
    </rPh>
    <rPh sb="25" eb="26">
      <t>ニチ</t>
    </rPh>
    <rPh sb="27" eb="29">
      <t>ニッスウ</t>
    </rPh>
    <phoneticPr fontId="1"/>
  </si>
  <si>
    <t>ア、ウ</t>
    <phoneticPr fontId="1"/>
  </si>
  <si>
    <t>3-(1)</t>
    <phoneticPr fontId="1"/>
  </si>
  <si>
    <t>サーバー証明書が信頼できないというエラーが表示される。</t>
    <rPh sb="4" eb="7">
      <t>ショウメイショ</t>
    </rPh>
    <rPh sb="8" eb="10">
      <t>シンライ</t>
    </rPh>
    <rPh sb="21" eb="23">
      <t>ヒョウジ</t>
    </rPh>
    <phoneticPr fontId="1"/>
  </si>
  <si>
    <t>サーバー証明書の正当性が確認できず警告が表示される</t>
    <rPh sb="4" eb="7">
      <t>ショウメイショ</t>
    </rPh>
    <rPh sb="8" eb="11">
      <t>セイトウセイ</t>
    </rPh>
    <rPh sb="12" eb="14">
      <t>カクニン</t>
    </rPh>
    <rPh sb="17" eb="19">
      <t>ケイコク</t>
    </rPh>
    <rPh sb="20" eb="22">
      <t>ヒョウジ</t>
    </rPh>
    <phoneticPr fontId="1"/>
  </si>
  <si>
    <t>3-(2)</t>
    <phoneticPr fontId="1"/>
  </si>
  <si>
    <t>ルートCAがなりすましされた場合に、不正なサーバーにアクセスするリスク</t>
    <rPh sb="14" eb="16">
      <t>バアイ</t>
    </rPh>
    <rPh sb="18" eb="20">
      <t>フセイ</t>
    </rPh>
    <phoneticPr fontId="1"/>
  </si>
  <si>
    <t>ルートCAが不正操作された場合に、不正なサーバーにアクセスするリスク</t>
    <rPh sb="6" eb="8">
      <t>フセイ</t>
    </rPh>
    <rPh sb="8" eb="10">
      <t>ソウサ</t>
    </rPh>
    <rPh sb="13" eb="15">
      <t>バアイ</t>
    </rPh>
    <rPh sb="17" eb="19">
      <t>フセイ</t>
    </rPh>
    <phoneticPr fontId="1"/>
  </si>
  <si>
    <t>4-(1)</t>
    <phoneticPr fontId="1"/>
  </si>
  <si>
    <t>方式A</t>
    <rPh sb="0" eb="2">
      <t>ホウシキ</t>
    </rPh>
    <phoneticPr fontId="1"/>
  </si>
  <si>
    <t>プロジェクトごとに認証カードを貸与</t>
    <rPh sb="9" eb="11">
      <t>ニンショウ</t>
    </rPh>
    <rPh sb="15" eb="17">
      <t>タイヨ</t>
    </rPh>
    <phoneticPr fontId="1"/>
  </si>
  <si>
    <t>方式B</t>
    <rPh sb="0" eb="2">
      <t>ホウシキ</t>
    </rPh>
    <phoneticPr fontId="1"/>
  </si>
  <si>
    <t>取引先には認証カード1枚のみ</t>
    <rPh sb="0" eb="3">
      <t>トリヒキサキ</t>
    </rPh>
    <rPh sb="5" eb="7">
      <t>ニンショウ</t>
    </rPh>
    <rPh sb="11" eb="12">
      <t>マイ</t>
    </rPh>
    <phoneticPr fontId="1"/>
  </si>
  <si>
    <t>認証カードがあるだけでは、認証はされるが、システムの認可はされないため、アクセスができないため。</t>
    <rPh sb="0" eb="2">
      <t>ニンショウ</t>
    </rPh>
    <rPh sb="13" eb="15">
      <t>ニンショウ</t>
    </rPh>
    <rPh sb="26" eb="28">
      <t>ニンカ</t>
    </rPh>
    <phoneticPr fontId="1"/>
  </si>
  <si>
    <t>4-(2)</t>
    <phoneticPr fontId="1"/>
  </si>
  <si>
    <t>認証カードの回収と、失効手続きの手間が１枚のみで済むため</t>
    <rPh sb="0" eb="2">
      <t>ニンショウ</t>
    </rPh>
    <rPh sb="6" eb="8">
      <t>カイシュウ</t>
    </rPh>
    <rPh sb="10" eb="12">
      <t>シッコウ</t>
    </rPh>
    <rPh sb="12" eb="14">
      <t>テツヅ</t>
    </rPh>
    <rPh sb="16" eb="18">
      <t>テマ</t>
    </rPh>
    <rPh sb="20" eb="21">
      <t>マイ</t>
    </rPh>
    <rPh sb="24" eb="25">
      <t>ス</t>
    </rPh>
    <phoneticPr fontId="1"/>
  </si>
  <si>
    <t>4-(3)</t>
    <phoneticPr fontId="1"/>
  </si>
  <si>
    <t>入室が出来なくなるため、従業員がカードを置き忘れがないよう意識するため。</t>
    <rPh sb="0" eb="2">
      <t>ニュウシツ</t>
    </rPh>
    <rPh sb="3" eb="5">
      <t>デキ</t>
    </rPh>
    <rPh sb="12" eb="15">
      <t>ジュウギョウイン</t>
    </rPh>
    <rPh sb="20" eb="21">
      <t>オ</t>
    </rPh>
    <rPh sb="22" eb="23">
      <t>ワス</t>
    </rPh>
    <rPh sb="29" eb="31">
      <t>イシキ</t>
    </rPh>
    <phoneticPr fontId="1"/>
  </si>
  <si>
    <t>2-2</t>
  </si>
  <si>
    <t>サイトQんでSKが刑事</t>
    <rPh sb="9" eb="11">
      <t>ケイジ</t>
    </rPh>
    <phoneticPr fontId="1"/>
  </si>
  <si>
    <t>a:コ</t>
    <phoneticPr fontId="1"/>
  </si>
  <si>
    <t>正規のサイトと思ってアクセスした利用者を偽のECサイトへ誘導する。</t>
    <rPh sb="0" eb="2">
      <t>セイキ</t>
    </rPh>
    <rPh sb="7" eb="8">
      <t>オモ</t>
    </rPh>
    <rPh sb="16" eb="19">
      <t>リヨウシャ</t>
    </rPh>
    <rPh sb="20" eb="21">
      <t>ニセ</t>
    </rPh>
    <rPh sb="28" eb="30">
      <t>ユウドウ</t>
    </rPh>
    <phoneticPr fontId="1"/>
  </si>
  <si>
    <t>ア：利用</t>
    <rPh sb="2" eb="4">
      <t>リヨウ</t>
    </rPh>
    <phoneticPr fontId="1"/>
  </si>
  <si>
    <t>イ：失効</t>
    <rPh sb="2" eb="4">
      <t>シッコウ</t>
    </rPh>
    <phoneticPr fontId="1"/>
  </si>
  <si>
    <t>・鍵が危殆かしたサイトのFQDN。</t>
    <rPh sb="1" eb="2">
      <t>カギ</t>
    </rPh>
    <rPh sb="3" eb="5">
      <t>キタイ</t>
    </rPh>
    <phoneticPr fontId="1"/>
  </si>
  <si>
    <t>・鍵が危殆化したと思われる日時。</t>
    <rPh sb="1" eb="2">
      <t>カギ</t>
    </rPh>
    <rPh sb="3" eb="5">
      <t>キタイ</t>
    </rPh>
    <rPh sb="5" eb="6">
      <t>カ</t>
    </rPh>
    <rPh sb="9" eb="10">
      <t>オモ</t>
    </rPh>
    <rPh sb="13" eb="15">
      <t>ニチジ</t>
    </rPh>
    <phoneticPr fontId="1"/>
  </si>
  <si>
    <t>新しい鍵ペア</t>
    <rPh sb="0" eb="1">
      <t>アタラ</t>
    </rPh>
    <rPh sb="3" eb="4">
      <t>カギ</t>
    </rPh>
    <phoneticPr fontId="1"/>
  </si>
  <si>
    <t>SSL3.0を利用不可の設定にする</t>
    <rPh sb="7" eb="9">
      <t>リヨウ</t>
    </rPh>
    <rPh sb="9" eb="11">
      <t>フカ</t>
    </rPh>
    <rPh sb="12" eb="14">
      <t>セッテイ</t>
    </rPh>
    <phoneticPr fontId="1"/>
  </si>
  <si>
    <t>ウ、オ</t>
    <phoneticPr fontId="1"/>
  </si>
  <si>
    <t>URLの存在性のみで発行されるため、正規を装った不正なサイトと見分けがつかない</t>
    <rPh sb="4" eb="6">
      <t>ソンザイ</t>
    </rPh>
    <rPh sb="6" eb="7">
      <t>セイ</t>
    </rPh>
    <rPh sb="10" eb="12">
      <t>ハッコウ</t>
    </rPh>
    <rPh sb="18" eb="20">
      <t>セイキ</t>
    </rPh>
    <rPh sb="21" eb="22">
      <t>ヨソオ</t>
    </rPh>
    <rPh sb="24" eb="26">
      <t>フセイ</t>
    </rPh>
    <rPh sb="31" eb="33">
      <t>ミワ</t>
    </rPh>
    <phoneticPr fontId="1"/>
  </si>
  <si>
    <t>ドメイン認証証明書ではサーバーの運営がC社であることを確認できない</t>
    <rPh sb="4" eb="6">
      <t>ニンショウ</t>
    </rPh>
    <rPh sb="6" eb="9">
      <t>ショウメイショ</t>
    </rPh>
    <rPh sb="16" eb="18">
      <t>ウンエイ</t>
    </rPh>
    <rPh sb="20" eb="21">
      <t>シャ</t>
    </rPh>
    <rPh sb="27" eb="29">
      <t>カクニン</t>
    </rPh>
    <phoneticPr fontId="1"/>
  </si>
  <si>
    <t>2-2-rev1</t>
    <phoneticPr fontId="1"/>
  </si>
  <si>
    <t>D社デベロッパ</t>
    <rPh sb="1" eb="2">
      <t>シャ</t>
    </rPh>
    <phoneticPr fontId="1"/>
  </si>
  <si>
    <t>ICカード</t>
    <phoneticPr fontId="1"/>
  </si>
  <si>
    <t>PCおよびネットワークを管理</t>
    <rPh sb="12" eb="14">
      <t>カンリ</t>
    </rPh>
    <phoneticPr fontId="1"/>
  </si>
  <si>
    <t>必要に応じてアカウント付与</t>
    <rPh sb="0" eb="2">
      <t>ヒツヨウ</t>
    </rPh>
    <rPh sb="3" eb="4">
      <t>オウ</t>
    </rPh>
    <rPh sb="11" eb="13">
      <t>フヨ</t>
    </rPh>
    <phoneticPr fontId="1"/>
  </si>
  <si>
    <t>利用者IDやPWで利用者認証</t>
    <rPh sb="0" eb="3">
      <t>リヨウシャ</t>
    </rPh>
    <rPh sb="9" eb="12">
      <t>リヨウシャ</t>
    </rPh>
    <rPh sb="12" eb="14">
      <t>ニンショウ</t>
    </rPh>
    <phoneticPr fontId="1"/>
  </si>
  <si>
    <t>事業用システムはTLS</t>
    <rPh sb="0" eb="3">
      <t>ジギョウヨウ</t>
    </rPh>
    <phoneticPr fontId="1"/>
  </si>
  <si>
    <t>PK証明書</t>
    <rPh sb="2" eb="5">
      <t>ショウメイショ</t>
    </rPh>
    <phoneticPr fontId="1"/>
  </si>
  <si>
    <t>利用者証明書</t>
    <rPh sb="0" eb="3">
      <t>リヨウシャ</t>
    </rPh>
    <rPh sb="3" eb="6">
      <t>ショウメイショ</t>
    </rPh>
    <phoneticPr fontId="1"/>
  </si>
  <si>
    <t>a: ウ</t>
    <phoneticPr fontId="1"/>
  </si>
  <si>
    <t>b: オ</t>
    <phoneticPr fontId="1"/>
  </si>
  <si>
    <t>ICカードを他者に貸与の上、PINを教える行為。</t>
    <rPh sb="6" eb="8">
      <t>タシャ</t>
    </rPh>
    <rPh sb="9" eb="11">
      <t>タイヨ</t>
    </rPh>
    <rPh sb="12" eb="13">
      <t>ウエ</t>
    </rPh>
    <rPh sb="18" eb="19">
      <t>オシ</t>
    </rPh>
    <rPh sb="21" eb="23">
      <t>コウイ</t>
    </rPh>
    <phoneticPr fontId="1"/>
  </si>
  <si>
    <t>PKI</t>
    <phoneticPr fontId="1"/>
  </si>
  <si>
    <t>k: エ</t>
    <phoneticPr fontId="1"/>
  </si>
  <si>
    <t>l: イ</t>
    <phoneticPr fontId="1"/>
  </si>
  <si>
    <t>c: 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</si>
</sst>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L9" sqref="L9"/>
    </sheetView>
  </sheetViews>
  <sheetFormatPr defaultRowHeight="18.75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t="s">
        <v>47</v>
      </c>
      <c r="C2" s="2" t="s">
        <v>48</v>
      </c>
      <c r="D2">
        <v>39</v>
      </c>
      <c r="E2">
        <v>50</v>
      </c>
    </row>
    <row r="3" spans="1:6">
      <c r="A3">
        <v>2</v>
      </c>
      <c r="B3" t="s">
        <v>47</v>
      </c>
      <c r="C3" s="2" t="s">
        <v>101</v>
      </c>
      <c r="D3">
        <v>75</v>
      </c>
      <c r="E3">
        <v>100</v>
      </c>
    </row>
    <row r="4" spans="1:6">
      <c r="A4">
        <v>3</v>
      </c>
      <c r="B4" t="s">
        <v>47</v>
      </c>
      <c r="C4" s="2" t="s">
        <v>48</v>
      </c>
      <c r="D4">
        <v>44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13</v>
      </c>
      <c r="D2">
        <f>SUM(D4:D1000)</f>
        <v>39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15</v>
      </c>
      <c r="C4">
        <f>IF(B4&lt;&gt;"",LEN(B4),"")</f>
        <v>3</v>
      </c>
      <c r="D4" s="4">
        <v>0</v>
      </c>
      <c r="E4" s="4">
        <v>2</v>
      </c>
    </row>
    <row r="5" spans="1:10">
      <c r="B5" s="1" t="s">
        <v>16</v>
      </c>
      <c r="C5">
        <f t="shared" ref="C5:C20" si="0">IF(B5&lt;&gt;"",LEN(B5),"")</f>
        <v>3</v>
      </c>
      <c r="D5">
        <v>2</v>
      </c>
      <c r="E5">
        <v>2</v>
      </c>
      <c r="G5" t="s">
        <v>17</v>
      </c>
      <c r="J5" t="s">
        <v>18</v>
      </c>
    </row>
    <row r="6" spans="1:10">
      <c r="B6" s="1" t="s">
        <v>19</v>
      </c>
      <c r="C6">
        <f t="shared" si="0"/>
        <v>3</v>
      </c>
      <c r="D6">
        <v>2</v>
      </c>
      <c r="E6">
        <v>2</v>
      </c>
      <c r="G6" t="s">
        <v>20</v>
      </c>
      <c r="J6" t="s">
        <v>21</v>
      </c>
    </row>
    <row r="7" spans="1:10">
      <c r="B7" s="1" t="s">
        <v>22</v>
      </c>
      <c r="C7">
        <f t="shared" si="0"/>
        <v>3</v>
      </c>
      <c r="D7">
        <v>2</v>
      </c>
      <c r="E7">
        <v>2</v>
      </c>
      <c r="G7" t="s">
        <v>23</v>
      </c>
    </row>
    <row r="8" spans="1:10">
      <c r="A8" s="2" t="s">
        <v>24</v>
      </c>
      <c r="B8" s="1" t="s">
        <v>25</v>
      </c>
      <c r="C8">
        <f t="shared" si="0"/>
        <v>33</v>
      </c>
      <c r="D8">
        <v>6</v>
      </c>
      <c r="E8">
        <v>6</v>
      </c>
      <c r="G8" t="s">
        <v>26</v>
      </c>
    </row>
    <row r="9" spans="1:10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10">
      <c r="A10" s="2" t="s">
        <v>29</v>
      </c>
      <c r="B10" s="1" t="s">
        <v>30</v>
      </c>
      <c r="C10">
        <f t="shared" si="0"/>
        <v>5</v>
      </c>
      <c r="D10">
        <v>2</v>
      </c>
      <c r="E10">
        <v>2</v>
      </c>
      <c r="G10" t="s">
        <v>31</v>
      </c>
    </row>
    <row r="11" spans="1:10">
      <c r="B11" s="1" t="s">
        <v>32</v>
      </c>
      <c r="C11">
        <f t="shared" si="0"/>
        <v>6</v>
      </c>
      <c r="D11" s="4">
        <v>0</v>
      </c>
      <c r="E11" s="4">
        <v>2</v>
      </c>
      <c r="G11" t="s">
        <v>33</v>
      </c>
    </row>
    <row r="12" spans="1:10">
      <c r="A12" s="2" t="s">
        <v>34</v>
      </c>
      <c r="B12" s="1" t="s">
        <v>35</v>
      </c>
      <c r="C12">
        <f t="shared" si="0"/>
        <v>18</v>
      </c>
      <c r="D12">
        <v>4</v>
      </c>
      <c r="E12">
        <v>4</v>
      </c>
      <c r="G12" t="s">
        <v>36</v>
      </c>
    </row>
    <row r="13" spans="1:10">
      <c r="B13" s="1" t="s">
        <v>37</v>
      </c>
      <c r="C13">
        <f t="shared" si="0"/>
        <v>22</v>
      </c>
      <c r="D13">
        <v>4</v>
      </c>
      <c r="E13">
        <v>4</v>
      </c>
    </row>
    <row r="14" spans="1:10">
      <c r="A14" s="2" t="s">
        <v>38</v>
      </c>
      <c r="B14" s="1" t="s">
        <v>39</v>
      </c>
      <c r="C14">
        <f t="shared" si="0"/>
        <v>6</v>
      </c>
      <c r="D14">
        <v>3</v>
      </c>
      <c r="E14">
        <v>3</v>
      </c>
    </row>
    <row r="15" spans="1:10">
      <c r="A15" s="2" t="s">
        <v>40</v>
      </c>
      <c r="B15" s="1" t="s">
        <v>41</v>
      </c>
      <c r="C15">
        <f t="shared" si="0"/>
        <v>20</v>
      </c>
      <c r="D15">
        <v>6</v>
      </c>
      <c r="E15">
        <v>6</v>
      </c>
    </row>
    <row r="16" spans="1:10">
      <c r="A16" s="2" t="s">
        <v>42</v>
      </c>
      <c r="B16" s="1" t="s">
        <v>43</v>
      </c>
      <c r="C16">
        <f t="shared" si="0"/>
        <v>3</v>
      </c>
      <c r="D16" s="4">
        <v>0</v>
      </c>
      <c r="E16" s="4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46</v>
      </c>
      <c r="C18">
        <f t="shared" si="0"/>
        <v>27</v>
      </c>
      <c r="D18" s="4">
        <v>3</v>
      </c>
      <c r="E18" s="4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ref="C21:C68" si="1">IF(B21&lt;&gt;"",LEN(B21),"")</f>
        <v/>
      </c>
    </row>
    <row r="22" spans="1:5">
      <c r="C22" t="str">
        <f t="shared" si="1"/>
        <v/>
      </c>
    </row>
    <row r="23" spans="1:5">
      <c r="C23" t="str">
        <f t="shared" si="1"/>
        <v/>
      </c>
    </row>
    <row r="24" spans="1:5">
      <c r="C24" t="str">
        <f t="shared" si="1"/>
        <v/>
      </c>
    </row>
    <row r="25" spans="1:5">
      <c r="C25" t="str">
        <f t="shared" si="1"/>
        <v/>
      </c>
    </row>
    <row r="26" spans="1:5">
      <c r="C26" t="str">
        <f t="shared" si="1"/>
        <v/>
      </c>
    </row>
    <row r="27" spans="1:5">
      <c r="C27" t="str">
        <f t="shared" si="1"/>
        <v/>
      </c>
    </row>
    <row r="28" spans="1:5">
      <c r="C28" t="str">
        <f t="shared" si="1"/>
        <v/>
      </c>
    </row>
    <row r="29" spans="1:5">
      <c r="C29" t="str">
        <f t="shared" si="1"/>
        <v/>
      </c>
    </row>
    <row r="30" spans="1:5">
      <c r="C30" t="str">
        <f t="shared" si="1"/>
        <v/>
      </c>
    </row>
    <row r="31" spans="1:5">
      <c r="C31" t="str">
        <f t="shared" si="1"/>
        <v/>
      </c>
    </row>
    <row r="32" spans="1:5">
      <c r="C32" t="str">
        <f t="shared" si="1"/>
        <v/>
      </c>
    </row>
    <row r="33" spans="3:3">
      <c r="C33" t="str">
        <f t="shared" si="1"/>
        <v/>
      </c>
    </row>
    <row r="34" spans="3:3">
      <c r="C34" t="str">
        <f t="shared" si="1"/>
        <v/>
      </c>
    </row>
    <row r="35" spans="3:3">
      <c r="C35" t="str">
        <f t="shared" si="1"/>
        <v/>
      </c>
    </row>
    <row r="36" spans="3:3">
      <c r="C36" t="str">
        <f t="shared" si="1"/>
        <v/>
      </c>
    </row>
    <row r="37" spans="3:3">
      <c r="C37" t="str">
        <f t="shared" si="1"/>
        <v/>
      </c>
    </row>
    <row r="38" spans="3:3">
      <c r="C38" t="str">
        <f t="shared" si="1"/>
        <v/>
      </c>
    </row>
    <row r="39" spans="3:3">
      <c r="C39" t="str">
        <f t="shared" si="1"/>
        <v/>
      </c>
    </row>
    <row r="40" spans="3:3">
      <c r="C40" t="str">
        <f t="shared" si="1"/>
        <v/>
      </c>
    </row>
    <row r="41" spans="3:3">
      <c r="C41" t="str">
        <f t="shared" si="1"/>
        <v/>
      </c>
    </row>
    <row r="42" spans="3:3">
      <c r="C42" t="str">
        <f t="shared" si="1"/>
        <v/>
      </c>
    </row>
    <row r="43" spans="3:3">
      <c r="C43" t="str">
        <f t="shared" si="1"/>
        <v/>
      </c>
    </row>
    <row r="44" spans="3:3">
      <c r="C44" t="str">
        <f t="shared" si="1"/>
        <v/>
      </c>
    </row>
    <row r="45" spans="3:3">
      <c r="C45" t="str">
        <f t="shared" si="1"/>
        <v/>
      </c>
    </row>
    <row r="46" spans="3:3">
      <c r="C46" t="str">
        <f t="shared" si="1"/>
        <v/>
      </c>
    </row>
    <row r="47" spans="3:3">
      <c r="C47" t="str">
        <f t="shared" si="1"/>
        <v/>
      </c>
    </row>
    <row r="48" spans="3:3">
      <c r="C48" t="str">
        <f t="shared" si="1"/>
        <v/>
      </c>
    </row>
    <row r="49" spans="3:3">
      <c r="C49" t="str">
        <f t="shared" si="1"/>
        <v/>
      </c>
    </row>
    <row r="50" spans="3:3">
      <c r="C50" t="str">
        <f t="shared" si="1"/>
        <v/>
      </c>
    </row>
    <row r="51" spans="3:3">
      <c r="C51" t="str">
        <f t="shared" si="1"/>
        <v/>
      </c>
    </row>
    <row r="52" spans="3:3">
      <c r="C52" t="str">
        <f t="shared" si="1"/>
        <v/>
      </c>
    </row>
    <row r="53" spans="3:3">
      <c r="C53" t="str">
        <f t="shared" si="1"/>
        <v/>
      </c>
    </row>
    <row r="54" spans="3:3">
      <c r="C54" t="str">
        <f t="shared" si="1"/>
        <v/>
      </c>
    </row>
    <row r="55" spans="3:3">
      <c r="C55" t="str">
        <f t="shared" si="1"/>
        <v/>
      </c>
    </row>
    <row r="56" spans="3:3">
      <c r="C56" t="str">
        <f t="shared" si="1"/>
        <v/>
      </c>
    </row>
    <row r="57" spans="3:3">
      <c r="C57" t="str">
        <f t="shared" si="1"/>
        <v/>
      </c>
    </row>
    <row r="58" spans="3:3">
      <c r="C58" t="str">
        <f t="shared" si="1"/>
        <v/>
      </c>
    </row>
    <row r="59" spans="3:3">
      <c r="C59" t="str">
        <f t="shared" si="1"/>
        <v/>
      </c>
    </row>
    <row r="60" spans="3:3">
      <c r="C60" t="str">
        <f t="shared" si="1"/>
        <v/>
      </c>
    </row>
    <row r="61" spans="3:3">
      <c r="C61" t="str">
        <f t="shared" si="1"/>
        <v/>
      </c>
    </row>
    <row r="62" spans="3:3">
      <c r="C62" t="str">
        <f t="shared" si="1"/>
        <v/>
      </c>
    </row>
    <row r="63" spans="3:3">
      <c r="C63" t="str">
        <f t="shared" si="1"/>
        <v/>
      </c>
    </row>
    <row r="64" spans="3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M167"/>
  <sheetViews>
    <sheetView zoomScale="85" zoomScaleNormal="85" workbookViewId="0">
      <pane xSplit="1" ySplit="3" topLeftCell="B8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3">
      <c r="A1" s="2" t="s">
        <v>0</v>
      </c>
      <c r="B1" s="1" t="s">
        <v>12</v>
      </c>
    </row>
    <row r="2" spans="1:13">
      <c r="A2" s="2" t="s">
        <v>2</v>
      </c>
      <c r="B2" s="3" t="s">
        <v>49</v>
      </c>
      <c r="D2">
        <f>SUM(D4:D1000)</f>
        <v>75</v>
      </c>
      <c r="E2">
        <f>SUM(E4:E1000)</f>
        <v>100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14</v>
      </c>
      <c r="B4" s="1" t="s">
        <v>62</v>
      </c>
      <c r="C4">
        <f>IF(B4&lt;&gt;"",LEN(B4),"")</f>
        <v>3</v>
      </c>
      <c r="D4">
        <v>2</v>
      </c>
      <c r="E4">
        <v>2</v>
      </c>
      <c r="H4" t="s">
        <v>50</v>
      </c>
      <c r="M4" t="s">
        <v>78</v>
      </c>
    </row>
    <row r="5" spans="1:13">
      <c r="B5" s="1" t="s">
        <v>63</v>
      </c>
      <c r="C5">
        <f t="shared" ref="C5:C68" si="0">IF(B5&lt;&gt;"",LEN(B5),"")</f>
        <v>3</v>
      </c>
      <c r="D5">
        <v>2</v>
      </c>
      <c r="E5">
        <v>2</v>
      </c>
      <c r="H5" t="s">
        <v>51</v>
      </c>
    </row>
    <row r="6" spans="1:13">
      <c r="B6" s="1" t="s">
        <v>64</v>
      </c>
      <c r="C6">
        <f t="shared" si="0"/>
        <v>3</v>
      </c>
      <c r="D6">
        <v>2</v>
      </c>
      <c r="E6">
        <v>2</v>
      </c>
      <c r="H6" t="s">
        <v>52</v>
      </c>
    </row>
    <row r="7" spans="1:13">
      <c r="B7" s="1" t="s">
        <v>76</v>
      </c>
      <c r="C7">
        <f t="shared" si="0"/>
        <v>3</v>
      </c>
      <c r="D7">
        <v>2</v>
      </c>
      <c r="E7">
        <v>2</v>
      </c>
      <c r="H7" t="s">
        <v>53</v>
      </c>
    </row>
    <row r="8" spans="1:13">
      <c r="B8" s="1" t="s">
        <v>77</v>
      </c>
      <c r="C8">
        <f t="shared" si="0"/>
        <v>3</v>
      </c>
      <c r="D8">
        <v>2</v>
      </c>
      <c r="E8">
        <v>2</v>
      </c>
      <c r="H8" t="s">
        <v>54</v>
      </c>
    </row>
    <row r="9" spans="1:13">
      <c r="A9" s="2" t="s">
        <v>24</v>
      </c>
      <c r="B9" s="1" t="s">
        <v>65</v>
      </c>
      <c r="C9">
        <f t="shared" si="0"/>
        <v>26</v>
      </c>
      <c r="D9">
        <v>6</v>
      </c>
      <c r="E9">
        <v>6</v>
      </c>
      <c r="H9" t="s">
        <v>55</v>
      </c>
    </row>
    <row r="10" spans="1:13">
      <c r="A10" s="2" t="s">
        <v>27</v>
      </c>
      <c r="B10" s="1" t="s">
        <v>66</v>
      </c>
      <c r="C10">
        <f t="shared" si="0"/>
        <v>3</v>
      </c>
      <c r="D10">
        <v>2</v>
      </c>
      <c r="E10">
        <v>2</v>
      </c>
      <c r="H10" t="s">
        <v>56</v>
      </c>
    </row>
    <row r="11" spans="1:13">
      <c r="B11" s="1" t="s">
        <v>67</v>
      </c>
      <c r="C11">
        <f t="shared" si="0"/>
        <v>3</v>
      </c>
      <c r="D11">
        <v>2</v>
      </c>
      <c r="E11">
        <v>2</v>
      </c>
    </row>
    <row r="12" spans="1:13">
      <c r="B12" s="1" t="s">
        <v>75</v>
      </c>
      <c r="C12">
        <f t="shared" si="0"/>
        <v>3</v>
      </c>
      <c r="D12" s="4">
        <v>0</v>
      </c>
      <c r="E12" s="4">
        <v>2</v>
      </c>
      <c r="H12" t="s">
        <v>57</v>
      </c>
    </row>
    <row r="13" spans="1:13">
      <c r="A13" s="2" t="s">
        <v>68</v>
      </c>
      <c r="B13" s="1" t="s">
        <v>74</v>
      </c>
      <c r="C13">
        <f t="shared" si="0"/>
        <v>11</v>
      </c>
      <c r="D13">
        <v>6</v>
      </c>
      <c r="E13">
        <v>6</v>
      </c>
      <c r="H13" t="s">
        <v>58</v>
      </c>
    </row>
    <row r="14" spans="1:13">
      <c r="A14" s="2" t="s">
        <v>69</v>
      </c>
      <c r="B14" s="1" t="s">
        <v>71</v>
      </c>
      <c r="C14">
        <f t="shared" si="0"/>
        <v>3</v>
      </c>
      <c r="D14" s="4">
        <v>0</v>
      </c>
      <c r="E14" s="4">
        <v>3</v>
      </c>
      <c r="H14" t="s">
        <v>59</v>
      </c>
    </row>
    <row r="15" spans="1:13">
      <c r="B15" s="1" t="s">
        <v>70</v>
      </c>
      <c r="C15">
        <f t="shared" si="0"/>
        <v>3</v>
      </c>
      <c r="D15" s="4">
        <v>0</v>
      </c>
      <c r="E15" s="4">
        <v>3</v>
      </c>
      <c r="H15" t="s">
        <v>60</v>
      </c>
    </row>
    <row r="16" spans="1:13">
      <c r="B16" s="1" t="s">
        <v>72</v>
      </c>
      <c r="C16">
        <f t="shared" si="0"/>
        <v>3</v>
      </c>
      <c r="D16">
        <v>3</v>
      </c>
      <c r="E16">
        <v>3</v>
      </c>
      <c r="H16" t="s">
        <v>61</v>
      </c>
    </row>
    <row r="17" spans="1:8">
      <c r="B17" s="1" t="s">
        <v>73</v>
      </c>
      <c r="C17">
        <f t="shared" si="0"/>
        <v>3</v>
      </c>
      <c r="D17">
        <v>3</v>
      </c>
      <c r="E17">
        <v>3</v>
      </c>
    </row>
    <row r="18" spans="1:8">
      <c r="A18" s="2" t="s">
        <v>29</v>
      </c>
      <c r="B18" s="1" t="s">
        <v>80</v>
      </c>
      <c r="C18">
        <f t="shared" si="0"/>
        <v>16</v>
      </c>
      <c r="D18">
        <v>5</v>
      </c>
      <c r="E18">
        <v>5</v>
      </c>
      <c r="H18" t="s">
        <v>79</v>
      </c>
    </row>
    <row r="19" spans="1:8">
      <c r="B19" s="1" t="s">
        <v>81</v>
      </c>
      <c r="C19">
        <f t="shared" si="0"/>
        <v>17</v>
      </c>
      <c r="D19">
        <v>5</v>
      </c>
      <c r="E19">
        <v>5</v>
      </c>
    </row>
    <row r="20" spans="1:8">
      <c r="A20" s="2" t="s">
        <v>34</v>
      </c>
      <c r="B20" s="1" t="s">
        <v>82</v>
      </c>
      <c r="C20">
        <f t="shared" si="0"/>
        <v>1</v>
      </c>
      <c r="D20">
        <v>4</v>
      </c>
      <c r="E20">
        <v>4</v>
      </c>
      <c r="H20" t="s">
        <v>92</v>
      </c>
    </row>
    <row r="21" spans="1:8">
      <c r="A21" s="2" t="s">
        <v>38</v>
      </c>
      <c r="B21" s="1" t="s">
        <v>83</v>
      </c>
      <c r="C21">
        <f t="shared" si="0"/>
        <v>34</v>
      </c>
      <c r="D21">
        <v>6</v>
      </c>
      <c r="E21">
        <v>6</v>
      </c>
      <c r="H21" t="s">
        <v>93</v>
      </c>
    </row>
    <row r="22" spans="1:8">
      <c r="B22" s="1" t="s">
        <v>84</v>
      </c>
      <c r="C22">
        <f t="shared" si="0"/>
        <v>3</v>
      </c>
      <c r="D22">
        <v>4</v>
      </c>
      <c r="E22">
        <v>4</v>
      </c>
      <c r="H22" t="s">
        <v>94</v>
      </c>
    </row>
    <row r="23" spans="1:8">
      <c r="A23" s="2" t="s">
        <v>85</v>
      </c>
      <c r="B23" s="1" t="s">
        <v>86</v>
      </c>
      <c r="C23">
        <f t="shared" si="0"/>
        <v>27</v>
      </c>
      <c r="D23" s="4">
        <v>2</v>
      </c>
      <c r="E23" s="4">
        <v>6</v>
      </c>
      <c r="H23" t="s">
        <v>95</v>
      </c>
    </row>
    <row r="24" spans="1:8">
      <c r="B24" s="1" t="s">
        <v>87</v>
      </c>
      <c r="C24">
        <f t="shared" si="0"/>
        <v>25</v>
      </c>
    </row>
    <row r="25" spans="1:8">
      <c r="A25" s="2" t="s">
        <v>88</v>
      </c>
      <c r="B25" s="1" t="s">
        <v>89</v>
      </c>
      <c r="C25">
        <f t="shared" si="0"/>
        <v>35</v>
      </c>
      <c r="D25" s="4">
        <v>2</v>
      </c>
      <c r="E25" s="4">
        <v>6</v>
      </c>
    </row>
    <row r="26" spans="1:8">
      <c r="B26" s="1" t="s">
        <v>90</v>
      </c>
      <c r="C26">
        <f t="shared" si="0"/>
        <v>34</v>
      </c>
    </row>
    <row r="27" spans="1:8">
      <c r="A27" s="2" t="s">
        <v>91</v>
      </c>
      <c r="B27" s="1" t="s">
        <v>96</v>
      </c>
      <c r="C27">
        <f t="shared" si="0"/>
        <v>48</v>
      </c>
      <c r="D27">
        <v>6</v>
      </c>
      <c r="E27">
        <v>6</v>
      </c>
    </row>
    <row r="28" spans="1:8">
      <c r="A28" s="2" t="s">
        <v>97</v>
      </c>
      <c r="B28" s="1" t="s">
        <v>98</v>
      </c>
      <c r="C28">
        <f t="shared" si="0"/>
        <v>28</v>
      </c>
      <c r="D28" s="4">
        <v>6</v>
      </c>
      <c r="E28" s="4">
        <v>12</v>
      </c>
    </row>
    <row r="29" spans="1:8">
      <c r="A29" s="2" t="s">
        <v>99</v>
      </c>
      <c r="B29" s="1" t="s">
        <v>100</v>
      </c>
      <c r="C29">
        <f t="shared" si="0"/>
        <v>36</v>
      </c>
      <c r="D29" s="4">
        <v>3</v>
      </c>
      <c r="E29" s="4">
        <v>6</v>
      </c>
    </row>
    <row r="30" spans="1:8">
      <c r="C30" t="str">
        <f t="shared" si="0"/>
        <v/>
      </c>
    </row>
    <row r="31" spans="1:8">
      <c r="C31" t="str">
        <f t="shared" si="0"/>
        <v/>
      </c>
    </row>
    <row r="32" spans="1:8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4FF9-C36E-456D-8B0C-196D2B7DCB9B}">
  <sheetPr codeName="Sheet6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0" sqref="B20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12</v>
      </c>
    </row>
    <row r="2" spans="1:7">
      <c r="A2" s="2" t="s">
        <v>2</v>
      </c>
      <c r="B2" s="3" t="s">
        <v>13</v>
      </c>
      <c r="D2">
        <f>SUM(D4:D1000)</f>
        <v>44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14</v>
      </c>
      <c r="B4" s="1" t="s">
        <v>103</v>
      </c>
      <c r="C4">
        <f>IF(B4&lt;&gt;"",LEN(B4),"")</f>
        <v>3</v>
      </c>
      <c r="D4">
        <v>2</v>
      </c>
      <c r="E4">
        <v>2</v>
      </c>
    </row>
    <row r="5" spans="1:7">
      <c r="B5" s="1" t="s">
        <v>16</v>
      </c>
      <c r="C5">
        <f t="shared" ref="C5:C68" si="0">IF(B5&lt;&gt;"",LEN(B5),"")</f>
        <v>3</v>
      </c>
      <c r="D5">
        <v>2</v>
      </c>
      <c r="E5">
        <v>2</v>
      </c>
      <c r="G5" t="s">
        <v>102</v>
      </c>
    </row>
    <row r="6" spans="1:7">
      <c r="B6" s="1" t="s">
        <v>19</v>
      </c>
      <c r="C6">
        <f t="shared" si="0"/>
        <v>3</v>
      </c>
      <c r="D6">
        <v>2</v>
      </c>
      <c r="E6">
        <v>2</v>
      </c>
    </row>
    <row r="7" spans="1:7">
      <c r="B7" s="1" t="s">
        <v>22</v>
      </c>
      <c r="C7">
        <f t="shared" si="0"/>
        <v>3</v>
      </c>
      <c r="D7">
        <v>2</v>
      </c>
      <c r="E7">
        <v>2</v>
      </c>
    </row>
    <row r="8" spans="1:7">
      <c r="A8" s="2" t="s">
        <v>24</v>
      </c>
      <c r="B8" s="1" t="s">
        <v>104</v>
      </c>
      <c r="C8">
        <f t="shared" si="0"/>
        <v>33</v>
      </c>
      <c r="D8">
        <v>6</v>
      </c>
      <c r="E8">
        <v>6</v>
      </c>
    </row>
    <row r="9" spans="1:7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7">
      <c r="A10" s="2" t="s">
        <v>29</v>
      </c>
      <c r="B10" s="1" t="s">
        <v>105</v>
      </c>
      <c r="C10">
        <f t="shared" si="0"/>
        <v>4</v>
      </c>
      <c r="D10">
        <v>2</v>
      </c>
      <c r="E10">
        <v>2</v>
      </c>
    </row>
    <row r="11" spans="1:7">
      <c r="B11" s="1" t="s">
        <v>106</v>
      </c>
      <c r="C11">
        <f t="shared" si="0"/>
        <v>4</v>
      </c>
      <c r="D11">
        <v>2</v>
      </c>
      <c r="E11">
        <v>2</v>
      </c>
    </row>
    <row r="12" spans="1:7">
      <c r="A12" s="2" t="s">
        <v>34</v>
      </c>
      <c r="B12" s="1" t="s">
        <v>107</v>
      </c>
      <c r="C12">
        <f t="shared" si="0"/>
        <v>17</v>
      </c>
      <c r="D12">
        <v>4</v>
      </c>
      <c r="E12">
        <v>4</v>
      </c>
    </row>
    <row r="13" spans="1:7">
      <c r="B13" s="1" t="s">
        <v>108</v>
      </c>
      <c r="C13">
        <f t="shared" si="0"/>
        <v>16</v>
      </c>
      <c r="D13">
        <v>4</v>
      </c>
      <c r="E13">
        <v>4</v>
      </c>
    </row>
    <row r="14" spans="1:7">
      <c r="A14" s="2" t="s">
        <v>38</v>
      </c>
      <c r="B14" s="1" t="s">
        <v>109</v>
      </c>
      <c r="C14">
        <f t="shared" si="0"/>
        <v>6</v>
      </c>
      <c r="D14">
        <v>3</v>
      </c>
      <c r="E14">
        <v>3</v>
      </c>
    </row>
    <row r="15" spans="1:7">
      <c r="A15" s="2" t="s">
        <v>40</v>
      </c>
      <c r="B15" s="1" t="s">
        <v>110</v>
      </c>
      <c r="C15">
        <f t="shared" si="0"/>
        <v>17</v>
      </c>
      <c r="D15">
        <v>6</v>
      </c>
      <c r="E15">
        <v>6</v>
      </c>
    </row>
    <row r="16" spans="1:7">
      <c r="A16" s="2" t="s">
        <v>42</v>
      </c>
      <c r="B16" s="1" t="s">
        <v>111</v>
      </c>
      <c r="C16">
        <f t="shared" si="0"/>
        <v>3</v>
      </c>
      <c r="D16">
        <v>4</v>
      </c>
      <c r="E16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112</v>
      </c>
      <c r="C18">
        <f t="shared" si="0"/>
        <v>39</v>
      </c>
      <c r="D18">
        <v>0</v>
      </c>
      <c r="E18">
        <v>6</v>
      </c>
    </row>
    <row r="19" spans="1:5">
      <c r="B19" s="1" t="s">
        <v>113</v>
      </c>
      <c r="C19">
        <f t="shared" si="0"/>
        <v>33</v>
      </c>
    </row>
    <row r="20" spans="1:5">
      <c r="C20" t="str">
        <f t="shared" si="0"/>
        <v/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7042-CF33-4703-9D4C-E29AFED641E8}">
  <sheetPr codeName="Sheet7"/>
  <dimension ref="A1:J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4" sqref="D14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114</v>
      </c>
      <c r="D2">
        <f>SUM(D4:D1000)</f>
        <v>26</v>
      </c>
      <c r="E2">
        <f>SUM(E4:E1000)</f>
        <v>28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123</v>
      </c>
      <c r="C4">
        <f>IF(B4&lt;&gt;"",LEN(B4),"")</f>
        <v>4</v>
      </c>
      <c r="D4">
        <v>2</v>
      </c>
      <c r="E4">
        <v>2</v>
      </c>
    </row>
    <row r="5" spans="1:10">
      <c r="B5" s="1" t="s">
        <v>124</v>
      </c>
      <c r="C5">
        <f t="shared" ref="C5:C68" si="0">IF(B5&lt;&gt;"",LEN(B5),"")</f>
        <v>4</v>
      </c>
      <c r="D5">
        <v>2</v>
      </c>
      <c r="E5">
        <v>2</v>
      </c>
      <c r="G5" t="s">
        <v>115</v>
      </c>
      <c r="J5" t="s">
        <v>121</v>
      </c>
    </row>
    <row r="6" spans="1:10">
      <c r="B6" s="1" t="s">
        <v>129</v>
      </c>
      <c r="C6">
        <f t="shared" si="0"/>
        <v>4</v>
      </c>
      <c r="D6">
        <v>2</v>
      </c>
      <c r="E6">
        <v>2</v>
      </c>
      <c r="G6" t="s">
        <v>116</v>
      </c>
      <c r="J6" t="s">
        <v>122</v>
      </c>
    </row>
    <row r="7" spans="1:10">
      <c r="B7" s="1" t="s">
        <v>127</v>
      </c>
      <c r="C7">
        <f t="shared" si="0"/>
        <v>4</v>
      </c>
      <c r="D7">
        <v>2</v>
      </c>
      <c r="E7">
        <v>2</v>
      </c>
      <c r="G7" t="s">
        <v>117</v>
      </c>
      <c r="J7" t="s">
        <v>126</v>
      </c>
    </row>
    <row r="8" spans="1:10">
      <c r="B8" s="1" t="s">
        <v>128</v>
      </c>
      <c r="C8">
        <f t="shared" si="0"/>
        <v>4</v>
      </c>
      <c r="D8">
        <v>2</v>
      </c>
      <c r="E8">
        <v>2</v>
      </c>
      <c r="G8" t="s">
        <v>118</v>
      </c>
    </row>
    <row r="9" spans="1:10">
      <c r="A9" s="2" t="s">
        <v>24</v>
      </c>
      <c r="B9" s="1" t="s">
        <v>125</v>
      </c>
      <c r="C9">
        <f t="shared" si="0"/>
        <v>24</v>
      </c>
      <c r="D9">
        <v>6</v>
      </c>
      <c r="E9">
        <v>6</v>
      </c>
      <c r="G9" t="s">
        <v>119</v>
      </c>
    </row>
    <row r="10" spans="1:10">
      <c r="A10" s="2" t="s">
        <v>27</v>
      </c>
      <c r="B10" s="1" t="s">
        <v>66</v>
      </c>
      <c r="C10">
        <f t="shared" si="0"/>
        <v>3</v>
      </c>
      <c r="D10">
        <v>2</v>
      </c>
      <c r="E10">
        <v>2</v>
      </c>
      <c r="G10" t="s">
        <v>120</v>
      </c>
    </row>
    <row r="11" spans="1:10">
      <c r="B11" s="1" t="s">
        <v>67</v>
      </c>
      <c r="C11">
        <f t="shared" si="0"/>
        <v>3</v>
      </c>
      <c r="D11">
        <v>2</v>
      </c>
      <c r="E11">
        <v>2</v>
      </c>
      <c r="G11" t="s">
        <v>116</v>
      </c>
    </row>
    <row r="12" spans="1:10">
      <c r="B12" s="1" t="s">
        <v>75</v>
      </c>
      <c r="C12">
        <f t="shared" si="0"/>
        <v>3</v>
      </c>
      <c r="D12">
        <v>0</v>
      </c>
      <c r="E12">
        <v>2</v>
      </c>
    </row>
    <row r="13" spans="1:10">
      <c r="A13" s="2" t="s">
        <v>68</v>
      </c>
      <c r="B13" s="1" t="s">
        <v>74</v>
      </c>
      <c r="C13">
        <f t="shared" si="0"/>
        <v>11</v>
      </c>
      <c r="D13">
        <v>6</v>
      </c>
      <c r="E13">
        <v>6</v>
      </c>
    </row>
    <row r="14" spans="1:10">
      <c r="C14" t="str">
        <f t="shared" si="0"/>
        <v/>
      </c>
    </row>
    <row r="15" spans="1:10">
      <c r="C15" t="str">
        <f t="shared" si="0"/>
        <v/>
      </c>
    </row>
    <row r="16" spans="1:10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2025-01-28T21:30:39Z</dcterms:modified>
</cp:coreProperties>
</file>