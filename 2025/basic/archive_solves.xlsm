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328" codeName="{DC05BD20-4804-7139-695A-D245BE01A294}"/>
  <workbookPr codeName="ThisWorkbook"/>
  <mc:AlternateContent xmlns:mc="http://schemas.openxmlformats.org/markup-compatibility/2006">
    <mc:Choice Requires="x15">
      <x15ac:absPath xmlns:x15ac="http://schemas.microsoft.com/office/spreadsheetml/2010/11/ac" url="C:\Users\yoshinsh\Documents\python project\personal-trials\security_specialist\2025\basic\"/>
    </mc:Choice>
  </mc:AlternateContent>
  <xr:revisionPtr revIDLastSave="0" documentId="13_ncr:1_{1D1F8887-F255-49A0-B229-3F8A2EF0C94F}" xr6:coauthVersionLast="47" xr6:coauthVersionMax="47" xr10:uidLastSave="{00000000-0000-0000-0000-000000000000}"/>
  <bookViews>
    <workbookView xWindow="-108" yWindow="-108" windowWidth="23256" windowHeight="14856" firstSheet="1" activeTab="5" xr2:uid="{00000000-000D-0000-FFFF-FFFF00000000}"/>
  </bookViews>
  <sheets>
    <sheet name="レビュー" sheetId="2" r:id="rId1"/>
    <sheet name="format" sheetId="4" r:id="rId2"/>
    <sheet name="1" sheetId="5" r:id="rId3"/>
    <sheet name="午後sec1" sheetId="7" r:id="rId4"/>
    <sheet name="午後sec2" sheetId="8" r:id="rId5"/>
    <sheet name="午後sec3" sheetId="10" r:id="rId6"/>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41" i="10" l="1"/>
  <c r="C167" i="10"/>
  <c r="C166" i="10"/>
  <c r="C165" i="10"/>
  <c r="C164" i="10"/>
  <c r="C163" i="10"/>
  <c r="C162" i="10"/>
  <c r="C161" i="10"/>
  <c r="C160" i="10"/>
  <c r="C159" i="10"/>
  <c r="C158" i="10"/>
  <c r="C157" i="10"/>
  <c r="C156" i="10"/>
  <c r="C155" i="10"/>
  <c r="C154" i="10"/>
  <c r="C153" i="10"/>
  <c r="C152" i="10"/>
  <c r="C151" i="10"/>
  <c r="C150" i="10"/>
  <c r="C149" i="10"/>
  <c r="C148" i="10"/>
  <c r="C147" i="10"/>
  <c r="C146" i="10"/>
  <c r="C145" i="10"/>
  <c r="C144" i="10"/>
  <c r="C143" i="10"/>
  <c r="C142" i="10"/>
  <c r="C141" i="10"/>
  <c r="C140" i="10"/>
  <c r="C139" i="10"/>
  <c r="C138" i="10"/>
  <c r="C137" i="10"/>
  <c r="C136" i="10"/>
  <c r="C135" i="10"/>
  <c r="C134" i="10"/>
  <c r="C133" i="10"/>
  <c r="C132" i="10"/>
  <c r="C131" i="10"/>
  <c r="C130" i="10"/>
  <c r="C129" i="10"/>
  <c r="C128" i="10"/>
  <c r="C127" i="10"/>
  <c r="C126" i="10"/>
  <c r="C125" i="10"/>
  <c r="C124" i="10"/>
  <c r="C123" i="10"/>
  <c r="C122" i="10"/>
  <c r="C121" i="10"/>
  <c r="C120" i="10"/>
  <c r="C119" i="10"/>
  <c r="C118" i="10"/>
  <c r="C117" i="10"/>
  <c r="C116" i="10"/>
  <c r="C115" i="10"/>
  <c r="C114" i="10"/>
  <c r="C113" i="10"/>
  <c r="C112" i="10"/>
  <c r="C111" i="10"/>
  <c r="C110" i="10"/>
  <c r="C109" i="10"/>
  <c r="C108" i="10"/>
  <c r="C107" i="10"/>
  <c r="C106" i="10"/>
  <c r="C105" i="10"/>
  <c r="C104" i="10"/>
  <c r="C103" i="10"/>
  <c r="C102" i="10"/>
  <c r="C101" i="10"/>
  <c r="C100" i="10"/>
  <c r="C99" i="10"/>
  <c r="C98" i="10"/>
  <c r="C97" i="10"/>
  <c r="C96" i="10"/>
  <c r="C95" i="10"/>
  <c r="C94" i="10"/>
  <c r="C93" i="10"/>
  <c r="C92" i="10"/>
  <c r="C91" i="10"/>
  <c r="C90" i="10"/>
  <c r="C89" i="10"/>
  <c r="C88" i="10"/>
  <c r="C87" i="10"/>
  <c r="C86" i="10"/>
  <c r="C85" i="10"/>
  <c r="C84" i="10"/>
  <c r="C83" i="10"/>
  <c r="C82" i="10"/>
  <c r="C81" i="10"/>
  <c r="C80" i="10"/>
  <c r="C79" i="10"/>
  <c r="C78" i="10"/>
  <c r="C77" i="10"/>
  <c r="C76" i="10"/>
  <c r="C75" i="10"/>
  <c r="C74" i="10"/>
  <c r="C73" i="10"/>
  <c r="C72" i="10"/>
  <c r="C71" i="10"/>
  <c r="C70" i="10"/>
  <c r="C69" i="10"/>
  <c r="C68" i="10"/>
  <c r="C67" i="10"/>
  <c r="C66" i="10"/>
  <c r="C65" i="10"/>
  <c r="C64" i="10"/>
  <c r="C63" i="10"/>
  <c r="C62" i="10"/>
  <c r="C61" i="10"/>
  <c r="C60" i="10"/>
  <c r="C59" i="10"/>
  <c r="C58" i="10"/>
  <c r="C57" i="10"/>
  <c r="C56" i="10"/>
  <c r="C55" i="10"/>
  <c r="C54" i="10"/>
  <c r="C53" i="10"/>
  <c r="C52" i="10"/>
  <c r="C51" i="10"/>
  <c r="C50" i="10"/>
  <c r="C49" i="10"/>
  <c r="C48" i="10"/>
  <c r="C47" i="10"/>
  <c r="C46" i="10"/>
  <c r="C45" i="10"/>
  <c r="C44" i="10"/>
  <c r="C43" i="10"/>
  <c r="C42" i="10"/>
  <c r="C40" i="10"/>
  <c r="C39" i="10"/>
  <c r="C38" i="10"/>
  <c r="C37" i="10"/>
  <c r="C36" i="10"/>
  <c r="C35" i="10"/>
  <c r="C34" i="10"/>
  <c r="C33" i="10"/>
  <c r="C32" i="10"/>
  <c r="C31" i="10"/>
  <c r="C30" i="10"/>
  <c r="C29" i="10"/>
  <c r="C28" i="10"/>
  <c r="C27" i="10"/>
  <c r="C26" i="10"/>
  <c r="C25" i="10"/>
  <c r="C24" i="10"/>
  <c r="C23" i="10"/>
  <c r="C22" i="10"/>
  <c r="C21" i="10"/>
  <c r="C20" i="10"/>
  <c r="C19" i="10"/>
  <c r="C18" i="10"/>
  <c r="C17" i="10"/>
  <c r="C16" i="10"/>
  <c r="C15" i="10"/>
  <c r="C14" i="10"/>
  <c r="C13" i="10"/>
  <c r="C12" i="10"/>
  <c r="C11" i="10"/>
  <c r="C10" i="10"/>
  <c r="C9" i="10"/>
  <c r="C8" i="10"/>
  <c r="C7" i="10"/>
  <c r="C6" i="10"/>
  <c r="C5" i="10"/>
  <c r="C4" i="10"/>
  <c r="E2" i="10"/>
  <c r="D2" i="10"/>
  <c r="C167" i="8"/>
  <c r="C166" i="8"/>
  <c r="C165" i="8"/>
  <c r="C164" i="8"/>
  <c r="C163" i="8"/>
  <c r="C162" i="8"/>
  <c r="C161" i="8"/>
  <c r="C160" i="8"/>
  <c r="C159" i="8"/>
  <c r="C158" i="8"/>
  <c r="C157" i="8"/>
  <c r="C156" i="8"/>
  <c r="C155" i="8"/>
  <c r="C154" i="8"/>
  <c r="C153" i="8"/>
  <c r="C152" i="8"/>
  <c r="C151" i="8"/>
  <c r="C150" i="8"/>
  <c r="C149" i="8"/>
  <c r="C148" i="8"/>
  <c r="C147" i="8"/>
  <c r="C146" i="8"/>
  <c r="C145" i="8"/>
  <c r="C144" i="8"/>
  <c r="C143" i="8"/>
  <c r="C142" i="8"/>
  <c r="C141" i="8"/>
  <c r="C140" i="8"/>
  <c r="C139" i="8"/>
  <c r="C138" i="8"/>
  <c r="C137" i="8"/>
  <c r="C136" i="8"/>
  <c r="C135" i="8"/>
  <c r="C134" i="8"/>
  <c r="C133" i="8"/>
  <c r="C132" i="8"/>
  <c r="C131" i="8"/>
  <c r="C130" i="8"/>
  <c r="C129" i="8"/>
  <c r="C128" i="8"/>
  <c r="C127" i="8"/>
  <c r="C126" i="8"/>
  <c r="C125" i="8"/>
  <c r="C124" i="8"/>
  <c r="C123" i="8"/>
  <c r="C122" i="8"/>
  <c r="C121" i="8"/>
  <c r="C120" i="8"/>
  <c r="C119" i="8"/>
  <c r="C118" i="8"/>
  <c r="C117" i="8"/>
  <c r="C116" i="8"/>
  <c r="C115" i="8"/>
  <c r="C114" i="8"/>
  <c r="C113" i="8"/>
  <c r="C112" i="8"/>
  <c r="C111" i="8"/>
  <c r="C110" i="8"/>
  <c r="C109" i="8"/>
  <c r="C108" i="8"/>
  <c r="C107" i="8"/>
  <c r="C106" i="8"/>
  <c r="C105" i="8"/>
  <c r="C104" i="8"/>
  <c r="C103" i="8"/>
  <c r="C102" i="8"/>
  <c r="C101" i="8"/>
  <c r="C100" i="8"/>
  <c r="C99" i="8"/>
  <c r="C98" i="8"/>
  <c r="C97" i="8"/>
  <c r="C96" i="8"/>
  <c r="C95" i="8"/>
  <c r="C94" i="8"/>
  <c r="C93" i="8"/>
  <c r="C92" i="8"/>
  <c r="C91" i="8"/>
  <c r="C90" i="8"/>
  <c r="C89" i="8"/>
  <c r="C88" i="8"/>
  <c r="C87" i="8"/>
  <c r="C86" i="8"/>
  <c r="C85" i="8"/>
  <c r="C84" i="8"/>
  <c r="C83" i="8"/>
  <c r="C82" i="8"/>
  <c r="C81" i="8"/>
  <c r="C80" i="8"/>
  <c r="C79" i="8"/>
  <c r="C78" i="8"/>
  <c r="C77" i="8"/>
  <c r="C76" i="8"/>
  <c r="C75" i="8"/>
  <c r="C74" i="8"/>
  <c r="C73" i="8"/>
  <c r="C72" i="8"/>
  <c r="C71" i="8"/>
  <c r="C70" i="8"/>
  <c r="C69" i="8"/>
  <c r="C68" i="8"/>
  <c r="C67" i="8"/>
  <c r="C66" i="8"/>
  <c r="C65" i="8"/>
  <c r="C64" i="8"/>
  <c r="C63" i="8"/>
  <c r="C62" i="8"/>
  <c r="C61" i="8"/>
  <c r="C60" i="8"/>
  <c r="C59" i="8"/>
  <c r="C58" i="8"/>
  <c r="C57" i="8"/>
  <c r="C56" i="8"/>
  <c r="C55" i="8"/>
  <c r="C54" i="8"/>
  <c r="C53" i="8"/>
  <c r="C52" i="8"/>
  <c r="C51" i="8"/>
  <c r="C50" i="8"/>
  <c r="C49" i="8"/>
  <c r="C48" i="8"/>
  <c r="C47" i="8"/>
  <c r="C46" i="8"/>
  <c r="C45" i="8"/>
  <c r="C44" i="8"/>
  <c r="C43" i="8"/>
  <c r="C42" i="8"/>
  <c r="C41" i="8"/>
  <c r="C40" i="8"/>
  <c r="C39" i="8"/>
  <c r="C38" i="8"/>
  <c r="C37" i="8"/>
  <c r="C36" i="8"/>
  <c r="C35" i="8"/>
  <c r="C34" i="8"/>
  <c r="C33" i="8"/>
  <c r="C32" i="8"/>
  <c r="C31" i="8"/>
  <c r="C30" i="8"/>
  <c r="C29" i="8"/>
  <c r="C28" i="8"/>
  <c r="C27" i="8"/>
  <c r="C26" i="8"/>
  <c r="C25" i="8"/>
  <c r="C24" i="8"/>
  <c r="C23" i="8"/>
  <c r="C22" i="8"/>
  <c r="C21" i="8"/>
  <c r="C20" i="8"/>
  <c r="C19" i="8"/>
  <c r="C18" i="8"/>
  <c r="C17" i="8"/>
  <c r="C16" i="8"/>
  <c r="C15" i="8"/>
  <c r="C14" i="8"/>
  <c r="C13" i="8"/>
  <c r="C12" i="8"/>
  <c r="C11" i="8"/>
  <c r="C10" i="8"/>
  <c r="C9" i="8"/>
  <c r="C8" i="8"/>
  <c r="C7" i="8"/>
  <c r="C6" i="8"/>
  <c r="C5" i="8"/>
  <c r="C4" i="8"/>
  <c r="E2" i="8"/>
  <c r="D2" i="8"/>
  <c r="C167" i="7"/>
  <c r="C166" i="7"/>
  <c r="C165" i="7"/>
  <c r="C164" i="7"/>
  <c r="C163" i="7"/>
  <c r="C162" i="7"/>
  <c r="C161" i="7"/>
  <c r="C160" i="7"/>
  <c r="C159" i="7"/>
  <c r="C158" i="7"/>
  <c r="C157" i="7"/>
  <c r="C156" i="7"/>
  <c r="C155" i="7"/>
  <c r="C154" i="7"/>
  <c r="C153" i="7"/>
  <c r="C152" i="7"/>
  <c r="C151" i="7"/>
  <c r="C150" i="7"/>
  <c r="C149" i="7"/>
  <c r="C148" i="7"/>
  <c r="C147" i="7"/>
  <c r="C146" i="7"/>
  <c r="C145" i="7"/>
  <c r="C144" i="7"/>
  <c r="C143" i="7"/>
  <c r="C142" i="7"/>
  <c r="C141" i="7"/>
  <c r="C140" i="7"/>
  <c r="C139" i="7"/>
  <c r="C138" i="7"/>
  <c r="C137" i="7"/>
  <c r="C136" i="7"/>
  <c r="C135" i="7"/>
  <c r="C134" i="7"/>
  <c r="C133" i="7"/>
  <c r="C132" i="7"/>
  <c r="C131" i="7"/>
  <c r="C130" i="7"/>
  <c r="C129" i="7"/>
  <c r="C128" i="7"/>
  <c r="C127" i="7"/>
  <c r="C126" i="7"/>
  <c r="C125" i="7"/>
  <c r="C124" i="7"/>
  <c r="C123" i="7"/>
  <c r="C122" i="7"/>
  <c r="C121" i="7"/>
  <c r="C120" i="7"/>
  <c r="C119" i="7"/>
  <c r="C118" i="7"/>
  <c r="C117" i="7"/>
  <c r="C116" i="7"/>
  <c r="C115" i="7"/>
  <c r="C114" i="7"/>
  <c r="C113" i="7"/>
  <c r="C112" i="7"/>
  <c r="C111" i="7"/>
  <c r="C110" i="7"/>
  <c r="C109" i="7"/>
  <c r="C108" i="7"/>
  <c r="C107" i="7"/>
  <c r="C106" i="7"/>
  <c r="C105" i="7"/>
  <c r="C104" i="7"/>
  <c r="C103" i="7"/>
  <c r="C102" i="7"/>
  <c r="C101" i="7"/>
  <c r="C100" i="7"/>
  <c r="C99" i="7"/>
  <c r="C98" i="7"/>
  <c r="C97" i="7"/>
  <c r="C96" i="7"/>
  <c r="C95" i="7"/>
  <c r="C94" i="7"/>
  <c r="C93" i="7"/>
  <c r="C92" i="7"/>
  <c r="C91" i="7"/>
  <c r="C90" i="7"/>
  <c r="C89" i="7"/>
  <c r="C88" i="7"/>
  <c r="C87" i="7"/>
  <c r="C86" i="7"/>
  <c r="C85" i="7"/>
  <c r="C84" i="7"/>
  <c r="C83" i="7"/>
  <c r="C82" i="7"/>
  <c r="C81" i="7"/>
  <c r="C80" i="7"/>
  <c r="C79" i="7"/>
  <c r="C78" i="7"/>
  <c r="C77" i="7"/>
  <c r="C76" i="7"/>
  <c r="C75" i="7"/>
  <c r="C74" i="7"/>
  <c r="C73" i="7"/>
  <c r="C72" i="7"/>
  <c r="C71" i="7"/>
  <c r="C70" i="7"/>
  <c r="C69" i="7"/>
  <c r="C68" i="7"/>
  <c r="C67" i="7"/>
  <c r="C66" i="7"/>
  <c r="C65" i="7"/>
  <c r="C64" i="7"/>
  <c r="C63" i="7"/>
  <c r="C62" i="7"/>
  <c r="C61" i="7"/>
  <c r="C60" i="7"/>
  <c r="C59" i="7"/>
  <c r="C58" i="7"/>
  <c r="C57" i="7"/>
  <c r="C56" i="7"/>
  <c r="C55" i="7"/>
  <c r="C54" i="7"/>
  <c r="C53" i="7"/>
  <c r="C52" i="7"/>
  <c r="C51" i="7"/>
  <c r="C50" i="7"/>
  <c r="C49" i="7"/>
  <c r="C48" i="7"/>
  <c r="C47" i="7"/>
  <c r="C46" i="7"/>
  <c r="C45" i="7"/>
  <c r="C44" i="7"/>
  <c r="C43" i="7"/>
  <c r="C42" i="7"/>
  <c r="C41" i="7"/>
  <c r="C40" i="7"/>
  <c r="C39" i="7"/>
  <c r="C38" i="7"/>
  <c r="C37" i="7"/>
  <c r="C36" i="7"/>
  <c r="C35" i="7"/>
  <c r="C34" i="7"/>
  <c r="C33" i="7"/>
  <c r="C32" i="7"/>
  <c r="C31" i="7"/>
  <c r="C30" i="7"/>
  <c r="C29" i="7"/>
  <c r="C28" i="7"/>
  <c r="C27" i="7"/>
  <c r="C26" i="7"/>
  <c r="C25" i="7"/>
  <c r="C24" i="7"/>
  <c r="C23" i="7"/>
  <c r="C22" i="7"/>
  <c r="C21" i="7"/>
  <c r="C20" i="7"/>
  <c r="C19" i="7"/>
  <c r="C18" i="7"/>
  <c r="C17" i="7"/>
  <c r="C16" i="7"/>
  <c r="C15" i="7"/>
  <c r="C14" i="7"/>
  <c r="C13" i="7"/>
  <c r="C12" i="7"/>
  <c r="C11" i="7"/>
  <c r="C10" i="7"/>
  <c r="C9" i="7"/>
  <c r="C8" i="7"/>
  <c r="C7" i="7"/>
  <c r="C6" i="7"/>
  <c r="C5" i="7"/>
  <c r="C4" i="7"/>
  <c r="E2" i="7"/>
  <c r="D2" i="7"/>
  <c r="I6" i="5"/>
  <c r="I7" i="5" s="1"/>
  <c r="C167" i="5"/>
  <c r="C166" i="5"/>
  <c r="C165" i="5"/>
  <c r="C164" i="5"/>
  <c r="C163" i="5"/>
  <c r="C162" i="5"/>
  <c r="C161" i="5"/>
  <c r="C160" i="5"/>
  <c r="C159" i="5"/>
  <c r="C158" i="5"/>
  <c r="C157" i="5"/>
  <c r="C156" i="5"/>
  <c r="C155" i="5"/>
  <c r="C154" i="5"/>
  <c r="C153" i="5"/>
  <c r="C152" i="5"/>
  <c r="C151" i="5"/>
  <c r="C150" i="5"/>
  <c r="C149" i="5"/>
  <c r="C148" i="5"/>
  <c r="C147" i="5"/>
  <c r="C146" i="5"/>
  <c r="C145" i="5"/>
  <c r="C144" i="5"/>
  <c r="C143" i="5"/>
  <c r="C142" i="5"/>
  <c r="C141" i="5"/>
  <c r="C140" i="5"/>
  <c r="C139" i="5"/>
  <c r="C138" i="5"/>
  <c r="C137" i="5"/>
  <c r="C136" i="5"/>
  <c r="C135" i="5"/>
  <c r="C134" i="5"/>
  <c r="C133" i="5"/>
  <c r="C132" i="5"/>
  <c r="C131" i="5"/>
  <c r="C130" i="5"/>
  <c r="C129" i="5"/>
  <c r="C128" i="5"/>
  <c r="C127" i="5"/>
  <c r="C126" i="5"/>
  <c r="C125" i="5"/>
  <c r="C124" i="5"/>
  <c r="C123" i="5"/>
  <c r="C122" i="5"/>
  <c r="C121" i="5"/>
  <c r="C120" i="5"/>
  <c r="C119" i="5"/>
  <c r="C118" i="5"/>
  <c r="C117" i="5"/>
  <c r="C116" i="5"/>
  <c r="C115" i="5"/>
  <c r="C114" i="5"/>
  <c r="C113" i="5"/>
  <c r="C112" i="5"/>
  <c r="C111" i="5"/>
  <c r="C110" i="5"/>
  <c r="C109" i="5"/>
  <c r="C108" i="5"/>
  <c r="C107" i="5"/>
  <c r="C106" i="5"/>
  <c r="C105" i="5"/>
  <c r="C104" i="5"/>
  <c r="C103" i="5"/>
  <c r="C102" i="5"/>
  <c r="C101" i="5"/>
  <c r="C100" i="5"/>
  <c r="C99" i="5"/>
  <c r="C98" i="5"/>
  <c r="C97" i="5"/>
  <c r="C96" i="5"/>
  <c r="C95" i="5"/>
  <c r="C94" i="5"/>
  <c r="C93" i="5"/>
  <c r="C92" i="5"/>
  <c r="C91" i="5"/>
  <c r="C90" i="5"/>
  <c r="C89" i="5"/>
  <c r="C88" i="5"/>
  <c r="C87" i="5"/>
  <c r="C86" i="5"/>
  <c r="C85" i="5"/>
  <c r="C84" i="5"/>
  <c r="C83" i="5"/>
  <c r="C82" i="5"/>
  <c r="C81" i="5"/>
  <c r="C80" i="5"/>
  <c r="C79" i="5"/>
  <c r="C78" i="5"/>
  <c r="C77" i="5"/>
  <c r="C76" i="5"/>
  <c r="C75" i="5"/>
  <c r="C74" i="5"/>
  <c r="C73" i="5"/>
  <c r="C72" i="5"/>
  <c r="C71" i="5"/>
  <c r="C70" i="5"/>
  <c r="C69" i="5"/>
  <c r="C68" i="5"/>
  <c r="C67" i="5"/>
  <c r="C66" i="5"/>
  <c r="C65" i="5"/>
  <c r="C64" i="5"/>
  <c r="C63" i="5"/>
  <c r="C62" i="5"/>
  <c r="C61" i="5"/>
  <c r="C60" i="5"/>
  <c r="C59" i="5"/>
  <c r="C58" i="5"/>
  <c r="C57" i="5"/>
  <c r="C56" i="5"/>
  <c r="C55" i="5"/>
  <c r="C54" i="5"/>
  <c r="C53" i="5"/>
  <c r="C52" i="5"/>
  <c r="C51" i="5"/>
  <c r="C50" i="5"/>
  <c r="C49" i="5"/>
  <c r="C48" i="5"/>
  <c r="C47" i="5"/>
  <c r="C46" i="5"/>
  <c r="C45" i="5"/>
  <c r="C44" i="5"/>
  <c r="C43" i="5"/>
  <c r="C42" i="5"/>
  <c r="C41" i="5"/>
  <c r="C40" i="5"/>
  <c r="C39" i="5"/>
  <c r="C38" i="5"/>
  <c r="C37" i="5"/>
  <c r="C36" i="5"/>
  <c r="C35" i="5"/>
  <c r="C34" i="5"/>
  <c r="C33" i="5"/>
  <c r="C32" i="5"/>
  <c r="C31" i="5"/>
  <c r="C30" i="5"/>
  <c r="C29" i="5"/>
  <c r="C28" i="5"/>
  <c r="C27" i="5"/>
  <c r="C26" i="5"/>
  <c r="C25" i="5"/>
  <c r="C24" i="5"/>
  <c r="C23" i="5"/>
  <c r="C22" i="5"/>
  <c r="C21" i="5"/>
  <c r="C20" i="5"/>
  <c r="C19" i="5"/>
  <c r="C18" i="5"/>
  <c r="C17" i="5"/>
  <c r="C16" i="5"/>
  <c r="C15" i="5"/>
  <c r="C14" i="5"/>
  <c r="C13" i="5"/>
  <c r="C12" i="5"/>
  <c r="C11" i="5"/>
  <c r="C10" i="5"/>
  <c r="C9" i="5"/>
  <c r="C8" i="5"/>
  <c r="C7" i="5"/>
  <c r="C6" i="5"/>
  <c r="C5" i="5"/>
  <c r="C4" i="5"/>
  <c r="E2" i="5"/>
  <c r="D2" i="5"/>
  <c r="C167" i="4"/>
  <c r="C166" i="4"/>
  <c r="C165" i="4"/>
  <c r="C164" i="4"/>
  <c r="C163" i="4"/>
  <c r="C162" i="4"/>
  <c r="C161" i="4"/>
  <c r="C160" i="4"/>
  <c r="C159" i="4"/>
  <c r="C158" i="4"/>
  <c r="C157" i="4"/>
  <c r="C156" i="4"/>
  <c r="C155" i="4"/>
  <c r="C154" i="4"/>
  <c r="C153" i="4"/>
  <c r="C152" i="4"/>
  <c r="C151" i="4"/>
  <c r="C150" i="4"/>
  <c r="C149" i="4"/>
  <c r="C148" i="4"/>
  <c r="C147" i="4"/>
  <c r="C146" i="4"/>
  <c r="C145" i="4"/>
  <c r="C144" i="4"/>
  <c r="C143" i="4"/>
  <c r="C142" i="4"/>
  <c r="C141" i="4"/>
  <c r="C140" i="4"/>
  <c r="C139" i="4"/>
  <c r="C138" i="4"/>
  <c r="C137" i="4"/>
  <c r="C136" i="4"/>
  <c r="C135" i="4"/>
  <c r="C134" i="4"/>
  <c r="C133" i="4"/>
  <c r="C132" i="4"/>
  <c r="C131" i="4"/>
  <c r="C130" i="4"/>
  <c r="C129" i="4"/>
  <c r="C128" i="4"/>
  <c r="C127" i="4"/>
  <c r="C126" i="4"/>
  <c r="C125" i="4"/>
  <c r="C124" i="4"/>
  <c r="C123" i="4"/>
  <c r="C122" i="4"/>
  <c r="C121" i="4"/>
  <c r="C120" i="4"/>
  <c r="C119" i="4"/>
  <c r="C118" i="4"/>
  <c r="C117" i="4"/>
  <c r="C116" i="4"/>
  <c r="C115" i="4"/>
  <c r="C114" i="4"/>
  <c r="C113" i="4"/>
  <c r="C112" i="4"/>
  <c r="C111" i="4"/>
  <c r="C110" i="4"/>
  <c r="C109" i="4"/>
  <c r="C108" i="4"/>
  <c r="C107" i="4"/>
  <c r="C106" i="4"/>
  <c r="C105" i="4"/>
  <c r="C104" i="4"/>
  <c r="C103" i="4"/>
  <c r="C102" i="4"/>
  <c r="C101" i="4"/>
  <c r="C100" i="4"/>
  <c r="C99" i="4"/>
  <c r="C98" i="4"/>
  <c r="C97" i="4"/>
  <c r="C96" i="4"/>
  <c r="C95" i="4"/>
  <c r="C94" i="4"/>
  <c r="C93" i="4"/>
  <c r="C92" i="4"/>
  <c r="C91" i="4"/>
  <c r="C90" i="4"/>
  <c r="C89" i="4"/>
  <c r="C88" i="4"/>
  <c r="C87" i="4"/>
  <c r="C86" i="4"/>
  <c r="C85" i="4"/>
  <c r="C84" i="4"/>
  <c r="C83" i="4"/>
  <c r="C82" i="4"/>
  <c r="C81" i="4"/>
  <c r="C80" i="4"/>
  <c r="C79" i="4"/>
  <c r="C78" i="4"/>
  <c r="C77" i="4"/>
  <c r="C76" i="4"/>
  <c r="C75" i="4"/>
  <c r="C74" i="4"/>
  <c r="C73" i="4"/>
  <c r="C72" i="4"/>
  <c r="C71" i="4"/>
  <c r="C70" i="4"/>
  <c r="C69" i="4"/>
  <c r="C68" i="4"/>
  <c r="C67" i="4"/>
  <c r="C66" i="4"/>
  <c r="C65" i="4"/>
  <c r="C64" i="4"/>
  <c r="C63" i="4"/>
  <c r="C62" i="4"/>
  <c r="C61" i="4"/>
  <c r="C60" i="4"/>
  <c r="C59" i="4"/>
  <c r="C58" i="4"/>
  <c r="C57" i="4"/>
  <c r="C56" i="4"/>
  <c r="C55" i="4"/>
  <c r="C54" i="4"/>
  <c r="C53" i="4"/>
  <c r="C52" i="4"/>
  <c r="C51" i="4"/>
  <c r="C50" i="4"/>
  <c r="C49" i="4"/>
  <c r="C48" i="4"/>
  <c r="C47" i="4"/>
  <c r="C46" i="4"/>
  <c r="C45" i="4"/>
  <c r="C44" i="4"/>
  <c r="C43" i="4"/>
  <c r="C42" i="4"/>
  <c r="C41" i="4"/>
  <c r="C40" i="4"/>
  <c r="C39" i="4"/>
  <c r="C38" i="4"/>
  <c r="C37" i="4"/>
  <c r="C36" i="4"/>
  <c r="C35" i="4"/>
  <c r="C34" i="4"/>
  <c r="C33" i="4"/>
  <c r="C32" i="4"/>
  <c r="C31" i="4"/>
  <c r="C30" i="4"/>
  <c r="C29" i="4"/>
  <c r="C28" i="4"/>
  <c r="C27" i="4"/>
  <c r="C26" i="4"/>
  <c r="C25" i="4"/>
  <c r="C24" i="4"/>
  <c r="C23" i="4"/>
  <c r="C22" i="4"/>
  <c r="C21" i="4"/>
  <c r="C20" i="4"/>
  <c r="C19" i="4"/>
  <c r="C18" i="4"/>
  <c r="C17" i="4"/>
  <c r="C16" i="4"/>
  <c r="C15" i="4"/>
  <c r="C14" i="4"/>
  <c r="C13" i="4"/>
  <c r="C12" i="4"/>
  <c r="C11" i="4"/>
  <c r="C10" i="4"/>
  <c r="C9" i="4"/>
  <c r="C8" i="4"/>
  <c r="C7" i="4"/>
  <c r="C6" i="4"/>
  <c r="C5" i="4"/>
  <c r="C4" i="4"/>
  <c r="E2" i="4"/>
  <c r="D2" i="4"/>
</calcChain>
</file>

<file path=xl/sharedStrings.xml><?xml version="1.0" encoding="utf-8"?>
<sst xmlns="http://schemas.openxmlformats.org/spreadsheetml/2006/main" count="632" uniqueCount="579">
  <si>
    <t>問題集</t>
    <rPh sb="0" eb="2">
      <t>モンダイ</t>
    </rPh>
    <rPh sb="2" eb="3">
      <t>アツ</t>
    </rPh>
    <phoneticPr fontId="1"/>
  </si>
  <si>
    <t>問題番号</t>
    <rPh sb="0" eb="2">
      <t>モンダイ</t>
    </rPh>
    <rPh sb="2" eb="4">
      <t>バンゴウ</t>
    </rPh>
    <phoneticPr fontId="1"/>
  </si>
  <si>
    <t>大問番号</t>
    <rPh sb="0" eb="2">
      <t>ダイモン</t>
    </rPh>
    <rPh sb="2" eb="4">
      <t>バンゴウ</t>
    </rPh>
    <phoneticPr fontId="1"/>
  </si>
  <si>
    <t>解答</t>
    <rPh sb="0" eb="2">
      <t>カイトウ</t>
    </rPh>
    <phoneticPr fontId="1"/>
  </si>
  <si>
    <t>採点</t>
    <rPh sb="0" eb="2">
      <t>サイテン</t>
    </rPh>
    <phoneticPr fontId="1"/>
  </si>
  <si>
    <t>配点</t>
    <rPh sb="0" eb="2">
      <t>ハイテン</t>
    </rPh>
    <phoneticPr fontId="1"/>
  </si>
  <si>
    <t>文字数</t>
    <rPh sb="0" eb="3">
      <t>モジスウ</t>
    </rPh>
    <phoneticPr fontId="1"/>
  </si>
  <si>
    <t>問題集</t>
    <rPh sb="0" eb="3">
      <t>モンダイシュウ</t>
    </rPh>
    <phoneticPr fontId="1"/>
  </si>
  <si>
    <t>大問</t>
    <rPh sb="0" eb="2">
      <t>ダイモン</t>
    </rPh>
    <phoneticPr fontId="1"/>
  </si>
  <si>
    <t>得点</t>
    <rPh sb="0" eb="2">
      <t>トクテン</t>
    </rPh>
    <phoneticPr fontId="1"/>
  </si>
  <si>
    <t>不正解の問題</t>
    <rPh sb="0" eb="3">
      <t>フセイカイ</t>
    </rPh>
    <rPh sb="4" eb="6">
      <t>モンダイ</t>
    </rPh>
    <phoneticPr fontId="1"/>
  </si>
  <si>
    <t>シート番号</t>
    <rPh sb="3" eb="5">
      <t>バンゴウ</t>
    </rPh>
    <phoneticPr fontId="1"/>
  </si>
  <si>
    <t>極選</t>
    <rPh sb="0" eb="1">
      <t>キワ</t>
    </rPh>
    <rPh sb="1" eb="2">
      <t>エラ</t>
    </rPh>
    <phoneticPr fontId="1"/>
  </si>
  <si>
    <t>午前2</t>
    <rPh sb="0" eb="2">
      <t>ゴゼン</t>
    </rPh>
    <phoneticPr fontId="1"/>
  </si>
  <si>
    <t>1</t>
    <phoneticPr fontId="1"/>
  </si>
  <si>
    <t>エ</t>
  </si>
  <si>
    <t>2</t>
    <phoneticPr fontId="1"/>
  </si>
  <si>
    <t>ア</t>
  </si>
  <si>
    <t>3</t>
    <phoneticPr fontId="1"/>
  </si>
  <si>
    <t>イ</t>
  </si>
  <si>
    <t>ウ</t>
  </si>
  <si>
    <t>4</t>
    <phoneticPr fontId="1"/>
  </si>
  <si>
    <t>5</t>
    <phoneticPr fontId="1"/>
  </si>
  <si>
    <t>6</t>
    <phoneticPr fontId="1"/>
  </si>
  <si>
    <t>7</t>
    <phoneticPr fontId="1"/>
  </si>
  <si>
    <t>8</t>
    <phoneticPr fontId="1"/>
  </si>
  <si>
    <t>9</t>
    <phoneticPr fontId="1"/>
  </si>
  <si>
    <t>10</t>
    <phoneticPr fontId="1"/>
  </si>
  <si>
    <t>11</t>
    <phoneticPr fontId="1"/>
  </si>
  <si>
    <t>12</t>
    <phoneticPr fontId="1"/>
  </si>
  <si>
    <t>13</t>
    <phoneticPr fontId="1"/>
  </si>
  <si>
    <t>14</t>
    <phoneticPr fontId="1"/>
  </si>
  <si>
    <t>15</t>
    <phoneticPr fontId="1"/>
  </si>
  <si>
    <t>16</t>
    <phoneticPr fontId="1"/>
  </si>
  <si>
    <t>17</t>
    <phoneticPr fontId="1"/>
  </si>
  <si>
    <t>午後問題集</t>
    <rPh sb="0" eb="5">
      <t>ゴゴモンダイシュウ</t>
    </rPh>
    <phoneticPr fontId="1"/>
  </si>
  <si>
    <t>sec-1</t>
    <phoneticPr fontId="1"/>
  </si>
  <si>
    <t>7-1</t>
    <phoneticPr fontId="1"/>
  </si>
  <si>
    <t>社内で通常業務で使われているブラウザを示す値であるケース</t>
    <rPh sb="0" eb="2">
      <t>シャナイ</t>
    </rPh>
    <rPh sb="3" eb="5">
      <t>ツウジョウ</t>
    </rPh>
    <rPh sb="5" eb="7">
      <t>ギョウム</t>
    </rPh>
    <rPh sb="8" eb="9">
      <t>ツカ</t>
    </rPh>
    <rPh sb="19" eb="20">
      <t>シメ</t>
    </rPh>
    <rPh sb="21" eb="22">
      <t>アタイ</t>
    </rPh>
    <phoneticPr fontId="1"/>
  </si>
  <si>
    <t>Q5</t>
    <phoneticPr fontId="1"/>
  </si>
  <si>
    <t>物理的に１台のホストだった場合、他のGUAを宛先としたパケットの場合、検索結果に表示されない</t>
    <rPh sb="0" eb="3">
      <t>ブツリテキ</t>
    </rPh>
    <rPh sb="5" eb="6">
      <t>ダイ</t>
    </rPh>
    <rPh sb="13" eb="15">
      <t>バアイ</t>
    </rPh>
    <rPh sb="16" eb="17">
      <t>ホカ</t>
    </rPh>
    <rPh sb="22" eb="24">
      <t>アテサキ</t>
    </rPh>
    <rPh sb="32" eb="34">
      <t>バアイ</t>
    </rPh>
    <rPh sb="35" eb="39">
      <t>ケンサクケッカ</t>
    </rPh>
    <rPh sb="40" eb="42">
      <t>ヒョウジ</t>
    </rPh>
    <phoneticPr fontId="1"/>
  </si>
  <si>
    <t>7-2</t>
    <phoneticPr fontId="1"/>
  </si>
  <si>
    <t>あらかじめ予約されているプライベートアドレスと、X社の機器に割り当てられているIPアドレスが重複する可能性があるという問題</t>
    <rPh sb="5" eb="7">
      <t>ヨヤク</t>
    </rPh>
    <rPh sb="25" eb="26">
      <t>シャ</t>
    </rPh>
    <rPh sb="27" eb="29">
      <t>キキ</t>
    </rPh>
    <rPh sb="30" eb="31">
      <t>ワ</t>
    </rPh>
    <rPh sb="32" eb="33">
      <t>ア</t>
    </rPh>
    <rPh sb="46" eb="48">
      <t>チョウフク</t>
    </rPh>
    <rPh sb="50" eb="53">
      <t>カノウセイ</t>
    </rPh>
    <rPh sb="59" eb="61">
      <t>モンダイ</t>
    </rPh>
    <phoneticPr fontId="1"/>
  </si>
  <si>
    <t>7-3</t>
    <phoneticPr fontId="1"/>
  </si>
  <si>
    <t>ゲームプログラムID</t>
    <phoneticPr fontId="1"/>
  </si>
  <si>
    <t>7-4</t>
    <phoneticPr fontId="1"/>
  </si>
  <si>
    <t>ドメインフロンティア攻撃</t>
    <rPh sb="10" eb="12">
      <t>コウゲキ</t>
    </rPh>
    <phoneticPr fontId="1"/>
  </si>
  <si>
    <t>Z-FQDN, XPC、当該マルウェア</t>
    <rPh sb="12" eb="14">
      <t>トウガイ</t>
    </rPh>
    <phoneticPr fontId="1"/>
  </si>
  <si>
    <t>X-CDN-U-FQDNを名前解決したIPアドレスと同じIPアドレスを持つWebサイト</t>
    <rPh sb="13" eb="15">
      <t>ナマエ</t>
    </rPh>
    <rPh sb="15" eb="17">
      <t>カイケツ</t>
    </rPh>
    <rPh sb="26" eb="27">
      <t>オナ</t>
    </rPh>
    <rPh sb="35" eb="36">
      <t>モ</t>
    </rPh>
    <phoneticPr fontId="1"/>
  </si>
  <si>
    <t>8-1</t>
    <phoneticPr fontId="1"/>
  </si>
  <si>
    <t>マルウェアのFQDNで指定したC＆CサーバーのIPアドレスの変更</t>
    <rPh sb="11" eb="13">
      <t>シテイ</t>
    </rPh>
    <rPh sb="30" eb="32">
      <t>ヘンコウ</t>
    </rPh>
    <phoneticPr fontId="1"/>
  </si>
  <si>
    <t>C&amp;CサーバーのIPアドレス</t>
    <phoneticPr fontId="1"/>
  </si>
  <si>
    <t>8-3</t>
    <phoneticPr fontId="1"/>
  </si>
  <si>
    <t>8-2</t>
    <phoneticPr fontId="1"/>
  </si>
  <si>
    <t>保守用中継サーバー。FWのLANに接続するにはプライベート</t>
    <rPh sb="0" eb="3">
      <t>ホシュヨウ</t>
    </rPh>
    <rPh sb="3" eb="5">
      <t>チュウケイ</t>
    </rPh>
    <rPh sb="17" eb="19">
      <t>セツゾク</t>
    </rPh>
    <phoneticPr fontId="1"/>
  </si>
  <si>
    <t>f: 接続元のIPアドレスを固定にする</t>
    <rPh sb="3" eb="6">
      <t>セツゾクモト</t>
    </rPh>
    <rPh sb="14" eb="16">
      <t>コテイ</t>
    </rPh>
    <phoneticPr fontId="1"/>
  </si>
  <si>
    <t>8-4</t>
    <phoneticPr fontId="1"/>
  </si>
  <si>
    <t>別のIPアドレスを攻撃者が用いる場合</t>
    <rPh sb="0" eb="1">
      <t>ベツ</t>
    </rPh>
    <rPh sb="9" eb="12">
      <t>コウゲキシャ</t>
    </rPh>
    <rPh sb="13" eb="14">
      <t>モチ</t>
    </rPh>
    <rPh sb="16" eb="18">
      <t>バアイ</t>
    </rPh>
    <phoneticPr fontId="1"/>
  </si>
  <si>
    <t>9-1</t>
    <phoneticPr fontId="1"/>
  </si>
  <si>
    <t>VDとNPC、ボード</t>
    <phoneticPr fontId="1"/>
  </si>
  <si>
    <t>カメラで撮影する</t>
    <rPh sb="4" eb="6">
      <t>サツエイ</t>
    </rPh>
    <phoneticPr fontId="1"/>
  </si>
  <si>
    <t>9-2</t>
    <phoneticPr fontId="1"/>
  </si>
  <si>
    <t>社内情報を表示した画面のスクリーンショットを取る方法</t>
    <rPh sb="0" eb="2">
      <t>シャナイ</t>
    </rPh>
    <rPh sb="2" eb="4">
      <t>ジョウホウ</t>
    </rPh>
    <rPh sb="5" eb="7">
      <t>ヒョウジ</t>
    </rPh>
    <rPh sb="9" eb="11">
      <t>ガメン</t>
    </rPh>
    <rPh sb="22" eb="23">
      <t>ト</t>
    </rPh>
    <rPh sb="24" eb="26">
      <t>ホウホウ</t>
    </rPh>
    <phoneticPr fontId="1"/>
  </si>
  <si>
    <t>9-3</t>
    <phoneticPr fontId="1"/>
  </si>
  <si>
    <t>利用者がファイルを開いたときに画面をキャプチャし、攻撃者に送信する動作</t>
    <rPh sb="0" eb="3">
      <t>リヨウシャ</t>
    </rPh>
    <rPh sb="9" eb="10">
      <t>ヒラ</t>
    </rPh>
    <rPh sb="15" eb="17">
      <t>ガメン</t>
    </rPh>
    <rPh sb="25" eb="28">
      <t>コウゲキシャ</t>
    </rPh>
    <rPh sb="29" eb="31">
      <t>ソウシン</t>
    </rPh>
    <rPh sb="33" eb="35">
      <t>ドウサ</t>
    </rPh>
    <phoneticPr fontId="1"/>
  </si>
  <si>
    <t>Q6</t>
    <phoneticPr fontId="1"/>
  </si>
  <si>
    <t>社内で利用されている機器の構成情報</t>
    <rPh sb="0" eb="2">
      <t>シャナイ</t>
    </rPh>
    <rPh sb="3" eb="5">
      <t>リヨウ</t>
    </rPh>
    <rPh sb="10" eb="12">
      <t>キキ</t>
    </rPh>
    <rPh sb="13" eb="17">
      <t>コウセイジョウホウ</t>
    </rPh>
    <phoneticPr fontId="1"/>
  </si>
  <si>
    <t>10-1</t>
    <phoneticPr fontId="1"/>
  </si>
  <si>
    <t>パスワードを推測</t>
    <rPh sb="6" eb="8">
      <t>スイソク</t>
    </rPh>
    <phoneticPr fontId="1"/>
  </si>
  <si>
    <t>10-2</t>
    <phoneticPr fontId="1"/>
  </si>
  <si>
    <t>MACアドレスは平文の状態で送信されるため</t>
    <rPh sb="8" eb="10">
      <t>ヒラブン</t>
    </rPh>
    <rPh sb="11" eb="13">
      <t>ジョウタイ</t>
    </rPh>
    <rPh sb="14" eb="16">
      <t>ソウシン</t>
    </rPh>
    <phoneticPr fontId="1"/>
  </si>
  <si>
    <t>10-3</t>
    <phoneticPr fontId="1"/>
  </si>
  <si>
    <t>メールサーバーでメールは暗号化されていないから</t>
    <rPh sb="12" eb="15">
      <t>アンゴウカ</t>
    </rPh>
    <phoneticPr fontId="1"/>
  </si>
  <si>
    <t>11-1</t>
    <phoneticPr fontId="1"/>
  </si>
  <si>
    <t>d: V社配布サイトのURL</t>
    <rPh sb="4" eb="5">
      <t>シャ</t>
    </rPh>
    <rPh sb="5" eb="7">
      <t>ハイフ</t>
    </rPh>
    <phoneticPr fontId="1"/>
  </si>
  <si>
    <t>エ：すべて</t>
    <phoneticPr fontId="1"/>
  </si>
  <si>
    <t>11-2</t>
    <phoneticPr fontId="1"/>
  </si>
  <si>
    <t>プロキシ認証に失敗したから</t>
    <rPh sb="4" eb="6">
      <t>ニンショウ</t>
    </rPh>
    <rPh sb="7" eb="9">
      <t>シッパイ</t>
    </rPh>
    <phoneticPr fontId="1"/>
  </si>
  <si>
    <t>11-3</t>
    <phoneticPr fontId="1"/>
  </si>
  <si>
    <t>運用PCから接続できるURLは、T社標準ソフトのベンダのサイトのものだけに制限するように変更する</t>
    <rPh sb="0" eb="2">
      <t>ウンヨウ</t>
    </rPh>
    <rPh sb="6" eb="8">
      <t>セツゾク</t>
    </rPh>
    <rPh sb="17" eb="18">
      <t>シャ</t>
    </rPh>
    <rPh sb="18" eb="20">
      <t>ヒョウジュン</t>
    </rPh>
    <rPh sb="37" eb="39">
      <t>セイゲン</t>
    </rPh>
    <rPh sb="44" eb="46">
      <t>ヘンコウ</t>
    </rPh>
    <phoneticPr fontId="1"/>
  </si>
  <si>
    <t>12-1</t>
    <phoneticPr fontId="1"/>
  </si>
  <si>
    <t>i: 通信を遮断する機器が存在しないため</t>
    <rPh sb="3" eb="5">
      <t>ツウシン</t>
    </rPh>
    <rPh sb="6" eb="8">
      <t>シャダン</t>
    </rPh>
    <rPh sb="10" eb="12">
      <t>キキ</t>
    </rPh>
    <rPh sb="13" eb="15">
      <t>ソンザイ</t>
    </rPh>
    <phoneticPr fontId="1"/>
  </si>
  <si>
    <t>j: 低い</t>
    <rPh sb="3" eb="4">
      <t>ヒク</t>
    </rPh>
    <phoneticPr fontId="1"/>
  </si>
  <si>
    <t>h: 高い</t>
    <rPh sb="3" eb="4">
      <t>タカ</t>
    </rPh>
    <phoneticPr fontId="1"/>
  </si>
  <si>
    <t>k: FW2によって感染活動を遮断できるから</t>
    <rPh sb="10" eb="12">
      <t>カンセン</t>
    </rPh>
    <rPh sb="12" eb="14">
      <t>カツドウ</t>
    </rPh>
    <rPh sb="15" eb="17">
      <t>シャダン</t>
    </rPh>
    <phoneticPr fontId="1"/>
  </si>
  <si>
    <t>12-2</t>
    <phoneticPr fontId="1"/>
  </si>
  <si>
    <t>会員サーバーからインターネットへの通信が許可されていないため</t>
    <rPh sb="0" eb="2">
      <t>カイイン</t>
    </rPh>
    <rPh sb="17" eb="19">
      <t>ツウシン</t>
    </rPh>
    <rPh sb="20" eb="22">
      <t>キョカ</t>
    </rPh>
    <phoneticPr fontId="1"/>
  </si>
  <si>
    <t>12-3</t>
    <phoneticPr fontId="1"/>
  </si>
  <si>
    <t>N-IPSで遮断されていた通信が通過するため</t>
    <rPh sb="6" eb="8">
      <t>シャダン</t>
    </rPh>
    <rPh sb="13" eb="15">
      <t>ツウシン</t>
    </rPh>
    <rPh sb="16" eb="18">
      <t>ツウカ</t>
    </rPh>
    <phoneticPr fontId="1"/>
  </si>
  <si>
    <t>12-4</t>
    <phoneticPr fontId="1"/>
  </si>
  <si>
    <t>本社と支社</t>
    <rPh sb="0" eb="2">
      <t>ホンシャ</t>
    </rPh>
    <rPh sb="3" eb="5">
      <t>シシャ</t>
    </rPh>
    <phoneticPr fontId="1"/>
  </si>
  <si>
    <t>Bサービスのアクセス制限機能により通信が拒否されたから</t>
    <rPh sb="10" eb="12">
      <t>セイゲン</t>
    </rPh>
    <rPh sb="12" eb="14">
      <t>キノウ</t>
    </rPh>
    <rPh sb="17" eb="19">
      <t>ツウシン</t>
    </rPh>
    <rPh sb="20" eb="22">
      <t>キョヒ</t>
    </rPh>
    <phoneticPr fontId="1"/>
  </si>
  <si>
    <t>12-5</t>
    <phoneticPr fontId="1"/>
  </si>
  <si>
    <t>ファイル転送サーバーから研究開発PCへの通信はFW2で禁止されているため</t>
    <rPh sb="4" eb="6">
      <t>テンソウ</t>
    </rPh>
    <rPh sb="12" eb="16">
      <t>ケンキュウカイハツ</t>
    </rPh>
    <rPh sb="20" eb="22">
      <t>ツウシン</t>
    </rPh>
    <rPh sb="27" eb="29">
      <t>キンシ</t>
    </rPh>
    <phoneticPr fontId="1"/>
  </si>
  <si>
    <t>13-1</t>
    <phoneticPr fontId="1"/>
  </si>
  <si>
    <t>元IPアドレスを設計と製造に制限する</t>
    <rPh sb="0" eb="1">
      <t>モト</t>
    </rPh>
    <rPh sb="8" eb="10">
      <t>セッケイ</t>
    </rPh>
    <rPh sb="11" eb="13">
      <t>セイゾウ</t>
    </rPh>
    <rPh sb="14" eb="16">
      <t>セイゲン</t>
    </rPh>
    <phoneticPr fontId="1"/>
  </si>
  <si>
    <t>13-2</t>
    <phoneticPr fontId="1"/>
  </si>
  <si>
    <t>運用PCからの通信も拒否するように設定する</t>
    <rPh sb="0" eb="2">
      <t>ウンヨウ</t>
    </rPh>
    <rPh sb="7" eb="9">
      <t>ツウシン</t>
    </rPh>
    <rPh sb="10" eb="12">
      <t>キョヒ</t>
    </rPh>
    <rPh sb="17" eb="19">
      <t>セッテイ</t>
    </rPh>
    <phoneticPr fontId="1"/>
  </si>
  <si>
    <t>13-3</t>
    <phoneticPr fontId="1"/>
  </si>
  <si>
    <t>DRMサーバーへの通信を製作パートナーのグローバルIPアドレスに制限することが出来る</t>
    <rPh sb="9" eb="11">
      <t>ツウシン</t>
    </rPh>
    <rPh sb="12" eb="14">
      <t>セイサク</t>
    </rPh>
    <rPh sb="32" eb="34">
      <t>セイゲン</t>
    </rPh>
    <rPh sb="39" eb="41">
      <t>デキ</t>
    </rPh>
    <phoneticPr fontId="1"/>
  </si>
  <si>
    <t>13-4</t>
    <phoneticPr fontId="1"/>
  </si>
  <si>
    <t>13-5</t>
    <phoneticPr fontId="1"/>
  </si>
  <si>
    <t>本番DBサーバー</t>
    <rPh sb="0" eb="2">
      <t>ホンバン</t>
    </rPh>
    <phoneticPr fontId="1"/>
  </si>
  <si>
    <t>IPSのホワイトリストに診断PCのIPアドレスを登録し、侵入検知設定を無効にする</t>
    <rPh sb="12" eb="14">
      <t>シンダン</t>
    </rPh>
    <rPh sb="24" eb="26">
      <t>トウロク</t>
    </rPh>
    <rPh sb="28" eb="30">
      <t>シンニュウ</t>
    </rPh>
    <rPh sb="30" eb="32">
      <t>ケンチ</t>
    </rPh>
    <rPh sb="32" eb="34">
      <t>セッテイ</t>
    </rPh>
    <rPh sb="35" eb="37">
      <t>ムコウ</t>
    </rPh>
    <phoneticPr fontId="1"/>
  </si>
  <si>
    <t>Q8</t>
    <phoneticPr fontId="1"/>
  </si>
  <si>
    <t>フェールオープン</t>
    <phoneticPr fontId="1"/>
  </si>
  <si>
    <t>13-6</t>
    <phoneticPr fontId="1"/>
  </si>
  <si>
    <t>FW2において、インターネットから許可するインバウンド通信をN社とV社のもののみに制限する</t>
    <rPh sb="17" eb="19">
      <t>キョカ</t>
    </rPh>
    <rPh sb="27" eb="29">
      <t>ツウシン</t>
    </rPh>
    <rPh sb="31" eb="32">
      <t>シャ</t>
    </rPh>
    <rPh sb="34" eb="35">
      <t>シャ</t>
    </rPh>
    <rPh sb="41" eb="43">
      <t>セイゲン</t>
    </rPh>
    <phoneticPr fontId="1"/>
  </si>
  <si>
    <t>13-7</t>
    <phoneticPr fontId="1"/>
  </si>
  <si>
    <t>サイトU</t>
    <phoneticPr fontId="1"/>
  </si>
  <si>
    <t>13-8</t>
    <phoneticPr fontId="1"/>
  </si>
  <si>
    <t>c:本番DB</t>
    <rPh sb="2" eb="4">
      <t>ホンバン</t>
    </rPh>
    <phoneticPr fontId="1"/>
  </si>
  <si>
    <t>d:DB管理PC</t>
    <rPh sb="4" eb="6">
      <t>カンリ</t>
    </rPh>
    <phoneticPr fontId="1"/>
  </si>
  <si>
    <t>e:許可</t>
    <rPh sb="2" eb="4">
      <t>キョカ</t>
    </rPh>
    <phoneticPr fontId="1"/>
  </si>
  <si>
    <t>13-9</t>
    <phoneticPr fontId="1"/>
  </si>
  <si>
    <t>x1.y1.z1.16/29</t>
    <phoneticPr fontId="1"/>
  </si>
  <si>
    <t>14-1</t>
    <phoneticPr fontId="1"/>
  </si>
  <si>
    <t>セキュリティ対策についての第３者による監査報告書で確認するという方法</t>
    <rPh sb="6" eb="8">
      <t>タイサク</t>
    </rPh>
    <rPh sb="13" eb="14">
      <t>ダイ</t>
    </rPh>
    <rPh sb="15" eb="16">
      <t>シャ</t>
    </rPh>
    <rPh sb="19" eb="24">
      <t>カンサホウコクショ</t>
    </rPh>
    <rPh sb="25" eb="27">
      <t>カクニン</t>
    </rPh>
    <rPh sb="32" eb="34">
      <t>ホウホウ</t>
    </rPh>
    <phoneticPr fontId="1"/>
  </si>
  <si>
    <t>14-2</t>
    <phoneticPr fontId="1"/>
  </si>
  <si>
    <t>ISMS認証</t>
    <rPh sb="4" eb="6">
      <t>ニンショウ</t>
    </rPh>
    <phoneticPr fontId="1"/>
  </si>
  <si>
    <t>14-3</t>
    <phoneticPr fontId="1"/>
  </si>
  <si>
    <t>セキュリティに関するテスト、診断、検出された脆弱性の記録を提出してもらう</t>
    <rPh sb="7" eb="8">
      <t>カン</t>
    </rPh>
    <rPh sb="14" eb="16">
      <t>シンダン</t>
    </rPh>
    <rPh sb="17" eb="19">
      <t>ケンシュツ</t>
    </rPh>
    <rPh sb="22" eb="25">
      <t>ゼイジャクセイ</t>
    </rPh>
    <rPh sb="26" eb="28">
      <t>キロク</t>
    </rPh>
    <rPh sb="29" eb="31">
      <t>テイシュツ</t>
    </rPh>
    <phoneticPr fontId="1"/>
  </si>
  <si>
    <t>作業の妥当性を確認できる詳細なレビュー記録を委託先が提出していること</t>
    <rPh sb="0" eb="2">
      <t>サギョウ</t>
    </rPh>
    <rPh sb="3" eb="6">
      <t>ダトウセイ</t>
    </rPh>
    <rPh sb="7" eb="9">
      <t>カクニン</t>
    </rPh>
    <rPh sb="12" eb="14">
      <t>ショウサイ</t>
    </rPh>
    <rPh sb="19" eb="21">
      <t>キロク</t>
    </rPh>
    <rPh sb="22" eb="25">
      <t>イタクサキ</t>
    </rPh>
    <rPh sb="26" eb="28">
      <t>テイシュツ</t>
    </rPh>
    <phoneticPr fontId="1"/>
  </si>
  <si>
    <t>Q9</t>
    <phoneticPr fontId="1"/>
  </si>
  <si>
    <t>a: CAA</t>
    <phoneticPr fontId="1"/>
  </si>
  <si>
    <t>b: ca.g-sha.example.com</t>
    <phoneticPr fontId="1"/>
  </si>
  <si>
    <t>15-1</t>
    <phoneticPr fontId="1"/>
  </si>
  <si>
    <t>OSコマンドインジェクション</t>
    <phoneticPr fontId="1"/>
  </si>
  <si>
    <t>15-2</t>
    <phoneticPr fontId="1"/>
  </si>
  <si>
    <t>一つのMACアドレスが複数のエントリが存在するケース</t>
    <rPh sb="0" eb="1">
      <t>ヒト</t>
    </rPh>
    <rPh sb="11" eb="13">
      <t>フクスウ</t>
    </rPh>
    <rPh sb="19" eb="21">
      <t>ソンザイ</t>
    </rPh>
    <phoneticPr fontId="1"/>
  </si>
  <si>
    <t>15-3</t>
    <phoneticPr fontId="1"/>
  </si>
  <si>
    <t>辞書</t>
    <rPh sb="0" eb="2">
      <t>ジショ</t>
    </rPh>
    <phoneticPr fontId="1"/>
  </si>
  <si>
    <t>15-4</t>
    <phoneticPr fontId="1"/>
  </si>
  <si>
    <t>パストラバース</t>
    <phoneticPr fontId="1"/>
  </si>
  <si>
    <t>15-5</t>
    <phoneticPr fontId="1"/>
  </si>
  <si>
    <t>権威DNSサーバーからの応答よりも早く到達する。</t>
    <rPh sb="0" eb="2">
      <t>ケンイ</t>
    </rPh>
    <rPh sb="12" eb="14">
      <t>オウトウ</t>
    </rPh>
    <rPh sb="17" eb="18">
      <t>ハヤ</t>
    </rPh>
    <rPh sb="19" eb="21">
      <t>トウタツ</t>
    </rPh>
    <phoneticPr fontId="1"/>
  </si>
  <si>
    <t>15-6</t>
    <phoneticPr fontId="1"/>
  </si>
  <si>
    <t>総当たり攻撃はオフラインで行われ、ログイン失敗しないため</t>
    <rPh sb="0" eb="2">
      <t>ソウア</t>
    </rPh>
    <rPh sb="4" eb="6">
      <t>コウゲキ</t>
    </rPh>
    <rPh sb="13" eb="14">
      <t>オコナ</t>
    </rPh>
    <rPh sb="21" eb="23">
      <t>シッパイ</t>
    </rPh>
    <phoneticPr fontId="1"/>
  </si>
  <si>
    <t>15-7</t>
    <phoneticPr fontId="1"/>
  </si>
  <si>
    <t>漏洩している口座番号と暗証番号を悪用する手法</t>
    <rPh sb="0" eb="2">
      <t>ロウエイ</t>
    </rPh>
    <rPh sb="6" eb="10">
      <t>コウザバンゴウ</t>
    </rPh>
    <rPh sb="11" eb="15">
      <t>アンショウバンゴウ</t>
    </rPh>
    <rPh sb="16" eb="18">
      <t>アクヨウ</t>
    </rPh>
    <rPh sb="20" eb="22">
      <t>シュホウ</t>
    </rPh>
    <phoneticPr fontId="1"/>
  </si>
  <si>
    <t>15-8</t>
    <phoneticPr fontId="1"/>
  </si>
  <si>
    <t>マルウェアに感染したUSBメモリを介して管理PCに侵入し、さらに店舗管理サーバーへ侵入する</t>
    <rPh sb="6" eb="8">
      <t>カンセン</t>
    </rPh>
    <rPh sb="17" eb="18">
      <t>カイ</t>
    </rPh>
    <rPh sb="20" eb="22">
      <t>カンリ</t>
    </rPh>
    <rPh sb="25" eb="27">
      <t>シンニュウ</t>
    </rPh>
    <rPh sb="32" eb="36">
      <t>テンポカンリ</t>
    </rPh>
    <rPh sb="41" eb="43">
      <t>シンニュウ</t>
    </rPh>
    <phoneticPr fontId="1"/>
  </si>
  <si>
    <t>15-9</t>
    <phoneticPr fontId="1"/>
  </si>
  <si>
    <t>DNSリフレクション攻撃</t>
    <rPh sb="10" eb="12">
      <t>コウゲキ</t>
    </rPh>
    <phoneticPr fontId="1"/>
  </si>
  <si>
    <t>15-10</t>
    <phoneticPr fontId="1"/>
  </si>
  <si>
    <t>アップロード用URL</t>
    <rPh sb="6" eb="7">
      <t>ヨウ</t>
    </rPh>
    <phoneticPr fontId="1"/>
  </si>
  <si>
    <t>利用者ID</t>
    <rPh sb="0" eb="3">
      <t>リヨウシャ</t>
    </rPh>
    <phoneticPr fontId="1"/>
  </si>
  <si>
    <t>パスワード</t>
    <phoneticPr fontId="1"/>
  </si>
  <si>
    <t>15-11</t>
    <phoneticPr fontId="1"/>
  </si>
  <si>
    <t>外部で不正に正規の利用者IDとパスワードの組合せのリストを使ってログイン試行する</t>
    <rPh sb="0" eb="2">
      <t>ガイブ</t>
    </rPh>
    <rPh sb="3" eb="5">
      <t>フセイ</t>
    </rPh>
    <rPh sb="6" eb="8">
      <t>セイキ</t>
    </rPh>
    <rPh sb="9" eb="12">
      <t>リヨウシャ</t>
    </rPh>
    <rPh sb="21" eb="23">
      <t>クミアワ</t>
    </rPh>
    <rPh sb="29" eb="30">
      <t>ツカ</t>
    </rPh>
    <rPh sb="36" eb="38">
      <t>シコウ</t>
    </rPh>
    <phoneticPr fontId="1"/>
  </si>
  <si>
    <t>15-12</t>
    <phoneticPr fontId="1"/>
  </si>
  <si>
    <t>ログ出力処理する文字列に攻撃文字列を含んでいれば攻撃が可能となるため</t>
    <rPh sb="2" eb="4">
      <t>シュツリョク</t>
    </rPh>
    <rPh sb="4" eb="6">
      <t>ショリ</t>
    </rPh>
    <rPh sb="8" eb="11">
      <t>モジレツ</t>
    </rPh>
    <rPh sb="12" eb="14">
      <t>コウゲキ</t>
    </rPh>
    <rPh sb="14" eb="17">
      <t>モジレツ</t>
    </rPh>
    <rPh sb="18" eb="19">
      <t>フク</t>
    </rPh>
    <rPh sb="24" eb="26">
      <t>コウゲキ</t>
    </rPh>
    <rPh sb="27" eb="29">
      <t>カノウ</t>
    </rPh>
    <phoneticPr fontId="1"/>
  </si>
  <si>
    <t>15-13</t>
    <phoneticPr fontId="1"/>
  </si>
  <si>
    <t>b: DDoS</t>
    <phoneticPr fontId="1"/>
  </si>
  <si>
    <t>16-1</t>
    <phoneticPr fontId="1"/>
  </si>
  <si>
    <t>a: CVSS</t>
    <phoneticPr fontId="1"/>
  </si>
  <si>
    <t>16-2</t>
    <phoneticPr fontId="1"/>
  </si>
  <si>
    <t>a: PCの動作</t>
    <rPh sb="6" eb="8">
      <t>ドウサ</t>
    </rPh>
    <phoneticPr fontId="1"/>
  </si>
  <si>
    <t>16-3</t>
    <phoneticPr fontId="1"/>
  </si>
  <si>
    <t>GDPR</t>
    <phoneticPr fontId="1"/>
  </si>
  <si>
    <t>16-4</t>
    <phoneticPr fontId="1"/>
  </si>
  <si>
    <t>c: 写真</t>
    <rPh sb="3" eb="5">
      <t>シャシン</t>
    </rPh>
    <phoneticPr fontId="1"/>
  </si>
  <si>
    <t>16-5</t>
    <phoneticPr fontId="1"/>
  </si>
  <si>
    <t>g: ランダムな数字を神に記載し、神と一緒に撮影する</t>
    <rPh sb="8" eb="10">
      <t>スウジ</t>
    </rPh>
    <rPh sb="11" eb="12">
      <t>カミ</t>
    </rPh>
    <rPh sb="13" eb="15">
      <t>キサイ</t>
    </rPh>
    <rPh sb="17" eb="18">
      <t>カミ</t>
    </rPh>
    <rPh sb="19" eb="21">
      <t>イッショ</t>
    </rPh>
    <rPh sb="22" eb="24">
      <t>サツエイ</t>
    </rPh>
    <phoneticPr fontId="1"/>
  </si>
  <si>
    <t>16-6</t>
    <phoneticPr fontId="1"/>
  </si>
  <si>
    <t>合意を得ないで利用してはいけない</t>
    <rPh sb="0" eb="2">
      <t>ゴウイ</t>
    </rPh>
    <rPh sb="3" eb="4">
      <t>エ</t>
    </rPh>
    <rPh sb="7" eb="9">
      <t>リヨウ</t>
    </rPh>
    <phoneticPr fontId="1"/>
  </si>
  <si>
    <t>17-1</t>
    <phoneticPr fontId="1"/>
  </si>
  <si>
    <t>f: NTP</t>
    <phoneticPr fontId="1"/>
  </si>
  <si>
    <t>17-2</t>
    <phoneticPr fontId="1"/>
  </si>
  <si>
    <t>NTPによる同期</t>
    <rPh sb="6" eb="8">
      <t>ドウキ</t>
    </rPh>
    <phoneticPr fontId="1"/>
  </si>
  <si>
    <t>17-3</t>
    <phoneticPr fontId="1"/>
  </si>
  <si>
    <t>i: タイムゾーン</t>
    <phoneticPr fontId="1"/>
  </si>
  <si>
    <t>j: 統一</t>
    <rPh sb="3" eb="5">
      <t>トウイツ</t>
    </rPh>
    <phoneticPr fontId="1"/>
  </si>
  <si>
    <t>17-4</t>
    <phoneticPr fontId="1"/>
  </si>
  <si>
    <t>a: タイムゾーン</t>
    <phoneticPr fontId="1"/>
  </si>
  <si>
    <t>b: 9</t>
    <phoneticPr fontId="1"/>
  </si>
  <si>
    <t>17-5</t>
    <phoneticPr fontId="1"/>
  </si>
  <si>
    <t>他のサイトで設定したパスワードとは別のものにする</t>
    <rPh sb="0" eb="1">
      <t>ホカ</t>
    </rPh>
    <rPh sb="6" eb="8">
      <t>セッテイ</t>
    </rPh>
    <rPh sb="17" eb="18">
      <t>ベツ</t>
    </rPh>
    <phoneticPr fontId="1"/>
  </si>
  <si>
    <t>17-6</t>
    <phoneticPr fontId="1"/>
  </si>
  <si>
    <t>ランダムな文字列とする</t>
    <rPh sb="5" eb="8">
      <t>モジレツ</t>
    </rPh>
    <phoneticPr fontId="1"/>
  </si>
  <si>
    <t>17-8</t>
    <phoneticPr fontId="1"/>
  </si>
  <si>
    <t>17-7</t>
    <phoneticPr fontId="1"/>
  </si>
  <si>
    <t>ランダム化</t>
    <rPh sb="4" eb="5">
      <t>カ</t>
    </rPh>
    <phoneticPr fontId="1"/>
  </si>
  <si>
    <t>オープンリレー</t>
    <phoneticPr fontId="1"/>
  </si>
  <si>
    <t>17-9</t>
    <phoneticPr fontId="1"/>
  </si>
  <si>
    <t>no-chache</t>
    <phoneticPr fontId="1"/>
  </si>
  <si>
    <t>noindex</t>
    <phoneticPr fontId="1"/>
  </si>
  <si>
    <t>17-10</t>
    <phoneticPr fontId="1"/>
  </si>
  <si>
    <t>Internetドメインの名前について解決</t>
    <rPh sb="13" eb="15">
      <t>ナマエ</t>
    </rPh>
    <rPh sb="19" eb="21">
      <t>カイケツ</t>
    </rPh>
    <phoneticPr fontId="1"/>
  </si>
  <si>
    <t>17-11</t>
    <phoneticPr fontId="1"/>
  </si>
  <si>
    <t>a: x1.y1.z1.18</t>
    <phoneticPr fontId="1"/>
  </si>
  <si>
    <t>17-12</t>
    <phoneticPr fontId="1"/>
  </si>
  <si>
    <t>多要素認証</t>
    <rPh sb="0" eb="5">
      <t>タヨウソニンショウ</t>
    </rPh>
    <phoneticPr fontId="1"/>
  </si>
  <si>
    <t>17-13</t>
    <phoneticPr fontId="1"/>
  </si>
  <si>
    <t>ハッシュ化を繰り返す処理</t>
    <rPh sb="4" eb="5">
      <t>カ</t>
    </rPh>
    <rPh sb="6" eb="7">
      <t>ク</t>
    </rPh>
    <rPh sb="8" eb="9">
      <t>カエ</t>
    </rPh>
    <rPh sb="10" eb="12">
      <t>ショリ</t>
    </rPh>
    <phoneticPr fontId="1"/>
  </si>
  <si>
    <t>17-14</t>
    <phoneticPr fontId="1"/>
  </si>
  <si>
    <t>PINコードで利用者認証する機能</t>
    <rPh sb="7" eb="10">
      <t>リヨウシャ</t>
    </rPh>
    <rPh sb="10" eb="12">
      <t>ニンショウ</t>
    </rPh>
    <rPh sb="14" eb="16">
      <t>キノウ</t>
    </rPh>
    <phoneticPr fontId="1"/>
  </si>
  <si>
    <t>sec-2</t>
    <phoneticPr fontId="1"/>
  </si>
  <si>
    <t>18-1</t>
    <phoneticPr fontId="1"/>
  </si>
  <si>
    <t>連携端末をネットワークから切り離した状態</t>
    <rPh sb="0" eb="2">
      <t>レンケイ</t>
    </rPh>
    <rPh sb="2" eb="4">
      <t>タンマツ</t>
    </rPh>
    <rPh sb="13" eb="14">
      <t>キ</t>
    </rPh>
    <rPh sb="15" eb="16">
      <t>ハナ</t>
    </rPh>
    <rPh sb="18" eb="20">
      <t>ジョウタイ</t>
    </rPh>
    <phoneticPr fontId="1"/>
  </si>
  <si>
    <t>18-2</t>
    <phoneticPr fontId="1"/>
  </si>
  <si>
    <t>圧縮ファイルを展開すると、展開したファイルに対してリアルタイムスキャンが実行されるため</t>
    <rPh sb="0" eb="2">
      <t>アッシュク</t>
    </rPh>
    <rPh sb="7" eb="9">
      <t>テンカイ</t>
    </rPh>
    <rPh sb="13" eb="15">
      <t>テンカイ</t>
    </rPh>
    <rPh sb="22" eb="23">
      <t>タイ</t>
    </rPh>
    <rPh sb="36" eb="38">
      <t>ジッコウ</t>
    </rPh>
    <phoneticPr fontId="1"/>
  </si>
  <si>
    <t>18-3</t>
    <phoneticPr fontId="1"/>
  </si>
  <si>
    <t>研究開発PCからファイル転送サーバーにアクセスして、ファイルをダウンロードする必要があるため</t>
    <rPh sb="0" eb="4">
      <t>ケンキュウカイハツ</t>
    </rPh>
    <rPh sb="12" eb="14">
      <t>テンソウ</t>
    </rPh>
    <rPh sb="39" eb="41">
      <t>ヒツヨウ</t>
    </rPh>
    <phoneticPr fontId="1"/>
  </si>
  <si>
    <t>18-4</t>
    <phoneticPr fontId="1"/>
  </si>
  <si>
    <t>認証サーバーがオリジンbとオリジンsの一致を確認しているから</t>
    <rPh sb="0" eb="2">
      <t>ニンショウ</t>
    </rPh>
    <rPh sb="19" eb="21">
      <t>イッチ</t>
    </rPh>
    <rPh sb="22" eb="24">
      <t>カクニン</t>
    </rPh>
    <phoneticPr fontId="1"/>
  </si>
  <si>
    <t>18-5</t>
    <phoneticPr fontId="1"/>
  </si>
  <si>
    <t>サーバー証明書を検証し、通信相手がWサーバーであることを確認する実装</t>
    <rPh sb="4" eb="7">
      <t>ショウメイショ</t>
    </rPh>
    <rPh sb="8" eb="10">
      <t>ケンショウ</t>
    </rPh>
    <rPh sb="12" eb="14">
      <t>ツウシン</t>
    </rPh>
    <rPh sb="14" eb="16">
      <t>アイテ</t>
    </rPh>
    <rPh sb="28" eb="30">
      <t>カクニン</t>
    </rPh>
    <rPh sb="32" eb="34">
      <t>ジッソウ</t>
    </rPh>
    <phoneticPr fontId="1"/>
  </si>
  <si>
    <t>18-6</t>
    <phoneticPr fontId="1"/>
  </si>
  <si>
    <t>マルウェアXに暗号資産の採掘プログラムを外部に送信する以外の機能はなく、マルウェアX以外による遠隔コマンド実行およびSSHサービスへの接続がなかったため</t>
    <rPh sb="7" eb="11">
      <t>アンゴウシサン</t>
    </rPh>
    <rPh sb="12" eb="14">
      <t>サイクツ</t>
    </rPh>
    <rPh sb="20" eb="22">
      <t>ガイブ</t>
    </rPh>
    <rPh sb="23" eb="25">
      <t>ソウシン</t>
    </rPh>
    <rPh sb="27" eb="29">
      <t>イガイ</t>
    </rPh>
    <rPh sb="30" eb="32">
      <t>キノウ</t>
    </rPh>
    <rPh sb="42" eb="44">
      <t>イガイ</t>
    </rPh>
    <rPh sb="47" eb="49">
      <t>エンカク</t>
    </rPh>
    <rPh sb="53" eb="55">
      <t>ジッコウ</t>
    </rPh>
    <rPh sb="67" eb="69">
      <t>セツゾク</t>
    </rPh>
    <phoneticPr fontId="1"/>
  </si>
  <si>
    <t>Q1</t>
    <phoneticPr fontId="1"/>
  </si>
  <si>
    <t>a:PDP</t>
    <phoneticPr fontId="1"/>
  </si>
  <si>
    <t>b:PEP</t>
    <phoneticPr fontId="1"/>
  </si>
  <si>
    <t>18-7</t>
    <phoneticPr fontId="1"/>
  </si>
  <si>
    <t>Dシステムには、ファイル受け渡し用PCからのみのアクセスに制限するという要求仕様がある。</t>
    <rPh sb="12" eb="13">
      <t>ウ</t>
    </rPh>
    <rPh sb="14" eb="15">
      <t>ワタ</t>
    </rPh>
    <rPh sb="16" eb="17">
      <t>ヨウ</t>
    </rPh>
    <rPh sb="29" eb="31">
      <t>セイゲン</t>
    </rPh>
    <rPh sb="36" eb="38">
      <t>ヨウキュウ</t>
    </rPh>
    <rPh sb="38" eb="40">
      <t>シヨウ</t>
    </rPh>
    <phoneticPr fontId="1"/>
  </si>
  <si>
    <t>Q2</t>
    <phoneticPr fontId="1"/>
  </si>
  <si>
    <t>a:認証</t>
    <rPh sb="2" eb="4">
      <t>ニンショウ</t>
    </rPh>
    <phoneticPr fontId="1"/>
  </si>
  <si>
    <t>b:認可</t>
    <rPh sb="2" eb="4">
      <t>ニンカ</t>
    </rPh>
    <phoneticPr fontId="1"/>
  </si>
  <si>
    <t>19-1</t>
    <phoneticPr fontId="1"/>
  </si>
  <si>
    <t>a:最新のマルウェア手ぎファイルを保存したDVD-Rの使用</t>
    <rPh sb="2" eb="4">
      <t>サイシン</t>
    </rPh>
    <rPh sb="10" eb="11">
      <t>テ</t>
    </rPh>
    <rPh sb="17" eb="19">
      <t>ホゾン</t>
    </rPh>
    <rPh sb="27" eb="29">
      <t>シヨウ</t>
    </rPh>
    <phoneticPr fontId="1"/>
  </si>
  <si>
    <t>b:マルウェア定義ファイルの更新</t>
    <rPh sb="7" eb="9">
      <t>テイギ</t>
    </rPh>
    <rPh sb="14" eb="16">
      <t>コウシン</t>
    </rPh>
    <phoneticPr fontId="1"/>
  </si>
  <si>
    <t>c:マルウェア対策ソフトの画面の操作</t>
    <rPh sb="7" eb="9">
      <t>タイサク</t>
    </rPh>
    <rPh sb="13" eb="15">
      <t>ガメン</t>
    </rPh>
    <rPh sb="16" eb="18">
      <t>ソウサ</t>
    </rPh>
    <phoneticPr fontId="1"/>
  </si>
  <si>
    <t>19-2</t>
    <phoneticPr fontId="1"/>
  </si>
  <si>
    <t>n:社外向け窓口を用意する</t>
    <rPh sb="2" eb="5">
      <t>シャガイム</t>
    </rPh>
    <rPh sb="6" eb="8">
      <t>マドグチ</t>
    </rPh>
    <rPh sb="9" eb="11">
      <t>ヨウイ</t>
    </rPh>
    <phoneticPr fontId="1"/>
  </si>
  <si>
    <t>19-3</t>
    <phoneticPr fontId="1"/>
  </si>
  <si>
    <t>ダウンロードするライブラリに既知の脆弱性がないかを確認する</t>
    <rPh sb="14" eb="16">
      <t>キチ</t>
    </rPh>
    <rPh sb="17" eb="20">
      <t>ゼイジャクセイ</t>
    </rPh>
    <rPh sb="25" eb="27">
      <t>カクニン</t>
    </rPh>
    <phoneticPr fontId="1"/>
  </si>
  <si>
    <t>19-4</t>
    <phoneticPr fontId="1"/>
  </si>
  <si>
    <t>デバッグログに認証情報を出力しない</t>
    <rPh sb="7" eb="9">
      <t>ニンショウ</t>
    </rPh>
    <rPh sb="9" eb="11">
      <t>ジョウホウ</t>
    </rPh>
    <rPh sb="12" eb="14">
      <t>シュツリョク</t>
    </rPh>
    <phoneticPr fontId="1"/>
  </si>
  <si>
    <t>19-5</t>
    <phoneticPr fontId="1"/>
  </si>
  <si>
    <t>再判定を行う</t>
    <rPh sb="0" eb="3">
      <t>サイハンテイ</t>
    </rPh>
    <rPh sb="4" eb="5">
      <t>オコナ</t>
    </rPh>
    <phoneticPr fontId="1"/>
  </si>
  <si>
    <t>19-6</t>
    <phoneticPr fontId="1"/>
  </si>
  <si>
    <t>h:利用者確認</t>
    <rPh sb="2" eb="5">
      <t>リヨウシャ</t>
    </rPh>
    <rPh sb="5" eb="7">
      <t>カクニン</t>
    </rPh>
    <phoneticPr fontId="1"/>
  </si>
  <si>
    <t>k:アカウントを無効</t>
    <rPh sb="8" eb="10">
      <t>ムコウ</t>
    </rPh>
    <phoneticPr fontId="1"/>
  </si>
  <si>
    <t>Q3</t>
    <phoneticPr fontId="1"/>
  </si>
  <si>
    <t>安全とは呼べないアプリケーションの通信がローカルブレークアウトの対象とされるリスク</t>
    <rPh sb="0" eb="2">
      <t>アンゼン</t>
    </rPh>
    <rPh sb="4" eb="5">
      <t>ヨ</t>
    </rPh>
    <rPh sb="17" eb="19">
      <t>ツウシン</t>
    </rPh>
    <rPh sb="32" eb="34">
      <t>タイショウ</t>
    </rPh>
    <phoneticPr fontId="1"/>
  </si>
  <si>
    <t>19-7</t>
    <phoneticPr fontId="1"/>
  </si>
  <si>
    <t>2-b</t>
    <phoneticPr fontId="1"/>
  </si>
  <si>
    <t>エラーメッセージで登録されていることを表示しない</t>
    <rPh sb="9" eb="11">
      <t>トウロク</t>
    </rPh>
    <rPh sb="19" eb="21">
      <t>ヒョウジ</t>
    </rPh>
    <phoneticPr fontId="1"/>
  </si>
  <si>
    <t>Q4</t>
    <phoneticPr fontId="1"/>
  </si>
  <si>
    <t>情報セキュリティ管理を本社一括で行うことが出来て、作業品質のばらつきを抑えられる</t>
    <rPh sb="0" eb="2">
      <t>ジョウホウ</t>
    </rPh>
    <rPh sb="8" eb="10">
      <t>カンリ</t>
    </rPh>
    <rPh sb="11" eb="13">
      <t>ホンシャ</t>
    </rPh>
    <rPh sb="13" eb="15">
      <t>イッカツ</t>
    </rPh>
    <rPh sb="16" eb="17">
      <t>オコナ</t>
    </rPh>
    <rPh sb="21" eb="23">
      <t>デキ</t>
    </rPh>
    <rPh sb="25" eb="27">
      <t>サギョウ</t>
    </rPh>
    <rPh sb="27" eb="29">
      <t>ヒンシツ</t>
    </rPh>
    <rPh sb="35" eb="36">
      <t>オサ</t>
    </rPh>
    <phoneticPr fontId="1"/>
  </si>
  <si>
    <t>19-8</t>
    <phoneticPr fontId="1"/>
  </si>
  <si>
    <t>複数の脆弱性を同時に利用される可能性の観点</t>
    <rPh sb="0" eb="2">
      <t>フクスウ</t>
    </rPh>
    <rPh sb="3" eb="6">
      <t>ゼイジャクセイ</t>
    </rPh>
    <rPh sb="7" eb="9">
      <t>ドウジ</t>
    </rPh>
    <rPh sb="10" eb="12">
      <t>リヨウ</t>
    </rPh>
    <rPh sb="15" eb="18">
      <t>カノウセイ</t>
    </rPh>
    <rPh sb="19" eb="21">
      <t>カンテン</t>
    </rPh>
    <phoneticPr fontId="1"/>
  </si>
  <si>
    <t>不正なURLへの誘導を防ぐ効果</t>
    <rPh sb="0" eb="2">
      <t>フセイ</t>
    </rPh>
    <rPh sb="8" eb="10">
      <t>ユウドウ</t>
    </rPh>
    <rPh sb="11" eb="12">
      <t>フセ</t>
    </rPh>
    <rPh sb="13" eb="15">
      <t>コウカ</t>
    </rPh>
    <phoneticPr fontId="1"/>
  </si>
  <si>
    <t>19-9</t>
    <phoneticPr fontId="1"/>
  </si>
  <si>
    <t>管理者がPソフトを一般利用者権限では変更できないように設定する</t>
    <rPh sb="0" eb="3">
      <t>カンリシャ</t>
    </rPh>
    <rPh sb="9" eb="14">
      <t>イッパンリヨウシャ</t>
    </rPh>
    <rPh sb="14" eb="16">
      <t>ケンゲン</t>
    </rPh>
    <rPh sb="18" eb="20">
      <t>ヘンコウ</t>
    </rPh>
    <rPh sb="27" eb="29">
      <t>セッテイ</t>
    </rPh>
    <phoneticPr fontId="1"/>
  </si>
  <si>
    <t>20-1</t>
    <phoneticPr fontId="1"/>
  </si>
  <si>
    <t>クレジットポイントを不正に利用される</t>
    <rPh sb="10" eb="12">
      <t>フセイ</t>
    </rPh>
    <rPh sb="13" eb="15">
      <t>リヨウ</t>
    </rPh>
    <phoneticPr fontId="1"/>
  </si>
  <si>
    <t>サイトQにおいて利用者の権限で不正に商品を購入される</t>
    <rPh sb="8" eb="11">
      <t>リヨウシャ</t>
    </rPh>
    <rPh sb="12" eb="14">
      <t>ケンゲン</t>
    </rPh>
    <rPh sb="15" eb="17">
      <t>フセイ</t>
    </rPh>
    <rPh sb="18" eb="20">
      <t>ショウヒン</t>
    </rPh>
    <rPh sb="21" eb="23">
      <t>コウニュウ</t>
    </rPh>
    <phoneticPr fontId="1"/>
  </si>
  <si>
    <t>20-2</t>
    <phoneticPr fontId="1"/>
  </si>
  <si>
    <t>HTTPで通信接続が開始したため</t>
    <rPh sb="5" eb="7">
      <t>ツウシン</t>
    </rPh>
    <rPh sb="7" eb="9">
      <t>セツゾク</t>
    </rPh>
    <rPh sb="10" eb="12">
      <t>カイシ</t>
    </rPh>
    <phoneticPr fontId="1"/>
  </si>
  <si>
    <t>20-3</t>
    <phoneticPr fontId="1"/>
  </si>
  <si>
    <t>メール差０ビスPへの不正アクセスを防ぐ</t>
    <rPh sb="3" eb="4">
      <t>サ</t>
    </rPh>
    <rPh sb="10" eb="12">
      <t>フセイ</t>
    </rPh>
    <rPh sb="17" eb="18">
      <t>フセ</t>
    </rPh>
    <phoneticPr fontId="1"/>
  </si>
  <si>
    <t>ブラウザとメールサービスPの間の通信を中継し、OTPも中継する場合</t>
    <rPh sb="14" eb="15">
      <t>アイダ</t>
    </rPh>
    <rPh sb="16" eb="18">
      <t>ツウシン</t>
    </rPh>
    <rPh sb="19" eb="21">
      <t>チュウケイ</t>
    </rPh>
    <rPh sb="27" eb="29">
      <t>チュウケイ</t>
    </rPh>
    <rPh sb="31" eb="33">
      <t>バアイ</t>
    </rPh>
    <phoneticPr fontId="1"/>
  </si>
  <si>
    <t>20-4</t>
    <phoneticPr fontId="1"/>
  </si>
  <si>
    <t>感染したがネットワークより切断された場合</t>
    <rPh sb="0" eb="2">
      <t>カンセン</t>
    </rPh>
    <rPh sb="13" eb="15">
      <t>セツダン</t>
    </rPh>
    <rPh sb="18" eb="20">
      <t>バアイ</t>
    </rPh>
    <phoneticPr fontId="1"/>
  </si>
  <si>
    <t>20-5</t>
    <phoneticPr fontId="1"/>
  </si>
  <si>
    <t>Tサービス上に会員登録していないS会員</t>
    <rPh sb="5" eb="6">
      <t>ウエ</t>
    </rPh>
    <rPh sb="7" eb="9">
      <t>カイイン</t>
    </rPh>
    <rPh sb="9" eb="11">
      <t>トウロク</t>
    </rPh>
    <rPh sb="17" eb="19">
      <t>カイイン</t>
    </rPh>
    <phoneticPr fontId="1"/>
  </si>
  <si>
    <t>20-6</t>
    <phoneticPr fontId="1"/>
  </si>
  <si>
    <t>20-7</t>
    <phoneticPr fontId="1"/>
  </si>
  <si>
    <t>同一IPアドレスへのスキャン回数は少ないため</t>
    <rPh sb="0" eb="2">
      <t>ドウイツ</t>
    </rPh>
    <rPh sb="14" eb="16">
      <t>カイスウ</t>
    </rPh>
    <rPh sb="17" eb="18">
      <t>スク</t>
    </rPh>
    <phoneticPr fontId="1"/>
  </si>
  <si>
    <t>20-8</t>
    <phoneticPr fontId="1"/>
  </si>
  <si>
    <t>メールアドレスが登録されてる場合とそうでない場合で表示が異なる挙動</t>
    <rPh sb="8" eb="10">
      <t>トウロク</t>
    </rPh>
    <rPh sb="14" eb="16">
      <t>バアイ</t>
    </rPh>
    <rPh sb="22" eb="24">
      <t>バアイ</t>
    </rPh>
    <rPh sb="25" eb="27">
      <t>ヒョウジ</t>
    </rPh>
    <rPh sb="28" eb="29">
      <t>コト</t>
    </rPh>
    <rPh sb="31" eb="33">
      <t>キョドウ</t>
    </rPh>
    <phoneticPr fontId="1"/>
  </si>
  <si>
    <t>20-9</t>
    <phoneticPr fontId="1"/>
  </si>
  <si>
    <t>本人によるアクセス化の識別ができないため</t>
    <rPh sb="0" eb="2">
      <t>ホンニン</t>
    </rPh>
    <rPh sb="9" eb="10">
      <t>カ</t>
    </rPh>
    <rPh sb="11" eb="13">
      <t>シキベツ</t>
    </rPh>
    <phoneticPr fontId="1"/>
  </si>
  <si>
    <t>なりすましによるアクセスの場合、操作した人物とログに記録された利用者IDの利用者とは異なるため</t>
    <rPh sb="13" eb="15">
      <t>バアイ</t>
    </rPh>
    <rPh sb="16" eb="18">
      <t>ソウサ</t>
    </rPh>
    <rPh sb="20" eb="22">
      <t>ジンブツ</t>
    </rPh>
    <rPh sb="26" eb="28">
      <t>キロク</t>
    </rPh>
    <rPh sb="31" eb="34">
      <t>リヨウシャ</t>
    </rPh>
    <rPh sb="37" eb="40">
      <t>リヨウシャ</t>
    </rPh>
    <rPh sb="42" eb="43">
      <t>コト</t>
    </rPh>
    <phoneticPr fontId="1"/>
  </si>
  <si>
    <t>20-10</t>
    <phoneticPr fontId="1"/>
  </si>
  <si>
    <t>j:システムに登録されていないメールアドレスにパスワードを送ることができる</t>
    <rPh sb="7" eb="9">
      <t>トウロク</t>
    </rPh>
    <rPh sb="29" eb="30">
      <t>オク</t>
    </rPh>
    <phoneticPr fontId="1"/>
  </si>
  <si>
    <t>20-11</t>
    <phoneticPr fontId="1"/>
  </si>
  <si>
    <t>STは認証サーバーに送付されないため</t>
    <rPh sb="3" eb="5">
      <t>ニンショウ</t>
    </rPh>
    <rPh sb="10" eb="12">
      <t>ソウフ</t>
    </rPh>
    <phoneticPr fontId="1"/>
  </si>
  <si>
    <t>20-12</t>
    <phoneticPr fontId="1"/>
  </si>
  <si>
    <t>アクセスがあった時間、当該の利用者は社内LANからのアクセスができない状態にあったため</t>
    <rPh sb="8" eb="10">
      <t>ジカン</t>
    </rPh>
    <rPh sb="11" eb="13">
      <t>トウガイ</t>
    </rPh>
    <rPh sb="14" eb="17">
      <t>リヨウシャ</t>
    </rPh>
    <rPh sb="18" eb="20">
      <t>シャナイ</t>
    </rPh>
    <rPh sb="35" eb="37">
      <t>ジョウタイ</t>
    </rPh>
    <phoneticPr fontId="1"/>
  </si>
  <si>
    <t>20-13</t>
    <phoneticPr fontId="1"/>
  </si>
  <si>
    <t>MWは仮想マシンを検知</t>
    <rPh sb="3" eb="5">
      <t>カソウ</t>
    </rPh>
    <rPh sb="9" eb="11">
      <t>ケンチ</t>
    </rPh>
    <phoneticPr fontId="1"/>
  </si>
  <si>
    <t>仮想マシンではない実機マシン環境</t>
    <rPh sb="0" eb="2">
      <t>カソウ</t>
    </rPh>
    <rPh sb="9" eb="11">
      <t>ジッキ</t>
    </rPh>
    <rPh sb="14" eb="16">
      <t>カンキョウ</t>
    </rPh>
    <phoneticPr fontId="1"/>
  </si>
  <si>
    <t>20-14</t>
    <phoneticPr fontId="1"/>
  </si>
  <si>
    <t>HHTTPはDNSプロトコルを利用</t>
    <rPh sb="15" eb="17">
      <t>リヨウ</t>
    </rPh>
    <phoneticPr fontId="1"/>
  </si>
  <si>
    <t>グローバルIPアドレスMへのHTTP通信成功のログ</t>
    <rPh sb="18" eb="20">
      <t>ツウシン</t>
    </rPh>
    <rPh sb="20" eb="22">
      <t>セイコウ</t>
    </rPh>
    <phoneticPr fontId="1"/>
  </si>
  <si>
    <t>パブリックDNSサービスLへのDNS通信成功のログ</t>
    <rPh sb="18" eb="20">
      <t>ツウシン</t>
    </rPh>
    <rPh sb="20" eb="22">
      <t>セイコウ</t>
    </rPh>
    <phoneticPr fontId="1"/>
  </si>
  <si>
    <t>Q7</t>
    <phoneticPr fontId="1"/>
  </si>
  <si>
    <t>NTPによる時刻同期を行う</t>
    <rPh sb="6" eb="8">
      <t>ジコク</t>
    </rPh>
    <rPh sb="8" eb="10">
      <t>ドウキ</t>
    </rPh>
    <rPh sb="11" eb="12">
      <t>オコナ</t>
    </rPh>
    <phoneticPr fontId="1"/>
  </si>
  <si>
    <t>情報システム全体でID体系を統一する</t>
    <rPh sb="0" eb="2">
      <t>ジョウホウ</t>
    </rPh>
    <rPh sb="6" eb="8">
      <t>ゼンタイ</t>
    </rPh>
    <rPh sb="11" eb="13">
      <t>タイケイ</t>
    </rPh>
    <rPh sb="14" eb="16">
      <t>トウイツ</t>
    </rPh>
    <phoneticPr fontId="1"/>
  </si>
  <si>
    <t>20-15</t>
    <phoneticPr fontId="1"/>
  </si>
  <si>
    <t>h;ファイル圧縮</t>
    <rPh sb="6" eb="8">
      <t>アッシュク</t>
    </rPh>
    <phoneticPr fontId="1"/>
  </si>
  <si>
    <t>l:ファイル名</t>
    <rPh sb="6" eb="7">
      <t>メイ</t>
    </rPh>
    <phoneticPr fontId="1"/>
  </si>
  <si>
    <t>m:ファイルサイズ</t>
    <phoneticPr fontId="1"/>
  </si>
  <si>
    <t>21-1</t>
    <phoneticPr fontId="1"/>
  </si>
  <si>
    <t>ゼロデイ攻撃</t>
    <rPh sb="4" eb="6">
      <t>コウゲキ</t>
    </rPh>
    <phoneticPr fontId="1"/>
  </si>
  <si>
    <t>21-2</t>
    <phoneticPr fontId="1"/>
  </si>
  <si>
    <t>IPアドレスからわかる地理的位置について、過去ログインのものとの違いを確認する</t>
    <rPh sb="11" eb="14">
      <t>チリテキ</t>
    </rPh>
    <rPh sb="14" eb="16">
      <t>イチ</t>
    </rPh>
    <rPh sb="21" eb="23">
      <t>カコ</t>
    </rPh>
    <rPh sb="32" eb="33">
      <t>チガ</t>
    </rPh>
    <rPh sb="35" eb="37">
      <t>カクニン</t>
    </rPh>
    <phoneticPr fontId="1"/>
  </si>
  <si>
    <t>21-3</t>
    <phoneticPr fontId="1"/>
  </si>
  <si>
    <t>登録した実行ファイルがバージョンアップされた場合</t>
    <rPh sb="0" eb="2">
      <t>トウロク</t>
    </rPh>
    <rPh sb="4" eb="6">
      <t>ジッコウ</t>
    </rPh>
    <rPh sb="22" eb="24">
      <t>バアイ</t>
    </rPh>
    <phoneticPr fontId="1"/>
  </si>
  <si>
    <t>21-4</t>
    <phoneticPr fontId="1"/>
  </si>
  <si>
    <t>マクロとして実行されるファイル</t>
    <rPh sb="6" eb="8">
      <t>ジッコウ</t>
    </rPh>
    <phoneticPr fontId="1"/>
  </si>
  <si>
    <t>21-5</t>
    <phoneticPr fontId="1"/>
  </si>
  <si>
    <t>ネットワークトラフィック量と比較して異常を検知する</t>
    <rPh sb="12" eb="13">
      <t>リョウ</t>
    </rPh>
    <rPh sb="14" eb="16">
      <t>ヒカク</t>
    </rPh>
    <rPh sb="18" eb="20">
      <t>イジョウ</t>
    </rPh>
    <rPh sb="21" eb="23">
      <t>ケンチ</t>
    </rPh>
    <phoneticPr fontId="1"/>
  </si>
  <si>
    <t>21-6</t>
    <phoneticPr fontId="1"/>
  </si>
  <si>
    <t>スマホを盗まれた場合</t>
    <rPh sb="4" eb="5">
      <t>ヌス</t>
    </rPh>
    <rPh sb="8" eb="10">
      <t>バアイ</t>
    </rPh>
    <phoneticPr fontId="1"/>
  </si>
  <si>
    <t>21-7</t>
    <phoneticPr fontId="1"/>
  </si>
  <si>
    <t>A社公開webサーバーの名前解決が出来なくなる</t>
    <rPh sb="1" eb="2">
      <t>シャ</t>
    </rPh>
    <rPh sb="2" eb="4">
      <t>コウカイ</t>
    </rPh>
    <rPh sb="12" eb="14">
      <t>ナマエ</t>
    </rPh>
    <rPh sb="14" eb="16">
      <t>カイケツ</t>
    </rPh>
    <rPh sb="17" eb="19">
      <t>デキ</t>
    </rPh>
    <phoneticPr fontId="1"/>
  </si>
  <si>
    <t>21-8</t>
    <phoneticPr fontId="1"/>
  </si>
  <si>
    <t>容易に推測可能なPINコードを設定する</t>
    <rPh sb="0" eb="2">
      <t>ヨウイ</t>
    </rPh>
    <rPh sb="3" eb="7">
      <t>スイソクカノウ</t>
    </rPh>
    <rPh sb="15" eb="17">
      <t>セッテイ</t>
    </rPh>
    <phoneticPr fontId="1"/>
  </si>
  <si>
    <t>21-9</t>
    <phoneticPr fontId="1"/>
  </si>
  <si>
    <t>他者の会員番号を窃取してバーコードを生成し、決済する</t>
    <rPh sb="0" eb="2">
      <t>タシャ</t>
    </rPh>
    <rPh sb="3" eb="5">
      <t>カイイン</t>
    </rPh>
    <rPh sb="5" eb="7">
      <t>バンゴウ</t>
    </rPh>
    <rPh sb="8" eb="10">
      <t>セッシュ</t>
    </rPh>
    <rPh sb="18" eb="20">
      <t>セイセイ</t>
    </rPh>
    <rPh sb="22" eb="24">
      <t>ケッサイ</t>
    </rPh>
    <phoneticPr fontId="1"/>
  </si>
  <si>
    <t>21-10</t>
    <phoneticPr fontId="1"/>
  </si>
  <si>
    <t>除去されていないマルウェアが残っている可能性があるため</t>
    <rPh sb="0" eb="2">
      <t>ジョキョ</t>
    </rPh>
    <rPh sb="14" eb="15">
      <t>ノコ</t>
    </rPh>
    <rPh sb="19" eb="22">
      <t>カノウセイ</t>
    </rPh>
    <phoneticPr fontId="1"/>
  </si>
  <si>
    <t>21-11</t>
    <phoneticPr fontId="1"/>
  </si>
  <si>
    <t>日時</t>
    <rPh sb="0" eb="2">
      <t>ニチジ</t>
    </rPh>
    <phoneticPr fontId="1"/>
  </si>
  <si>
    <t>0～8時</t>
    <rPh sb="3" eb="4">
      <t>ジ</t>
    </rPh>
    <phoneticPr fontId="1"/>
  </si>
  <si>
    <t>21-12</t>
    <phoneticPr fontId="1"/>
  </si>
  <si>
    <t>a: パスワード変更</t>
    <rPh sb="8" eb="10">
      <t>ヘンコウ</t>
    </rPh>
    <phoneticPr fontId="1"/>
  </si>
  <si>
    <t>b: ローカル環境にコピー</t>
    <rPh sb="7" eb="9">
      <t>カンキョウ</t>
    </rPh>
    <phoneticPr fontId="1"/>
  </si>
  <si>
    <t>22-1</t>
    <phoneticPr fontId="1"/>
  </si>
  <si>
    <t>MACの生成に共通鍵を使用する</t>
    <rPh sb="4" eb="6">
      <t>セイセイ</t>
    </rPh>
    <rPh sb="7" eb="10">
      <t>キョウツウカギ</t>
    </rPh>
    <rPh sb="11" eb="13">
      <t>シヨウ</t>
    </rPh>
    <phoneticPr fontId="1"/>
  </si>
  <si>
    <t>自身が管理するサーバー上で稼働するゲームプログラム</t>
    <rPh sb="0" eb="2">
      <t>ジシン</t>
    </rPh>
    <rPh sb="3" eb="5">
      <t>カンリ</t>
    </rPh>
    <rPh sb="11" eb="12">
      <t>ウエ</t>
    </rPh>
    <rPh sb="13" eb="15">
      <t>カドウ</t>
    </rPh>
    <phoneticPr fontId="1"/>
  </si>
  <si>
    <t>22-2</t>
    <phoneticPr fontId="1"/>
  </si>
  <si>
    <t>ゲームサーバー全体で同じ共通鍵を適用している</t>
    <rPh sb="7" eb="9">
      <t>ゼンタイ</t>
    </rPh>
    <rPh sb="10" eb="11">
      <t>オナ</t>
    </rPh>
    <rPh sb="12" eb="15">
      <t>キョウツウカギ</t>
    </rPh>
    <rPh sb="16" eb="18">
      <t>テキヨウ</t>
    </rPh>
    <phoneticPr fontId="1"/>
  </si>
  <si>
    <t>22-3</t>
    <phoneticPr fontId="1"/>
  </si>
  <si>
    <t>多要素認証の機能開発をする必要がなくなる</t>
    <rPh sb="0" eb="5">
      <t>タヨウソニンショウ</t>
    </rPh>
    <rPh sb="6" eb="10">
      <t>キノウカイハツ</t>
    </rPh>
    <rPh sb="13" eb="15">
      <t>ヒツヨウ</t>
    </rPh>
    <phoneticPr fontId="1"/>
  </si>
  <si>
    <t>23-1</t>
    <phoneticPr fontId="1"/>
  </si>
  <si>
    <t>1か2</t>
    <phoneticPr fontId="1"/>
  </si>
  <si>
    <t>23-2</t>
    <phoneticPr fontId="1"/>
  </si>
  <si>
    <t>progというファイルをダウンロードし、実行する命令</t>
    <rPh sb="20" eb="22">
      <t>ジッコウ</t>
    </rPh>
    <rPh sb="24" eb="26">
      <t>メイレイ</t>
    </rPh>
    <phoneticPr fontId="1"/>
  </si>
  <si>
    <t>23-3</t>
    <phoneticPr fontId="1"/>
  </si>
  <si>
    <t>外部からLAN側への通信の許可設定が変更される</t>
    <rPh sb="0" eb="2">
      <t>ガイブ</t>
    </rPh>
    <rPh sb="7" eb="8">
      <t>ガワ</t>
    </rPh>
    <rPh sb="10" eb="12">
      <t>ツウシン</t>
    </rPh>
    <rPh sb="13" eb="15">
      <t>キョカ</t>
    </rPh>
    <rPh sb="15" eb="17">
      <t>セッテイ</t>
    </rPh>
    <rPh sb="18" eb="20">
      <t>ヘンコウ</t>
    </rPh>
    <phoneticPr fontId="1"/>
  </si>
  <si>
    <t>23-4</t>
    <phoneticPr fontId="1"/>
  </si>
  <si>
    <t>脆弱性管理がされないという不都合</t>
    <rPh sb="0" eb="3">
      <t>ゼイジャクセイ</t>
    </rPh>
    <rPh sb="3" eb="5">
      <t>カンリ</t>
    </rPh>
    <rPh sb="13" eb="16">
      <t>フツゴウ</t>
    </rPh>
    <phoneticPr fontId="1"/>
  </si>
  <si>
    <t>23-5</t>
    <phoneticPr fontId="1"/>
  </si>
  <si>
    <t>b: PC-A</t>
    <phoneticPr fontId="1"/>
  </si>
  <si>
    <t>c: Internet</t>
    <phoneticPr fontId="1"/>
  </si>
  <si>
    <t>23-6</t>
    <phoneticPr fontId="1"/>
  </si>
  <si>
    <t>6/14 7:00～9:30</t>
    <phoneticPr fontId="1"/>
  </si>
  <si>
    <t>23-7</t>
    <phoneticPr fontId="1"/>
  </si>
  <si>
    <t>CCをインストールしたPCを協力者に送付</t>
    <rPh sb="14" eb="17">
      <t>キョウリョクシャ</t>
    </rPh>
    <rPh sb="18" eb="20">
      <t>ソウフ</t>
    </rPh>
    <phoneticPr fontId="1"/>
  </si>
  <si>
    <t>23-8</t>
    <phoneticPr fontId="1"/>
  </si>
  <si>
    <t>・内部メールサーバーを利用して攻撃者にメールを送信する</t>
    <rPh sb="1" eb="3">
      <t>ナイブ</t>
    </rPh>
    <rPh sb="11" eb="13">
      <t>リヨウ</t>
    </rPh>
    <rPh sb="15" eb="18">
      <t>コウゲキシャ</t>
    </rPh>
    <rPh sb="23" eb="25">
      <t>ソウシン</t>
    </rPh>
    <phoneticPr fontId="1"/>
  </si>
  <si>
    <t>・攻撃者が用意したW-APに接続し、情報を送信する</t>
    <rPh sb="1" eb="4">
      <t>コウゲキシャ</t>
    </rPh>
    <rPh sb="5" eb="7">
      <t>ヨウイ</t>
    </rPh>
    <rPh sb="14" eb="16">
      <t>セツゾク</t>
    </rPh>
    <rPh sb="18" eb="20">
      <t>ジョウホウ</t>
    </rPh>
    <rPh sb="21" eb="23">
      <t>ソウシン</t>
    </rPh>
    <phoneticPr fontId="1"/>
  </si>
  <si>
    <t>23-9</t>
    <phoneticPr fontId="1"/>
  </si>
  <si>
    <t>複数のIPアドレスから不正アクセスを続けた場合</t>
    <rPh sb="0" eb="2">
      <t>フクスウ</t>
    </rPh>
    <rPh sb="11" eb="13">
      <t>フセイ</t>
    </rPh>
    <rPh sb="18" eb="19">
      <t>ツヅ</t>
    </rPh>
    <rPh sb="21" eb="23">
      <t>バアイ</t>
    </rPh>
    <phoneticPr fontId="1"/>
  </si>
  <si>
    <t>23-10</t>
    <phoneticPr fontId="1"/>
  </si>
  <si>
    <t>C&amp;CSVとの通信時にDNSへの問い合わせを実行しない場合があるため</t>
    <rPh sb="7" eb="10">
      <t>ツウシンジ</t>
    </rPh>
    <rPh sb="16" eb="17">
      <t>ト</t>
    </rPh>
    <rPh sb="18" eb="19">
      <t>ア</t>
    </rPh>
    <rPh sb="22" eb="24">
      <t>ジッコウ</t>
    </rPh>
    <rPh sb="27" eb="29">
      <t>バアイ</t>
    </rPh>
    <phoneticPr fontId="1"/>
  </si>
  <si>
    <t>23-11</t>
    <phoneticPr fontId="1"/>
  </si>
  <si>
    <t>同一利用者IDでのログイン失敗</t>
    <rPh sb="0" eb="2">
      <t>ドウイツ</t>
    </rPh>
    <rPh sb="2" eb="5">
      <t>リヨウシャ</t>
    </rPh>
    <rPh sb="13" eb="15">
      <t>シッパイ</t>
    </rPh>
    <phoneticPr fontId="1"/>
  </si>
  <si>
    <t>23-12</t>
    <phoneticPr fontId="1"/>
  </si>
  <si>
    <t>マルウェアスキャンがされない</t>
    <phoneticPr fontId="1"/>
  </si>
  <si>
    <t>なりすましメールを検出できない</t>
    <rPh sb="9" eb="11">
      <t>ケンシュツ</t>
    </rPh>
    <phoneticPr fontId="1"/>
  </si>
  <si>
    <t>24-1</t>
    <phoneticPr fontId="1"/>
  </si>
  <si>
    <t>クライアント証明書によるデバイス認証</t>
    <rPh sb="6" eb="9">
      <t>ショウメイショ</t>
    </rPh>
    <rPh sb="16" eb="18">
      <t>ニンショウ</t>
    </rPh>
    <phoneticPr fontId="1"/>
  </si>
  <si>
    <t>24-2</t>
    <phoneticPr fontId="1"/>
  </si>
  <si>
    <t>3ウェイハンドシェイク</t>
    <phoneticPr fontId="1"/>
  </si>
  <si>
    <t>Q2</t>
    <phoneticPr fontId="1"/>
  </si>
  <si>
    <t>ディジタル証明書によるTLSクライアント認証</t>
    <rPh sb="5" eb="8">
      <t>ショウメイショ</t>
    </rPh>
    <rPh sb="20" eb="22">
      <t>ニンショウ</t>
    </rPh>
    <phoneticPr fontId="1"/>
  </si>
  <si>
    <t>Q10</t>
    <phoneticPr fontId="1"/>
  </si>
  <si>
    <t>当該書類が存在していたかどうか</t>
    <rPh sb="0" eb="2">
      <t>トウガイ</t>
    </rPh>
    <rPh sb="2" eb="4">
      <t>ショルイ</t>
    </rPh>
    <rPh sb="5" eb="7">
      <t>ソンザイ</t>
    </rPh>
    <phoneticPr fontId="1"/>
  </si>
  <si>
    <t>24-3</t>
    <phoneticPr fontId="1"/>
  </si>
  <si>
    <t>クライアント証明書によるデバイス認証を行う仕組み</t>
    <rPh sb="6" eb="9">
      <t>ショウメイショ</t>
    </rPh>
    <rPh sb="16" eb="18">
      <t>ニンショウ</t>
    </rPh>
    <rPh sb="19" eb="20">
      <t>オコナ</t>
    </rPh>
    <rPh sb="21" eb="23">
      <t>シク</t>
    </rPh>
    <phoneticPr fontId="1"/>
  </si>
  <si>
    <t>Q11</t>
    <phoneticPr fontId="1"/>
  </si>
  <si>
    <t>a:エージェント</t>
    <phoneticPr fontId="1"/>
  </si>
  <si>
    <t>b:コネクタ</t>
    <phoneticPr fontId="1"/>
  </si>
  <si>
    <t>24-4</t>
    <phoneticPr fontId="1"/>
  </si>
  <si>
    <t>利用者権限で利用する</t>
    <rPh sb="0" eb="3">
      <t>リヨウシャ</t>
    </rPh>
    <rPh sb="3" eb="5">
      <t>ケンゲン</t>
    </rPh>
    <rPh sb="6" eb="8">
      <t>リヨウ</t>
    </rPh>
    <phoneticPr fontId="1"/>
  </si>
  <si>
    <t>クライアント証明書の実態は、秘密鍵より作られた公開鍵を認証局で署名してもらった証明書→抜けないようにするためには取り出せないようにする</t>
    <rPh sb="6" eb="9">
      <t>ショウメイショ</t>
    </rPh>
    <rPh sb="10" eb="12">
      <t>ジッタイ</t>
    </rPh>
    <rPh sb="14" eb="17">
      <t>ヒミツカギ</t>
    </rPh>
    <rPh sb="19" eb="20">
      <t>ツク</t>
    </rPh>
    <rPh sb="23" eb="25">
      <t>コウカイ</t>
    </rPh>
    <rPh sb="25" eb="26">
      <t>カギ</t>
    </rPh>
    <rPh sb="27" eb="30">
      <t>ニンショウキョク</t>
    </rPh>
    <rPh sb="31" eb="33">
      <t>ショメイ</t>
    </rPh>
    <rPh sb="39" eb="42">
      <t>ショウメイショ</t>
    </rPh>
    <rPh sb="43" eb="44">
      <t>ヌ</t>
    </rPh>
    <rPh sb="56" eb="57">
      <t>ト</t>
    </rPh>
    <rPh sb="58" eb="59">
      <t>ダ</t>
    </rPh>
    <phoneticPr fontId="1"/>
  </si>
  <si>
    <t>Q12</t>
    <phoneticPr fontId="1"/>
  </si>
  <si>
    <t>S/MIMEを用いた電子メールを復号してから別途保存する</t>
    <rPh sb="7" eb="8">
      <t>モチ</t>
    </rPh>
    <rPh sb="10" eb="12">
      <t>デンシ</t>
    </rPh>
    <rPh sb="16" eb="18">
      <t>フクゴウ</t>
    </rPh>
    <rPh sb="22" eb="24">
      <t>ベット</t>
    </rPh>
    <rPh sb="24" eb="26">
      <t>ホゾン</t>
    </rPh>
    <phoneticPr fontId="1"/>
  </si>
  <si>
    <t>25-1</t>
    <phoneticPr fontId="1"/>
  </si>
  <si>
    <t>OCSP</t>
    <phoneticPr fontId="1"/>
  </si>
  <si>
    <t>25-2</t>
    <phoneticPr fontId="1"/>
  </si>
  <si>
    <t>メール本文およびメールヘッダの改ざんの有無</t>
    <rPh sb="3" eb="5">
      <t>ホンブン</t>
    </rPh>
    <rPh sb="15" eb="16">
      <t>カイ</t>
    </rPh>
    <rPh sb="19" eb="21">
      <t>ウム</t>
    </rPh>
    <phoneticPr fontId="1"/>
  </si>
  <si>
    <t>Q13</t>
    <phoneticPr fontId="1"/>
  </si>
  <si>
    <t>本データを低い機密区分で扱う部署からの漏洩リスク</t>
    <rPh sb="0" eb="1">
      <t>ホン</t>
    </rPh>
    <rPh sb="5" eb="6">
      <t>ヒク</t>
    </rPh>
    <rPh sb="7" eb="9">
      <t>キミツ</t>
    </rPh>
    <rPh sb="9" eb="11">
      <t>クブン</t>
    </rPh>
    <rPh sb="12" eb="13">
      <t>アツカ</t>
    </rPh>
    <rPh sb="14" eb="16">
      <t>ブショ</t>
    </rPh>
    <rPh sb="19" eb="21">
      <t>ロウエイ</t>
    </rPh>
    <phoneticPr fontId="1"/>
  </si>
  <si>
    <t>25-3</t>
    <phoneticPr fontId="1"/>
  </si>
  <si>
    <t>c: コードサイニング</t>
    <phoneticPr fontId="1"/>
  </si>
  <si>
    <t>25-4</t>
    <phoneticPr fontId="1"/>
  </si>
  <si>
    <t>クライアント証明書の提示が必要な外部Webサーバーにアクセスする</t>
    <rPh sb="6" eb="9">
      <t>ショウメイショ</t>
    </rPh>
    <rPh sb="10" eb="12">
      <t>テイジ</t>
    </rPh>
    <rPh sb="13" eb="15">
      <t>ヒツヨウ</t>
    </rPh>
    <rPh sb="16" eb="18">
      <t>ガイブ</t>
    </rPh>
    <phoneticPr fontId="1"/>
  </si>
  <si>
    <t>Q14</t>
    <phoneticPr fontId="1"/>
  </si>
  <si>
    <t>a: 必要</t>
    <rPh sb="3" eb="5">
      <t>ヒツヨウ</t>
    </rPh>
    <phoneticPr fontId="1"/>
  </si>
  <si>
    <t>b: 最小権限</t>
    <rPh sb="3" eb="7">
      <t>サイショウケンゲン</t>
    </rPh>
    <phoneticPr fontId="1"/>
  </si>
  <si>
    <t>25-5</t>
    <phoneticPr fontId="1"/>
  </si>
  <si>
    <t>k: FW1の製造元によって安全性が確認されていないCAが発行したサーバ証明書を使用した外部Webサーバーにアクセスする</t>
    <rPh sb="7" eb="10">
      <t>セイゾウモト</t>
    </rPh>
    <rPh sb="14" eb="17">
      <t>アンゼンセイ</t>
    </rPh>
    <rPh sb="18" eb="20">
      <t>カクニン</t>
    </rPh>
    <rPh sb="29" eb="31">
      <t>ハッコウ</t>
    </rPh>
    <rPh sb="36" eb="39">
      <t>ショウメイショ</t>
    </rPh>
    <rPh sb="40" eb="42">
      <t>シヨウ</t>
    </rPh>
    <rPh sb="44" eb="46">
      <t>ガイブ</t>
    </rPh>
    <phoneticPr fontId="1"/>
  </si>
  <si>
    <t>25-6</t>
    <phoneticPr fontId="1"/>
  </si>
  <si>
    <t>c: FQDN</t>
    <phoneticPr fontId="1"/>
  </si>
  <si>
    <t>Q15</t>
    <phoneticPr fontId="1"/>
  </si>
  <si>
    <t>FWより内側の通信をFWで制御することが出来ないため</t>
    <rPh sb="4" eb="6">
      <t>ウチガワ</t>
    </rPh>
    <rPh sb="7" eb="9">
      <t>ツウシン</t>
    </rPh>
    <rPh sb="13" eb="15">
      <t>セイギョ</t>
    </rPh>
    <rPh sb="20" eb="22">
      <t>デキ</t>
    </rPh>
    <phoneticPr fontId="1"/>
  </si>
  <si>
    <t>25-7</t>
    <phoneticPr fontId="1"/>
  </si>
  <si>
    <t>証明書の失効の有無</t>
    <rPh sb="0" eb="3">
      <t>ショウメイショ</t>
    </rPh>
    <rPh sb="4" eb="6">
      <t>シッコウ</t>
    </rPh>
    <rPh sb="7" eb="9">
      <t>ウム</t>
    </rPh>
    <phoneticPr fontId="1"/>
  </si>
  <si>
    <t>25-8</t>
    <phoneticPr fontId="1"/>
  </si>
  <si>
    <t>αとβの一致を検証する</t>
    <rPh sb="4" eb="6">
      <t>イッチ</t>
    </rPh>
    <rPh sb="7" eb="9">
      <t>ケンショウ</t>
    </rPh>
    <phoneticPr fontId="1"/>
  </si>
  <si>
    <t>26-1</t>
    <phoneticPr fontId="1"/>
  </si>
  <si>
    <t>a: DNSキャッシュポイズニング</t>
    <phoneticPr fontId="1"/>
  </si>
  <si>
    <t>26-2</t>
    <phoneticPr fontId="1"/>
  </si>
  <si>
    <t>A</t>
    <phoneticPr fontId="1"/>
  </si>
  <si>
    <t>26-3</t>
    <phoneticPr fontId="1"/>
  </si>
  <si>
    <t>d: CNAME</t>
    <phoneticPr fontId="1"/>
  </si>
  <si>
    <t>c: 外部DNSサーバー</t>
    <rPh sb="3" eb="5">
      <t>ガイブ</t>
    </rPh>
    <phoneticPr fontId="1"/>
  </si>
  <si>
    <t>26-4</t>
    <phoneticPr fontId="1"/>
  </si>
  <si>
    <t>b: 攻撃者のWEBサーバー</t>
    <phoneticPr fontId="1"/>
  </si>
  <si>
    <t>a: メールサービスP</t>
    <phoneticPr fontId="1"/>
  </si>
  <si>
    <t>Q16</t>
    <phoneticPr fontId="1"/>
  </si>
  <si>
    <t>・攻撃方法を調査しやすい</t>
    <rPh sb="1" eb="5">
      <t>コウゲキホウホウ</t>
    </rPh>
    <rPh sb="6" eb="8">
      <t>チョウサ</t>
    </rPh>
    <phoneticPr fontId="1"/>
  </si>
  <si>
    <t>・攻撃先のデバイスを見つけやすい</t>
    <rPh sb="1" eb="4">
      <t>コウゲキサキ</t>
    </rPh>
    <rPh sb="10" eb="11">
      <t>ミ</t>
    </rPh>
    <phoneticPr fontId="1"/>
  </si>
  <si>
    <t>26-5</t>
    <phoneticPr fontId="1"/>
  </si>
  <si>
    <t>い</t>
    <phoneticPr fontId="1"/>
  </si>
  <si>
    <t>攻撃者のDNSサーバーのIPアドレス</t>
    <rPh sb="0" eb="3">
      <t>コウゲキシャ</t>
    </rPh>
    <phoneticPr fontId="1"/>
  </si>
  <si>
    <t>26-6</t>
    <phoneticPr fontId="1"/>
  </si>
  <si>
    <t>DNSSEC</t>
    <phoneticPr fontId="1"/>
  </si>
  <si>
    <t>27-1</t>
    <phoneticPr fontId="1"/>
  </si>
  <si>
    <t>C&amp;Cサーバーにアクセスした機器がほかにないか</t>
    <rPh sb="14" eb="16">
      <t>キキ</t>
    </rPh>
    <phoneticPr fontId="1"/>
  </si>
  <si>
    <t>27-2</t>
    <phoneticPr fontId="1"/>
  </si>
  <si>
    <t>プロキシサーバーのアクセスログより、Ipｎにアクセスのエントリを調査する</t>
    <rPh sb="32" eb="34">
      <t>チョウサ</t>
    </rPh>
    <phoneticPr fontId="1"/>
  </si>
  <si>
    <t>27-3</t>
    <phoneticPr fontId="1"/>
  </si>
  <si>
    <t>a: FW1</t>
    <phoneticPr fontId="1"/>
  </si>
  <si>
    <t>b: プロキシサーバー</t>
    <phoneticPr fontId="1"/>
  </si>
  <si>
    <t>Q17</t>
    <phoneticPr fontId="1"/>
  </si>
  <si>
    <t>LAN外へとルーティングする</t>
    <rPh sb="3" eb="4">
      <t>ソト</t>
    </rPh>
    <phoneticPr fontId="1"/>
  </si>
  <si>
    <t>28-1</t>
    <phoneticPr fontId="1"/>
  </si>
  <si>
    <t>Q社内のすべてのPCとサーバーからのアクセス</t>
    <rPh sb="1" eb="3">
      <t>シャナイ</t>
    </rPh>
    <phoneticPr fontId="1"/>
  </si>
  <si>
    <t>28-2</t>
    <phoneticPr fontId="1"/>
  </si>
  <si>
    <t>f:ファイル名</t>
    <rPh sb="6" eb="7">
      <t>メイ</t>
    </rPh>
    <phoneticPr fontId="1"/>
  </si>
  <si>
    <t>g:ファイルサイズ</t>
    <phoneticPr fontId="1"/>
  </si>
  <si>
    <t>28-3</t>
    <phoneticPr fontId="1"/>
  </si>
  <si>
    <t>h: ファイルサイズ</t>
    <phoneticPr fontId="1"/>
  </si>
  <si>
    <t>i: アップロードされたファイルサイズ</t>
    <phoneticPr fontId="1"/>
  </si>
  <si>
    <t>j:アクセス先のURL</t>
    <rPh sb="6" eb="7">
      <t>サキ</t>
    </rPh>
    <phoneticPr fontId="1"/>
  </si>
  <si>
    <t>28-4</t>
    <phoneticPr fontId="1"/>
  </si>
  <si>
    <t>RログをマルウェアMのハッシュ値で検索する</t>
    <rPh sb="15" eb="16">
      <t>アタイ</t>
    </rPh>
    <rPh sb="17" eb="19">
      <t>ケンサク</t>
    </rPh>
    <phoneticPr fontId="1"/>
  </si>
  <si>
    <t>28-5</t>
    <phoneticPr fontId="1"/>
  </si>
  <si>
    <t>アクセスできるチャットエリアで共有されている情報</t>
    <rPh sb="15" eb="17">
      <t>キョウユウ</t>
    </rPh>
    <rPh sb="22" eb="24">
      <t>ジョウホウ</t>
    </rPh>
    <phoneticPr fontId="1"/>
  </si>
  <si>
    <t>28-6</t>
    <phoneticPr fontId="1"/>
  </si>
  <si>
    <t>ログを削除を示すログ</t>
    <rPh sb="3" eb="5">
      <t>サクジョ</t>
    </rPh>
    <rPh sb="6" eb="7">
      <t>シメ</t>
    </rPh>
    <phoneticPr fontId="1"/>
  </si>
  <si>
    <t>28-7</t>
    <phoneticPr fontId="1"/>
  </si>
  <si>
    <t>IPアドレスとの通信履歴</t>
    <rPh sb="8" eb="10">
      <t>ツウシン</t>
    </rPh>
    <rPh sb="10" eb="12">
      <t>リレキ</t>
    </rPh>
    <phoneticPr fontId="1"/>
  </si>
  <si>
    <t>28-8</t>
    <phoneticPr fontId="1"/>
  </si>
  <si>
    <t>28行目</t>
    <rPh sb="2" eb="4">
      <t>ギョウメ</t>
    </rPh>
    <phoneticPr fontId="1"/>
  </si>
  <si>
    <t>プロキシサーバーがインターネットに送信したデータサイズ</t>
    <rPh sb="17" eb="19">
      <t>ソウシン</t>
    </rPh>
    <phoneticPr fontId="1"/>
  </si>
  <si>
    <t>28-9</t>
    <phoneticPr fontId="1"/>
  </si>
  <si>
    <t>IPリストに登録されたIPアドレス</t>
    <rPh sb="6" eb="8">
      <t>トウロク</t>
    </rPh>
    <phoneticPr fontId="1"/>
  </si>
  <si>
    <t>28-10</t>
    <phoneticPr fontId="1"/>
  </si>
  <si>
    <t>ハッシュ値</t>
    <rPh sb="4" eb="5">
      <t>アタイ</t>
    </rPh>
    <phoneticPr fontId="1"/>
  </si>
  <si>
    <t>28-11</t>
    <phoneticPr fontId="1"/>
  </si>
  <si>
    <t>端末以外のIPアドレスを送信元とする通信記録</t>
    <rPh sb="0" eb="2">
      <t>タンマツ</t>
    </rPh>
    <rPh sb="2" eb="4">
      <t>イガイ</t>
    </rPh>
    <rPh sb="12" eb="14">
      <t>ソウシン</t>
    </rPh>
    <rPh sb="14" eb="15">
      <t>モト</t>
    </rPh>
    <rPh sb="18" eb="20">
      <t>ツウシン</t>
    </rPh>
    <rPh sb="20" eb="22">
      <t>キロク</t>
    </rPh>
    <phoneticPr fontId="1"/>
  </si>
  <si>
    <t>Q18</t>
    <phoneticPr fontId="1"/>
  </si>
  <si>
    <t>連絡方法</t>
    <rPh sb="0" eb="2">
      <t>レンラク</t>
    </rPh>
    <rPh sb="2" eb="4">
      <t>ホウホウ</t>
    </rPh>
    <phoneticPr fontId="1"/>
  </si>
  <si>
    <t>29-1</t>
    <phoneticPr fontId="1"/>
  </si>
  <si>
    <t>特定のドメインに対する多数のDNSクエリの発生</t>
    <rPh sb="0" eb="2">
      <t>トクテイ</t>
    </rPh>
    <rPh sb="8" eb="9">
      <t>タイ</t>
    </rPh>
    <rPh sb="11" eb="13">
      <t>タスウ</t>
    </rPh>
    <rPh sb="21" eb="23">
      <t>ハッセイ</t>
    </rPh>
    <phoneticPr fontId="1"/>
  </si>
  <si>
    <t>29-2</t>
    <phoneticPr fontId="1"/>
  </si>
  <si>
    <t>b:権威DNSサーバー</t>
    <rPh sb="2" eb="4">
      <t>ケンイ</t>
    </rPh>
    <phoneticPr fontId="1"/>
  </si>
  <si>
    <t>c:外部DNSさーばー</t>
    <rPh sb="2" eb="4">
      <t>ガイブ</t>
    </rPh>
    <phoneticPr fontId="1"/>
  </si>
  <si>
    <t>d:再帰的クエリ</t>
    <rPh sb="2" eb="5">
      <t>サイキテキ</t>
    </rPh>
    <phoneticPr fontId="1"/>
  </si>
  <si>
    <t>29-3</t>
    <phoneticPr fontId="1"/>
  </si>
  <si>
    <t>リクエスト：C&amp;Cサーバーにコマンドを要求</t>
    <rPh sb="19" eb="21">
      <t>ヨウキュウ</t>
    </rPh>
    <phoneticPr fontId="1"/>
  </si>
  <si>
    <t>レスポンス：C&amp;Cサーバーからのコマンド指示</t>
    <rPh sb="20" eb="22">
      <t>シジ</t>
    </rPh>
    <phoneticPr fontId="1"/>
  </si>
  <si>
    <t>Q19</t>
    <phoneticPr fontId="1"/>
  </si>
  <si>
    <t>BIMI</t>
    <phoneticPr fontId="1"/>
  </si>
  <si>
    <t>30-1</t>
    <phoneticPr fontId="1"/>
  </si>
  <si>
    <t>作業が早くできる</t>
    <rPh sb="0" eb="2">
      <t>サギョウ</t>
    </rPh>
    <rPh sb="3" eb="4">
      <t>ハヤ</t>
    </rPh>
    <phoneticPr fontId="1"/>
  </si>
  <si>
    <t>確実な点検が出来る</t>
    <rPh sb="0" eb="2">
      <t>カクジツ</t>
    </rPh>
    <rPh sb="3" eb="5">
      <t>テンケン</t>
    </rPh>
    <rPh sb="6" eb="8">
      <t>デキ</t>
    </rPh>
    <phoneticPr fontId="1"/>
  </si>
  <si>
    <t>30-2</t>
    <phoneticPr fontId="1"/>
  </si>
  <si>
    <t>b:攻撃</t>
    <rPh sb="2" eb="4">
      <t>コウゲキ</t>
    </rPh>
    <phoneticPr fontId="1"/>
  </si>
  <si>
    <t>Q20</t>
    <phoneticPr fontId="1"/>
  </si>
  <si>
    <t>業務と関係のない操作がないか</t>
    <rPh sb="0" eb="2">
      <t>ギョウム</t>
    </rPh>
    <rPh sb="3" eb="5">
      <t>カンケイ</t>
    </rPh>
    <rPh sb="8" eb="10">
      <t>ソウサ</t>
    </rPh>
    <phoneticPr fontId="1"/>
  </si>
  <si>
    <t>30-3</t>
    <phoneticPr fontId="1"/>
  </si>
  <si>
    <t>関係者に通知</t>
    <rPh sb="0" eb="3">
      <t>カンケイシャ</t>
    </rPh>
    <rPh sb="4" eb="6">
      <t>ツウチ</t>
    </rPh>
    <phoneticPr fontId="1"/>
  </si>
  <si>
    <t>30-4</t>
    <phoneticPr fontId="1"/>
  </si>
  <si>
    <t>UTMのIDS機能により攻撃検知した場合、管理者に通知がされるため</t>
    <rPh sb="7" eb="9">
      <t>キノウ</t>
    </rPh>
    <rPh sb="12" eb="14">
      <t>コウゲキ</t>
    </rPh>
    <rPh sb="14" eb="16">
      <t>ケンチ</t>
    </rPh>
    <rPh sb="18" eb="20">
      <t>バアイ</t>
    </rPh>
    <rPh sb="21" eb="24">
      <t>カンリシャ</t>
    </rPh>
    <rPh sb="25" eb="27">
      <t>ツウチ</t>
    </rPh>
    <phoneticPr fontId="1"/>
  </si>
  <si>
    <t>30-5</t>
    <phoneticPr fontId="1"/>
  </si>
  <si>
    <t>ア、イ</t>
    <phoneticPr fontId="1"/>
  </si>
  <si>
    <t>Q21</t>
    <phoneticPr fontId="1"/>
  </si>
  <si>
    <t>非常に台数が多い</t>
    <rPh sb="0" eb="2">
      <t>ヒジョウ</t>
    </rPh>
    <rPh sb="3" eb="5">
      <t>ダイスウ</t>
    </rPh>
    <rPh sb="6" eb="7">
      <t>オオ</t>
    </rPh>
    <phoneticPr fontId="1"/>
  </si>
  <si>
    <t>更新予定の機器に立ち入りが困難なものがあるため</t>
    <rPh sb="0" eb="2">
      <t>コウシン</t>
    </rPh>
    <rPh sb="2" eb="4">
      <t>ヨテイ</t>
    </rPh>
    <rPh sb="5" eb="7">
      <t>キキ</t>
    </rPh>
    <rPh sb="8" eb="9">
      <t>タ</t>
    </rPh>
    <rPh sb="10" eb="11">
      <t>イ</t>
    </rPh>
    <rPh sb="13" eb="15">
      <t>コンナン</t>
    </rPh>
    <phoneticPr fontId="1"/>
  </si>
  <si>
    <t>30-6</t>
    <phoneticPr fontId="1"/>
  </si>
  <si>
    <t>エージェントにより夜間に不審なarpコマンドを検知した場合、当該PCをネットワークより遮断する</t>
    <rPh sb="9" eb="11">
      <t>ヤカン</t>
    </rPh>
    <rPh sb="12" eb="14">
      <t>フシン</t>
    </rPh>
    <rPh sb="23" eb="25">
      <t>ケンチ</t>
    </rPh>
    <rPh sb="27" eb="29">
      <t>バアイ</t>
    </rPh>
    <rPh sb="30" eb="32">
      <t>トウガイ</t>
    </rPh>
    <rPh sb="43" eb="45">
      <t>シャダン</t>
    </rPh>
    <phoneticPr fontId="1"/>
  </si>
  <si>
    <t>Q22</t>
    <phoneticPr fontId="1"/>
  </si>
  <si>
    <t>SASE</t>
    <phoneticPr fontId="1"/>
  </si>
  <si>
    <t>クラウドの統合的な管理にはSASEを使う</t>
    <rPh sb="5" eb="8">
      <t>トウゴウテキ</t>
    </rPh>
    <rPh sb="9" eb="11">
      <t>カンリ</t>
    </rPh>
    <rPh sb="18" eb="19">
      <t>ツカ</t>
    </rPh>
    <phoneticPr fontId="1"/>
  </si>
  <si>
    <t>30-7</t>
    <phoneticPr fontId="1"/>
  </si>
  <si>
    <t>メールフォルダ内のメールを読みだされた</t>
    <rPh sb="7" eb="8">
      <t>ナイ</t>
    </rPh>
    <rPh sb="13" eb="14">
      <t>ヨ</t>
    </rPh>
    <phoneticPr fontId="1"/>
  </si>
  <si>
    <t>HTTPでファイルがアップロードされた</t>
    <phoneticPr fontId="1"/>
  </si>
  <si>
    <t>30-8</t>
    <phoneticPr fontId="1"/>
  </si>
  <si>
    <t>Vソフトのファイルが読み込まれた後、１分以内にファイルが保存される</t>
    <rPh sb="10" eb="11">
      <t>ヨ</t>
    </rPh>
    <rPh sb="12" eb="13">
      <t>コ</t>
    </rPh>
    <rPh sb="16" eb="17">
      <t>アト</t>
    </rPh>
    <rPh sb="19" eb="20">
      <t>フン</t>
    </rPh>
    <rPh sb="20" eb="22">
      <t>イナイ</t>
    </rPh>
    <rPh sb="28" eb="30">
      <t>ホゾン</t>
    </rPh>
    <phoneticPr fontId="1"/>
  </si>
  <si>
    <t>30-9</t>
    <phoneticPr fontId="1"/>
  </si>
  <si>
    <t>USB-IDに一致しないものが接続される</t>
    <rPh sb="7" eb="9">
      <t>イッチ</t>
    </rPh>
    <rPh sb="15" eb="17">
      <t>セツゾク</t>
    </rPh>
    <phoneticPr fontId="1"/>
  </si>
  <si>
    <t>Q23</t>
    <phoneticPr fontId="1"/>
  </si>
  <si>
    <t>レジリエンス</t>
    <phoneticPr fontId="1"/>
  </si>
  <si>
    <t>ハイジーン</t>
    <phoneticPr fontId="1"/>
  </si>
  <si>
    <t>sec-3</t>
    <phoneticPr fontId="1"/>
  </si>
  <si>
    <t>31-1</t>
    <phoneticPr fontId="1"/>
  </si>
  <si>
    <t>レビュー</t>
    <phoneticPr fontId="1"/>
  </si>
  <si>
    <t>第３者</t>
    <rPh sb="0" eb="1">
      <t>ダイ</t>
    </rPh>
    <rPh sb="2" eb="3">
      <t>シャ</t>
    </rPh>
    <phoneticPr fontId="1"/>
  </si>
  <si>
    <t>31-2</t>
    <phoneticPr fontId="1"/>
  </si>
  <si>
    <t>脆弱性作りこみの原因を調査し、注意すべきポイントを追加する</t>
    <rPh sb="0" eb="3">
      <t>ゼイジャクセイ</t>
    </rPh>
    <rPh sb="3" eb="4">
      <t>ツク</t>
    </rPh>
    <rPh sb="8" eb="10">
      <t>ゲンイン</t>
    </rPh>
    <rPh sb="11" eb="13">
      <t>チョウサ</t>
    </rPh>
    <rPh sb="15" eb="17">
      <t>チュウイ</t>
    </rPh>
    <rPh sb="25" eb="27">
      <t>ツイカ</t>
    </rPh>
    <phoneticPr fontId="1"/>
  </si>
  <si>
    <t>31-3</t>
    <phoneticPr fontId="1"/>
  </si>
  <si>
    <t>S社で多要素認証の機能を用意しなくても良い</t>
    <rPh sb="1" eb="2">
      <t>シャ</t>
    </rPh>
    <rPh sb="3" eb="8">
      <t>タヨウソニンショウ</t>
    </rPh>
    <rPh sb="9" eb="11">
      <t>キノウ</t>
    </rPh>
    <rPh sb="12" eb="14">
      <t>ヨウイ</t>
    </rPh>
    <rPh sb="19" eb="20">
      <t>ヨ</t>
    </rPh>
    <phoneticPr fontId="1"/>
  </si>
  <si>
    <t>31-4</t>
    <phoneticPr fontId="1"/>
  </si>
  <si>
    <t>改良フェーズにおける１か月の休止</t>
    <rPh sb="0" eb="2">
      <t>カイリョウ</t>
    </rPh>
    <rPh sb="12" eb="13">
      <t>ゲツ</t>
    </rPh>
    <rPh sb="14" eb="16">
      <t>キュウシ</t>
    </rPh>
    <phoneticPr fontId="1"/>
  </si>
  <si>
    <t>31-5</t>
    <phoneticPr fontId="1"/>
  </si>
  <si>
    <t>半年に一度リリース期間を長くする</t>
    <rPh sb="0" eb="2">
      <t>ハントシ</t>
    </rPh>
    <rPh sb="3" eb="5">
      <t>イチド</t>
    </rPh>
    <rPh sb="9" eb="11">
      <t>キカン</t>
    </rPh>
    <rPh sb="12" eb="13">
      <t>ナガ</t>
    </rPh>
    <phoneticPr fontId="1"/>
  </si>
  <si>
    <t>ゲートの退館時にもカードが必要な状態とする</t>
    <rPh sb="4" eb="6">
      <t>タイカン</t>
    </rPh>
    <rPh sb="6" eb="7">
      <t>ジ</t>
    </rPh>
    <rPh sb="13" eb="15">
      <t>ヒツヨウ</t>
    </rPh>
    <rPh sb="16" eb="18">
      <t>ジョウタイ</t>
    </rPh>
    <phoneticPr fontId="1"/>
  </si>
  <si>
    <t>31-6</t>
    <phoneticPr fontId="1"/>
  </si>
  <si>
    <t>Adminに３桁のn番目を示す文字列</t>
    <rPh sb="7" eb="8">
      <t>ケタ</t>
    </rPh>
    <rPh sb="10" eb="12">
      <t>バンメ</t>
    </rPh>
    <rPh sb="13" eb="14">
      <t>シメ</t>
    </rPh>
    <rPh sb="15" eb="18">
      <t>モジレツ</t>
    </rPh>
    <phoneticPr fontId="1"/>
  </si>
  <si>
    <t>a:壁を背にして着席</t>
    <rPh sb="2" eb="3">
      <t>カベ</t>
    </rPh>
    <rPh sb="4" eb="5">
      <t>セ</t>
    </rPh>
    <rPh sb="8" eb="10">
      <t>チャクセキ</t>
    </rPh>
    <phoneticPr fontId="1"/>
  </si>
  <si>
    <t>b:クリアスクリーン着用</t>
    <rPh sb="10" eb="12">
      <t>チャクヨウ</t>
    </rPh>
    <phoneticPr fontId="1"/>
  </si>
  <si>
    <t>32-1</t>
    <phoneticPr fontId="1"/>
  </si>
  <si>
    <t>りくえすと</t>
    <phoneticPr fontId="1"/>
  </si>
  <si>
    <t>32-2</t>
    <phoneticPr fontId="1"/>
  </si>
  <si>
    <t>攻撃文字列がPOSTデータに残らないケース</t>
    <rPh sb="0" eb="2">
      <t>コウゲキ</t>
    </rPh>
    <rPh sb="2" eb="5">
      <t>モジレツ</t>
    </rPh>
    <rPh sb="14" eb="15">
      <t>ノコ</t>
    </rPh>
    <phoneticPr fontId="1"/>
  </si>
  <si>
    <t>32-3</t>
    <phoneticPr fontId="1"/>
  </si>
  <si>
    <t>POSTメソッドで送信したボディがアクセスログに残っていないため</t>
    <rPh sb="9" eb="11">
      <t>ソウシン</t>
    </rPh>
    <rPh sb="24" eb="25">
      <t>ノコ</t>
    </rPh>
    <phoneticPr fontId="1"/>
  </si>
  <si>
    <t>32-4</t>
    <phoneticPr fontId="1"/>
  </si>
  <si>
    <t>攻撃リクエストをPOSTメソッドで送信させるスクリプトを含むページを表示させる仕組み</t>
    <rPh sb="0" eb="2">
      <t>コウゲキ</t>
    </rPh>
    <rPh sb="17" eb="19">
      <t>ソウシン</t>
    </rPh>
    <rPh sb="28" eb="29">
      <t>フク</t>
    </rPh>
    <rPh sb="34" eb="36">
      <t>ヒョウジ</t>
    </rPh>
    <rPh sb="39" eb="41">
      <t>シク</t>
    </rPh>
    <phoneticPr fontId="1"/>
  </si>
  <si>
    <t>物理的な距離</t>
    <rPh sb="0" eb="3">
      <t>ブツリテキ</t>
    </rPh>
    <rPh sb="4" eb="6">
      <t>キョリ</t>
    </rPh>
    <phoneticPr fontId="1"/>
  </si>
  <si>
    <t>32-5</t>
    <phoneticPr fontId="1"/>
  </si>
  <si>
    <t>レジストリサーバーに固有のレスポンスヘッダ</t>
    <rPh sb="10" eb="12">
      <t>コユウ</t>
    </rPh>
    <phoneticPr fontId="1"/>
  </si>
  <si>
    <t>ログの内容を定期的にレビューする</t>
    <rPh sb="3" eb="5">
      <t>ナイヨウ</t>
    </rPh>
    <rPh sb="6" eb="9">
      <t>テイキテキ</t>
    </rPh>
    <phoneticPr fontId="1"/>
  </si>
  <si>
    <t>32-6</t>
    <phoneticPr fontId="1"/>
  </si>
  <si>
    <t>TLSの接続先サーバー名</t>
    <rPh sb="4" eb="7">
      <t>セツゾクサキ</t>
    </rPh>
    <rPh sb="11" eb="12">
      <t>メイ</t>
    </rPh>
    <phoneticPr fontId="1"/>
  </si>
  <si>
    <t>パケットフィルタリングでは上位層の内容まで把握できないため</t>
    <rPh sb="13" eb="16">
      <t>ジョウイソウ</t>
    </rPh>
    <rPh sb="17" eb="19">
      <t>ナイヨウ</t>
    </rPh>
    <rPh sb="21" eb="23">
      <t>ハアク</t>
    </rPh>
    <phoneticPr fontId="1"/>
  </si>
  <si>
    <t>33-1</t>
    <phoneticPr fontId="1"/>
  </si>
  <si>
    <t>V氏が用意したサイト</t>
    <rPh sb="1" eb="2">
      <t>シ</t>
    </rPh>
    <rPh sb="3" eb="5">
      <t>ヨウイ</t>
    </rPh>
    <phoneticPr fontId="1"/>
  </si>
  <si>
    <t>33-2</t>
    <phoneticPr fontId="1"/>
  </si>
  <si>
    <t>codeの値を限定商品の値に置き換える</t>
    <rPh sb="5" eb="6">
      <t>アタイ</t>
    </rPh>
    <rPh sb="7" eb="11">
      <t>ゲンテイショウヒン</t>
    </rPh>
    <rPh sb="12" eb="13">
      <t>アタイ</t>
    </rPh>
    <rPh sb="14" eb="15">
      <t>オ</t>
    </rPh>
    <rPh sb="16" eb="17">
      <t>カ</t>
    </rPh>
    <phoneticPr fontId="1"/>
  </si>
  <si>
    <t>33-3</t>
    <phoneticPr fontId="1"/>
  </si>
  <si>
    <t>診断用の利用者ID</t>
    <rPh sb="0" eb="3">
      <t>シンダンヨウ</t>
    </rPh>
    <rPh sb="4" eb="7">
      <t>リヨウシャ</t>
    </rPh>
    <phoneticPr fontId="1"/>
  </si>
  <si>
    <t>33-4</t>
    <phoneticPr fontId="1"/>
  </si>
  <si>
    <t>脆弱性の有無によってレスポンスの違いが出ないため</t>
    <rPh sb="0" eb="3">
      <t>ゼイジャクセイ</t>
    </rPh>
    <rPh sb="4" eb="6">
      <t>ウム</t>
    </rPh>
    <rPh sb="16" eb="17">
      <t>チガ</t>
    </rPh>
    <rPh sb="19" eb="20">
      <t>デ</t>
    </rPh>
    <phoneticPr fontId="1"/>
  </si>
  <si>
    <t>33-5</t>
    <phoneticPr fontId="1"/>
  </si>
  <si>
    <t>スクリプトを分析し、フラグメント識別子の値の変化による挙動を確認する</t>
    <rPh sb="6" eb="8">
      <t>ブンセキ</t>
    </rPh>
    <rPh sb="16" eb="19">
      <t>シキベツシ</t>
    </rPh>
    <rPh sb="20" eb="21">
      <t>アタイ</t>
    </rPh>
    <rPh sb="22" eb="24">
      <t>ヘンカ</t>
    </rPh>
    <rPh sb="27" eb="29">
      <t>キョドウ</t>
    </rPh>
    <rPh sb="30" eb="32">
      <t>カクニン</t>
    </rPh>
    <phoneticPr fontId="1"/>
  </si>
  <si>
    <t>33-6</t>
    <phoneticPr fontId="1"/>
  </si>
  <si>
    <t>k: 権限が異なる複数</t>
    <rPh sb="3" eb="5">
      <t>ケンゲン</t>
    </rPh>
    <rPh sb="6" eb="7">
      <t>コト</t>
    </rPh>
    <rPh sb="9" eb="11">
      <t>フクスウ</t>
    </rPh>
    <phoneticPr fontId="1"/>
  </si>
  <si>
    <t>l: 許可されている操作の違い</t>
    <rPh sb="3" eb="5">
      <t>キョカ</t>
    </rPh>
    <rPh sb="10" eb="12">
      <t>ソウサ</t>
    </rPh>
    <rPh sb="13" eb="14">
      <t>チガ</t>
    </rPh>
    <phoneticPr fontId="1"/>
  </si>
  <si>
    <t>契約不適合</t>
    <rPh sb="0" eb="5">
      <t>ケイヤクフテキゴウ</t>
    </rPh>
    <phoneticPr fontId="1"/>
  </si>
  <si>
    <t>納品されるプログラムに脆弱性を含まないこと</t>
    <rPh sb="0" eb="2">
      <t>ノウヒン</t>
    </rPh>
    <rPh sb="11" eb="14">
      <t>ゼイジャクセイ</t>
    </rPh>
    <rPh sb="15" eb="16">
      <t>フク</t>
    </rPh>
    <phoneticPr fontId="1"/>
  </si>
  <si>
    <t>33-7</t>
    <phoneticPr fontId="1"/>
  </si>
  <si>
    <t>topicの値をhttps//db-y.b-sha.co.jpに指定した</t>
    <rPh sb="6" eb="7">
      <t>アタイ</t>
    </rPh>
    <rPh sb="32" eb="34">
      <t>シテイ</t>
    </rPh>
    <phoneticPr fontId="1"/>
  </si>
  <si>
    <t>ウイルススキャン</t>
    <phoneticPr fontId="1"/>
  </si>
  <si>
    <t>基本EDRにかけるのはスキャンをすり抜けたもの</t>
    <rPh sb="0" eb="2">
      <t>キホン</t>
    </rPh>
    <rPh sb="18" eb="19">
      <t>ヌ</t>
    </rPh>
    <phoneticPr fontId="1"/>
  </si>
  <si>
    <t>33-8</t>
    <phoneticPr fontId="1"/>
  </si>
  <si>
    <t>クエリ文字のidに未参加プロジェクトのプロジェクトIDを指定する</t>
    <rPh sb="3" eb="5">
      <t>モジ</t>
    </rPh>
    <rPh sb="9" eb="12">
      <t>ミサンカ</t>
    </rPh>
    <rPh sb="28" eb="30">
      <t>シテイ</t>
    </rPh>
    <phoneticPr fontId="1"/>
  </si>
  <si>
    <t>33-9</t>
    <phoneticPr fontId="1"/>
  </si>
  <si>
    <t>シェルが実行するコマンドをパラメータで指定することが出来て</t>
    <rPh sb="4" eb="6">
      <t>ジッコウ</t>
    </rPh>
    <rPh sb="19" eb="21">
      <t>シテイ</t>
    </rPh>
    <rPh sb="26" eb="28">
      <t>デキ</t>
    </rPh>
    <phoneticPr fontId="1"/>
  </si>
  <si>
    <t>動作の検証作業</t>
    <rPh sb="0" eb="2">
      <t>ドウサ</t>
    </rPh>
    <rPh sb="3" eb="5">
      <t>ケンショウ</t>
    </rPh>
    <rPh sb="5" eb="7">
      <t>サギョウ</t>
    </rPh>
    <phoneticPr fontId="1"/>
  </si>
  <si>
    <t>34-1</t>
    <phoneticPr fontId="1"/>
  </si>
  <si>
    <t>a: Same-Origin</t>
    <phoneticPr fontId="1"/>
  </si>
  <si>
    <t>34-2</t>
    <phoneticPr fontId="1"/>
  </si>
  <si>
    <t>URLと同じオリジンであるスクリプト</t>
    <rPh sb="4" eb="5">
      <t>オナ</t>
    </rPh>
    <phoneticPr fontId="1"/>
  </si>
  <si>
    <t>34-3</t>
    <phoneticPr fontId="1"/>
  </si>
  <si>
    <t>売れ筋商品情報配信の申し込みページのオリジン</t>
    <rPh sb="0" eb="1">
      <t>ウ</t>
    </rPh>
    <rPh sb="2" eb="3">
      <t>スジ</t>
    </rPh>
    <rPh sb="3" eb="5">
      <t>ショウヒン</t>
    </rPh>
    <rPh sb="5" eb="7">
      <t>ジョウホウ</t>
    </rPh>
    <rPh sb="7" eb="9">
      <t>ハイシン</t>
    </rPh>
    <rPh sb="10" eb="11">
      <t>モウ</t>
    </rPh>
    <rPh sb="12" eb="13">
      <t>コ</t>
    </rPh>
    <phoneticPr fontId="1"/>
  </si>
  <si>
    <t>34-4</t>
    <phoneticPr fontId="1"/>
  </si>
  <si>
    <t>https://site-a.m-sha.co.jp</t>
    <phoneticPr fontId="1"/>
  </si>
  <si>
    <t>34-5</t>
    <phoneticPr fontId="1"/>
  </si>
  <si>
    <t>h: Originヘッダフィールドの値</t>
    <rPh sb="18" eb="19">
      <t>アタイ</t>
    </rPh>
    <phoneticPr fontId="1"/>
  </si>
  <si>
    <t>i: 許可するオリジンのリスト</t>
    <rPh sb="3" eb="5">
      <t>キョカ</t>
    </rPh>
    <phoneticPr fontId="1"/>
  </si>
  <si>
    <t>j: 一致</t>
    <rPh sb="3" eb="5">
      <t>イッチ</t>
    </rPh>
    <phoneticPr fontId="1"/>
  </si>
  <si>
    <t>34-6</t>
    <phoneticPr fontId="1"/>
  </si>
  <si>
    <t>c: ディレクトリ</t>
    <phoneticPr fontId="1"/>
  </si>
  <si>
    <t>d: クロスサイト</t>
    <phoneticPr fontId="1"/>
  </si>
  <si>
    <t>e: HTTP</t>
    <phoneticPr fontId="1"/>
  </si>
  <si>
    <t>f: じゃっキング</t>
    <phoneticPr fontId="1"/>
  </si>
  <si>
    <t>34-7</t>
    <phoneticPr fontId="1"/>
  </si>
  <si>
    <t>改行コード</t>
    <rPh sb="0" eb="2">
      <t>カイギョウ</t>
    </rPh>
    <phoneticPr fontId="1"/>
  </si>
  <si>
    <t>外部からの入力のすべてについて、改行コードを削除する</t>
    <rPh sb="0" eb="2">
      <t>ガイブ</t>
    </rPh>
    <rPh sb="5" eb="7">
      <t>ニュウリョク</t>
    </rPh>
    <rPh sb="16" eb="18">
      <t>カイギョウ</t>
    </rPh>
    <rPh sb="22" eb="24">
      <t>サクジョ</t>
    </rPh>
    <phoneticPr fontId="1"/>
  </si>
  <si>
    <t>34-8</t>
    <phoneticPr fontId="1"/>
  </si>
  <si>
    <t>httponlyだとjsからのアクセスが禁止される</t>
    <rPh sb="20" eb="22">
      <t>キンシ</t>
    </rPh>
    <phoneticPr fontId="1"/>
  </si>
  <si>
    <t>Rポータルが利用しているスクリプトがcookieの値を利用している場合</t>
    <rPh sb="6" eb="8">
      <t>リヨウ</t>
    </rPh>
    <rPh sb="25" eb="26">
      <t>アタイ</t>
    </rPh>
    <rPh sb="27" eb="29">
      <t>リヨウ</t>
    </rPh>
    <rPh sb="33" eb="35">
      <t>バアイ</t>
    </rPh>
    <phoneticPr fontId="1"/>
  </si>
  <si>
    <t>34-9</t>
    <phoneticPr fontId="1"/>
  </si>
  <si>
    <t>WebサイトBへのログイン</t>
    <phoneticPr fontId="1"/>
  </si>
  <si>
    <t>34-10</t>
    <phoneticPr fontId="1"/>
  </si>
  <si>
    <t>a: &amp;lt;</t>
    <phoneticPr fontId="1"/>
  </si>
  <si>
    <t>d: &amp;gt;</t>
    <phoneticPr fontId="1"/>
  </si>
  <si>
    <t>34-11</t>
    <phoneticPr fontId="1"/>
  </si>
  <si>
    <t>returnURLの値を固定値にする</t>
    <rPh sb="10" eb="11">
      <t>アタイ</t>
    </rPh>
    <rPh sb="12" eb="15">
      <t>コテイチ</t>
    </rPh>
    <phoneticPr fontId="1"/>
  </si>
  <si>
    <t>34-12</t>
    <phoneticPr fontId="1"/>
  </si>
  <si>
    <t>http://またはhttps://で始まるURLのみを出力する</t>
    <rPh sb="19" eb="20">
      <t>ハジ</t>
    </rPh>
    <rPh sb="28" eb="30">
      <t>シュツリョク</t>
    </rPh>
    <phoneticPr fontId="1"/>
  </si>
  <si>
    <t>34-13</t>
    <phoneticPr fontId="1"/>
  </si>
  <si>
    <t>インラインスクリプトが一切実行できなくなる</t>
    <rPh sb="11" eb="13">
      <t>イッサイ</t>
    </rPh>
    <rPh sb="13" eb="15">
      <t>ジッコウ</t>
    </rPh>
    <phoneticPr fontId="1"/>
  </si>
  <si>
    <t>34-14</t>
    <phoneticPr fontId="1"/>
  </si>
  <si>
    <t>CSRF対策トークンの発行、HTMLへの埋め込み、ひもづけ、検証</t>
    <rPh sb="4" eb="6">
      <t>タイサク</t>
    </rPh>
    <rPh sb="11" eb="13">
      <t>ハッコウ</t>
    </rPh>
    <rPh sb="20" eb="21">
      <t>ウ</t>
    </rPh>
    <rPh sb="22" eb="23">
      <t>コ</t>
    </rPh>
    <rPh sb="30" eb="32">
      <t>ケンショウ</t>
    </rPh>
    <phoneticPr fontId="1"/>
  </si>
  <si>
    <t>34-15</t>
    <phoneticPr fontId="1"/>
  </si>
  <si>
    <t>セッション情報からプロジェクトIDを取得するため</t>
    <rPh sb="5" eb="7">
      <t>ジョウホウ</t>
    </rPh>
    <rPh sb="18" eb="20">
      <t>シュトク</t>
    </rPh>
    <phoneticPr fontId="1"/>
  </si>
  <si>
    <t>34-16</t>
    <phoneticPr fontId="1"/>
  </si>
  <si>
    <t>推測困難である</t>
    <rPh sb="0" eb="2">
      <t>スイソク</t>
    </rPh>
    <rPh sb="2" eb="4">
      <t>コンナン</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</si>
</sst>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font>
      <sz val="11"/>
      <color theme="1"/>
      <name val="Yu Gothic"/>
      <family val="2"/>
      <scheme val="minor"/>
    </font>
    <font>
      <sz val="6"/>
      <name val="Yu Gothic"/>
      <family val="3"/>
      <charset val="128"/>
      <scheme val="minor"/>
    </font>
    <font>
      <sz val="11"/>
      <color rgb="FF000000"/>
      <name val="Yu Gothic"/>
      <family val="3"/>
      <charset val="128"/>
    </font>
    <font>
      <u/>
      <sz val="11"/>
      <color theme="10"/>
      <name val="Yu Gothic"/>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3" fillId="0" borderId="0" applyNumberFormat="0" applyFill="0" applyBorder="0" applyAlignment="0" applyProtection="0"/>
  </cellStyleXfs>
  <cellXfs count="6">
    <xf numFmtId="0" fontId="0" fillId="0" borderId="0" xfId="0"/>
    <xf numFmtId="0" fontId="0" fillId="0" borderId="0" xfId="0" applyAlignment="1">
      <alignment wrapText="1"/>
    </xf>
    <xf numFmtId="49" fontId="0" fillId="0" borderId="0" xfId="0" applyNumberFormat="1"/>
    <xf numFmtId="49" fontId="0" fillId="0" borderId="0" xfId="0" applyNumberFormat="1" applyAlignment="1">
      <alignment wrapText="1"/>
    </xf>
    <xf numFmtId="56" fontId="0" fillId="0" borderId="0" xfId="0" applyNumberFormat="1" applyAlignment="1">
      <alignment wrapText="1"/>
    </xf>
    <xf numFmtId="0" fontId="3" fillId="0" borderId="0" xfId="1" applyAlignment="1">
      <alignment wrapText="1"/>
    </xf>
  </cellXfs>
  <cellStyles count="2">
    <cellStyle name="ハイパーリンク" xfId="1" builtinId="8"/>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144780</xdr:colOff>
          <xdr:row>1</xdr:row>
          <xdr:rowOff>38100</xdr:rowOff>
        </xdr:from>
        <xdr:to>
          <xdr:col>14</xdr:col>
          <xdr:colOff>594360</xdr:colOff>
          <xdr:row>2</xdr:row>
          <xdr:rowOff>114300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0" i="0" u="none" strike="noStrike" baseline="0">
                  <a:solidFill>
                    <a:srgbClr val="000000"/>
                  </a:solidFill>
                  <a:latin typeface="Yu Gothic"/>
                  <a:ea typeface="Yu Gothic"/>
                </a:rPr>
                <a:t>シート作成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198120</xdr:colOff>
          <xdr:row>3</xdr:row>
          <xdr:rowOff>106680</xdr:rowOff>
        </xdr:from>
        <xdr:to>
          <xdr:col>14</xdr:col>
          <xdr:colOff>571500</xdr:colOff>
          <xdr:row>4</xdr:row>
          <xdr:rowOff>175260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0" i="0" u="none" strike="noStrike" baseline="0">
                  <a:solidFill>
                    <a:srgbClr val="000000"/>
                  </a:solidFill>
                  <a:latin typeface="Yu Gothic"/>
                  <a:ea typeface="Yu Gothic"/>
                </a:rPr>
                <a:t>集計</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hyperlink" Target="https://site-a.m-sha.co.jp/"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28EC62-6D75-4E9D-B77E-7094BE41A7A1}">
  <sheetPr codeName="Sheet2"/>
  <dimension ref="A1:F1"/>
  <sheetViews>
    <sheetView topLeftCell="D1" workbookViewId="0">
      <selection activeCell="G14" sqref="G14"/>
    </sheetView>
  </sheetViews>
  <sheetFormatPr defaultRowHeight="18"/>
  <cols>
    <col min="2" max="3" width="9" style="2"/>
  </cols>
  <sheetData>
    <row r="1" spans="1:6">
      <c r="A1" t="s">
        <v>11</v>
      </c>
      <c r="B1" s="2" t="s">
        <v>7</v>
      </c>
      <c r="C1" s="2" t="s">
        <v>8</v>
      </c>
      <c r="D1" t="s">
        <v>9</v>
      </c>
      <c r="E1" t="s">
        <v>5</v>
      </c>
      <c r="F1" t="s">
        <v>10</v>
      </c>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AddSheetWithSerialNumber">
                <anchor moveWithCells="1" sizeWithCells="1">
                  <from>
                    <xdr:col>13</xdr:col>
                    <xdr:colOff>144780</xdr:colOff>
                    <xdr:row>1</xdr:row>
                    <xdr:rowOff>38100</xdr:rowOff>
                  </from>
                  <to>
                    <xdr:col>14</xdr:col>
                    <xdr:colOff>594360</xdr:colOff>
                    <xdr:row>2</xdr:row>
                    <xdr:rowOff>114300</xdr:rowOff>
                  </to>
                </anchor>
              </controlPr>
            </control>
          </mc:Choice>
        </mc:AlternateContent>
        <mc:AlternateContent xmlns:mc="http://schemas.openxmlformats.org/markup-compatibility/2006">
          <mc:Choice Requires="x14">
            <control shapeId="1026" r:id="rId4" name="Button 2">
              <controlPr defaultSize="0" print="0" autoFill="0" autoPict="0" macro="[0]!GetInformationArchive">
                <anchor moveWithCells="1" sizeWithCells="1">
                  <from>
                    <xdr:col>13</xdr:col>
                    <xdr:colOff>198120</xdr:colOff>
                    <xdr:row>3</xdr:row>
                    <xdr:rowOff>106680</xdr:rowOff>
                  </from>
                  <to>
                    <xdr:col>14</xdr:col>
                    <xdr:colOff>571500</xdr:colOff>
                    <xdr:row>4</xdr:row>
                    <xdr:rowOff>175260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99978A-10F6-4DA3-9F55-46A14E19160E}">
  <sheetPr codeName="Sheet3"/>
  <dimension ref="A1:E167"/>
  <sheetViews>
    <sheetView zoomScale="85" zoomScaleNormal="85" workbookViewId="0">
      <pane xSplit="1" ySplit="3" topLeftCell="B4" activePane="bottomRight" state="frozen"/>
      <selection pane="topRight" activeCell="B1" sqref="B1"/>
      <selection pane="bottomLeft" activeCell="A4" sqref="A4"/>
      <selection pane="bottomRight" activeCell="B12" sqref="B12"/>
    </sheetView>
  </sheetViews>
  <sheetFormatPr defaultRowHeight="18"/>
  <cols>
    <col min="1" max="1" width="8.69921875" style="2"/>
    <col min="2" max="2" width="96.8984375" style="1" customWidth="1"/>
    <col min="3" max="3" width="9.69921875" customWidth="1"/>
  </cols>
  <sheetData>
    <row r="1" spans="1:5">
      <c r="A1" s="2" t="s">
        <v>0</v>
      </c>
    </row>
    <row r="2" spans="1:5">
      <c r="A2" s="2" t="s">
        <v>2</v>
      </c>
      <c r="B2" s="3"/>
      <c r="D2">
        <f>SUM(D4:D1000)</f>
        <v>0</v>
      </c>
      <c r="E2">
        <f>SUM(E4:E1000)</f>
        <v>0</v>
      </c>
    </row>
    <row r="3" spans="1:5">
      <c r="A3" s="2" t="s">
        <v>1</v>
      </c>
      <c r="B3" s="1" t="s">
        <v>3</v>
      </c>
      <c r="C3" t="s">
        <v>6</v>
      </c>
      <c r="D3" t="s">
        <v>4</v>
      </c>
      <c r="E3" t="s">
        <v>5</v>
      </c>
    </row>
    <row r="4" spans="1:5">
      <c r="C4" t="str">
        <f>IF(B4&lt;&gt;"",LEN(B4),"")</f>
        <v/>
      </c>
    </row>
    <row r="5" spans="1:5">
      <c r="C5" t="str">
        <f t="shared" ref="C5:C68" si="0">IF(B5&lt;&gt;"",LEN(B5),"")</f>
        <v/>
      </c>
    </row>
    <row r="6" spans="1:5">
      <c r="C6" t="str">
        <f t="shared" si="0"/>
        <v/>
      </c>
    </row>
    <row r="7" spans="1:5">
      <c r="C7" t="str">
        <f t="shared" si="0"/>
        <v/>
      </c>
    </row>
    <row r="8" spans="1:5">
      <c r="C8" t="str">
        <f t="shared" si="0"/>
        <v/>
      </c>
    </row>
    <row r="9" spans="1:5">
      <c r="C9" t="str">
        <f t="shared" si="0"/>
        <v/>
      </c>
    </row>
    <row r="10" spans="1:5">
      <c r="C10" t="str">
        <f t="shared" si="0"/>
        <v/>
      </c>
    </row>
    <row r="11" spans="1:5">
      <c r="C11" t="str">
        <f t="shared" si="0"/>
        <v/>
      </c>
    </row>
    <row r="12" spans="1:5">
      <c r="C12" t="str">
        <f t="shared" si="0"/>
        <v/>
      </c>
    </row>
    <row r="13" spans="1:5">
      <c r="C13" t="str">
        <f t="shared" si="0"/>
        <v/>
      </c>
    </row>
    <row r="14" spans="1:5">
      <c r="C14" t="str">
        <f t="shared" si="0"/>
        <v/>
      </c>
    </row>
    <row r="15" spans="1:5">
      <c r="C15" t="str">
        <f t="shared" si="0"/>
        <v/>
      </c>
    </row>
    <row r="16" spans="1:5">
      <c r="C16" t="str">
        <f t="shared" si="0"/>
        <v/>
      </c>
    </row>
    <row r="17" spans="3:3">
      <c r="C17" t="str">
        <f t="shared" si="0"/>
        <v/>
      </c>
    </row>
    <row r="18" spans="3:3">
      <c r="C18" t="str">
        <f t="shared" si="0"/>
        <v/>
      </c>
    </row>
    <row r="19" spans="3:3">
      <c r="C19" t="str">
        <f t="shared" si="0"/>
        <v/>
      </c>
    </row>
    <row r="20" spans="3:3">
      <c r="C20" t="str">
        <f t="shared" si="0"/>
        <v/>
      </c>
    </row>
    <row r="21" spans="3:3">
      <c r="C21" t="str">
        <f t="shared" si="0"/>
        <v/>
      </c>
    </row>
    <row r="22" spans="3:3">
      <c r="C22" t="str">
        <f t="shared" si="0"/>
        <v/>
      </c>
    </row>
    <row r="23" spans="3:3">
      <c r="C23" t="str">
        <f t="shared" si="0"/>
        <v/>
      </c>
    </row>
    <row r="24" spans="3:3">
      <c r="C24" t="str">
        <f t="shared" si="0"/>
        <v/>
      </c>
    </row>
    <row r="25" spans="3:3">
      <c r="C25" t="str">
        <f t="shared" si="0"/>
        <v/>
      </c>
    </row>
    <row r="26" spans="3:3">
      <c r="C26" t="str">
        <f t="shared" si="0"/>
        <v/>
      </c>
    </row>
    <row r="27" spans="3:3">
      <c r="C27" t="str">
        <f t="shared" si="0"/>
        <v/>
      </c>
    </row>
    <row r="28" spans="3:3">
      <c r="C28" t="str">
        <f t="shared" si="0"/>
        <v/>
      </c>
    </row>
    <row r="29" spans="3:3">
      <c r="C29" t="str">
        <f t="shared" si="0"/>
        <v/>
      </c>
    </row>
    <row r="30" spans="3:3">
      <c r="C30" t="str">
        <f t="shared" si="0"/>
        <v/>
      </c>
    </row>
    <row r="31" spans="3:3">
      <c r="C31" t="str">
        <f t="shared" si="0"/>
        <v/>
      </c>
    </row>
    <row r="32" spans="3: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1">IF(B69&lt;&gt;"",LEN(B69),"")</f>
        <v/>
      </c>
    </row>
    <row r="70" spans="3:3">
      <c r="C70" t="str">
        <f t="shared" si="1"/>
        <v/>
      </c>
    </row>
    <row r="71" spans="3:3">
      <c r="C71" t="str">
        <f t="shared" si="1"/>
        <v/>
      </c>
    </row>
    <row r="72" spans="3:3">
      <c r="C72" t="str">
        <f t="shared" si="1"/>
        <v/>
      </c>
    </row>
    <row r="73" spans="3:3">
      <c r="C73" t="str">
        <f t="shared" si="1"/>
        <v/>
      </c>
    </row>
    <row r="74" spans="3:3">
      <c r="C74" t="str">
        <f t="shared" si="1"/>
        <v/>
      </c>
    </row>
    <row r="75" spans="3:3">
      <c r="C75" t="str">
        <f t="shared" si="1"/>
        <v/>
      </c>
    </row>
    <row r="76" spans="3:3">
      <c r="C76" t="str">
        <f t="shared" si="1"/>
        <v/>
      </c>
    </row>
    <row r="77" spans="3:3">
      <c r="C77" t="str">
        <f t="shared" si="1"/>
        <v/>
      </c>
    </row>
    <row r="78" spans="3:3">
      <c r="C78" t="str">
        <f t="shared" si="1"/>
        <v/>
      </c>
    </row>
    <row r="79" spans="3:3">
      <c r="C79" t="str">
        <f t="shared" si="1"/>
        <v/>
      </c>
    </row>
    <row r="80" spans="3:3">
      <c r="C80" t="str">
        <f t="shared" si="1"/>
        <v/>
      </c>
    </row>
    <row r="81" spans="3:3">
      <c r="C81" t="str">
        <f t="shared" si="1"/>
        <v/>
      </c>
    </row>
    <row r="82" spans="3:3">
      <c r="C82" t="str">
        <f t="shared" si="1"/>
        <v/>
      </c>
    </row>
    <row r="83" spans="3:3">
      <c r="C83" t="str">
        <f t="shared" si="1"/>
        <v/>
      </c>
    </row>
    <row r="84" spans="3:3">
      <c r="C84" t="str">
        <f t="shared" si="1"/>
        <v/>
      </c>
    </row>
    <row r="85" spans="3:3">
      <c r="C85" t="str">
        <f t="shared" si="1"/>
        <v/>
      </c>
    </row>
    <row r="86" spans="3:3">
      <c r="C86" t="str">
        <f t="shared" si="1"/>
        <v/>
      </c>
    </row>
    <row r="87" spans="3:3">
      <c r="C87" t="str">
        <f t="shared" si="1"/>
        <v/>
      </c>
    </row>
    <row r="88" spans="3:3">
      <c r="C88" t="str">
        <f t="shared" si="1"/>
        <v/>
      </c>
    </row>
    <row r="89" spans="3:3">
      <c r="C89" t="str">
        <f t="shared" si="1"/>
        <v/>
      </c>
    </row>
    <row r="90" spans="3:3">
      <c r="C90" t="str">
        <f t="shared" si="1"/>
        <v/>
      </c>
    </row>
    <row r="91" spans="3:3">
      <c r="C91" t="str">
        <f t="shared" si="1"/>
        <v/>
      </c>
    </row>
    <row r="92" spans="3:3">
      <c r="C92" t="str">
        <f t="shared" si="1"/>
        <v/>
      </c>
    </row>
    <row r="93" spans="3:3">
      <c r="C93" t="str">
        <f t="shared" si="1"/>
        <v/>
      </c>
    </row>
    <row r="94" spans="3:3">
      <c r="C94" t="str">
        <f t="shared" si="1"/>
        <v/>
      </c>
    </row>
    <row r="95" spans="3:3">
      <c r="C95" t="str">
        <f t="shared" si="1"/>
        <v/>
      </c>
    </row>
    <row r="96" spans="3:3">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2C16F-8ADF-45C0-95E3-5DA8B6C4F835}">
  <sheetPr codeName="Sheet4"/>
  <dimension ref="A1:I167"/>
  <sheetViews>
    <sheetView zoomScale="85" zoomScaleNormal="85" workbookViewId="0">
      <pane xSplit="1" ySplit="3" topLeftCell="B4" activePane="bottomRight" state="frozen"/>
      <selection pane="topRight" activeCell="B1" sqref="B1"/>
      <selection pane="bottomLeft" activeCell="A4" sqref="A4"/>
      <selection pane="bottomRight" activeCell="H11" sqref="H11"/>
    </sheetView>
  </sheetViews>
  <sheetFormatPr defaultRowHeight="18"/>
  <cols>
    <col min="1" max="1" width="8.69921875" style="2"/>
    <col min="2" max="2" width="57.69921875" style="1" customWidth="1"/>
    <col min="3" max="3" width="9.69921875" customWidth="1"/>
  </cols>
  <sheetData>
    <row r="1" spans="1:9">
      <c r="A1" s="2" t="s">
        <v>0</v>
      </c>
      <c r="B1" s="1" t="s">
        <v>12</v>
      </c>
    </row>
    <row r="2" spans="1:9">
      <c r="A2" s="2" t="s">
        <v>2</v>
      </c>
      <c r="B2" s="3" t="s">
        <v>13</v>
      </c>
      <c r="D2">
        <f>SUM(D4:D1000)</f>
        <v>14</v>
      </c>
      <c r="E2">
        <f>SUM(E4:E1000)</f>
        <v>17</v>
      </c>
    </row>
    <row r="3" spans="1:9">
      <c r="A3" s="2" t="s">
        <v>1</v>
      </c>
      <c r="B3" s="1" t="s">
        <v>3</v>
      </c>
      <c r="C3" t="s">
        <v>6</v>
      </c>
      <c r="D3" t="s">
        <v>4</v>
      </c>
      <c r="E3" t="s">
        <v>5</v>
      </c>
    </row>
    <row r="4" spans="1:9">
      <c r="A4" s="2" t="s">
        <v>14</v>
      </c>
      <c r="B4" s="1" t="s">
        <v>15</v>
      </c>
      <c r="C4">
        <f>IF(B4&lt;&gt;"",LEN(B4),"")</f>
        <v>1</v>
      </c>
      <c r="D4">
        <v>1</v>
      </c>
      <c r="E4">
        <v>1</v>
      </c>
    </row>
    <row r="5" spans="1:9">
      <c r="A5" s="2" t="s">
        <v>16</v>
      </c>
      <c r="B5" s="1" t="s">
        <v>17</v>
      </c>
      <c r="C5">
        <f t="shared" ref="C5:C68" si="0">IF(B5&lt;&gt;"",LEN(B5),"")</f>
        <v>1</v>
      </c>
      <c r="D5">
        <v>1</v>
      </c>
      <c r="E5">
        <v>1</v>
      </c>
      <c r="H5">
        <v>3000</v>
      </c>
      <c r="I5">
        <v>50000</v>
      </c>
    </row>
    <row r="6" spans="1:9">
      <c r="A6" s="2" t="s">
        <v>18</v>
      </c>
      <c r="B6" s="1" t="s">
        <v>19</v>
      </c>
      <c r="C6">
        <f t="shared" si="0"/>
        <v>1</v>
      </c>
      <c r="D6">
        <v>1</v>
      </c>
      <c r="E6">
        <v>1</v>
      </c>
      <c r="H6">
        <v>60</v>
      </c>
      <c r="I6">
        <f>600*8</f>
        <v>4800</v>
      </c>
    </row>
    <row r="7" spans="1:9">
      <c r="A7" s="2" t="s">
        <v>21</v>
      </c>
      <c r="B7" s="1" t="s">
        <v>20</v>
      </c>
      <c r="C7">
        <f t="shared" si="0"/>
        <v>1</v>
      </c>
      <c r="D7">
        <v>1</v>
      </c>
      <c r="E7">
        <v>1</v>
      </c>
      <c r="H7">
        <v>6</v>
      </c>
      <c r="I7">
        <f>I5/I6</f>
        <v>10.416666666666666</v>
      </c>
    </row>
    <row r="8" spans="1:9">
      <c r="A8" s="2" t="s">
        <v>22</v>
      </c>
      <c r="B8" s="1" t="s">
        <v>15</v>
      </c>
      <c r="C8">
        <f t="shared" si="0"/>
        <v>1</v>
      </c>
      <c r="D8">
        <v>1</v>
      </c>
      <c r="E8">
        <v>1</v>
      </c>
    </row>
    <row r="9" spans="1:9">
      <c r="A9" s="2" t="s">
        <v>23</v>
      </c>
      <c r="B9" s="1" t="s">
        <v>15</v>
      </c>
      <c r="C9">
        <f t="shared" si="0"/>
        <v>1</v>
      </c>
      <c r="D9">
        <v>1</v>
      </c>
      <c r="E9">
        <v>1</v>
      </c>
    </row>
    <row r="10" spans="1:9">
      <c r="A10" s="2" t="s">
        <v>24</v>
      </c>
      <c r="B10" s="1" t="s">
        <v>17</v>
      </c>
      <c r="C10">
        <f t="shared" si="0"/>
        <v>1</v>
      </c>
      <c r="D10">
        <v>0</v>
      </c>
      <c r="E10">
        <v>1</v>
      </c>
    </row>
    <row r="11" spans="1:9">
      <c r="A11" s="2" t="s">
        <v>25</v>
      </c>
      <c r="B11" s="1" t="s">
        <v>15</v>
      </c>
      <c r="C11">
        <f t="shared" si="0"/>
        <v>1</v>
      </c>
      <c r="D11">
        <v>1</v>
      </c>
      <c r="E11">
        <v>1</v>
      </c>
    </row>
    <row r="12" spans="1:9">
      <c r="A12" s="2" t="s">
        <v>26</v>
      </c>
      <c r="B12" s="1" t="s">
        <v>17</v>
      </c>
      <c r="C12">
        <f t="shared" si="0"/>
        <v>1</v>
      </c>
      <c r="D12">
        <v>1</v>
      </c>
      <c r="E12">
        <v>1</v>
      </c>
    </row>
    <row r="13" spans="1:9">
      <c r="A13" s="2" t="s">
        <v>27</v>
      </c>
      <c r="B13" s="1" t="s">
        <v>19</v>
      </c>
      <c r="C13">
        <f t="shared" si="0"/>
        <v>1</v>
      </c>
      <c r="D13">
        <v>1</v>
      </c>
      <c r="E13">
        <v>1</v>
      </c>
    </row>
    <row r="14" spans="1:9">
      <c r="A14" s="2" t="s">
        <v>28</v>
      </c>
      <c r="B14" s="1" t="s">
        <v>15</v>
      </c>
      <c r="C14">
        <f t="shared" si="0"/>
        <v>1</v>
      </c>
      <c r="D14">
        <v>0</v>
      </c>
      <c r="E14">
        <v>1</v>
      </c>
    </row>
    <row r="15" spans="1:9">
      <c r="A15" s="2" t="s">
        <v>29</v>
      </c>
      <c r="B15" s="1" t="s">
        <v>17</v>
      </c>
      <c r="C15">
        <f t="shared" si="0"/>
        <v>1</v>
      </c>
      <c r="D15">
        <v>1</v>
      </c>
      <c r="E15">
        <v>1</v>
      </c>
    </row>
    <row r="16" spans="1:9">
      <c r="A16" s="2" t="s">
        <v>30</v>
      </c>
      <c r="B16" s="1" t="s">
        <v>19</v>
      </c>
      <c r="C16">
        <f t="shared" si="0"/>
        <v>1</v>
      </c>
      <c r="D16">
        <v>0</v>
      </c>
      <c r="E16">
        <v>1</v>
      </c>
    </row>
    <row r="17" spans="1:5">
      <c r="A17" s="2" t="s">
        <v>31</v>
      </c>
      <c r="B17" s="1" t="s">
        <v>19</v>
      </c>
      <c r="C17">
        <f t="shared" si="0"/>
        <v>1</v>
      </c>
      <c r="D17">
        <v>1</v>
      </c>
      <c r="E17">
        <v>1</v>
      </c>
    </row>
    <row r="18" spans="1:5">
      <c r="A18" s="2" t="s">
        <v>32</v>
      </c>
      <c r="B18" s="1" t="s">
        <v>20</v>
      </c>
      <c r="C18">
        <f t="shared" si="0"/>
        <v>1</v>
      </c>
      <c r="D18">
        <v>1</v>
      </c>
      <c r="E18">
        <v>1</v>
      </c>
    </row>
    <row r="19" spans="1:5">
      <c r="A19" s="2" t="s">
        <v>33</v>
      </c>
      <c r="B19" s="1" t="s">
        <v>17</v>
      </c>
      <c r="C19">
        <f t="shared" si="0"/>
        <v>1</v>
      </c>
      <c r="D19">
        <v>1</v>
      </c>
      <c r="E19">
        <v>1</v>
      </c>
    </row>
    <row r="20" spans="1:5">
      <c r="A20" s="2" t="s">
        <v>34</v>
      </c>
      <c r="B20" s="1" t="s">
        <v>17</v>
      </c>
      <c r="C20">
        <f t="shared" si="0"/>
        <v>1</v>
      </c>
      <c r="D20">
        <v>1</v>
      </c>
      <c r="E20">
        <v>1</v>
      </c>
    </row>
    <row r="21" spans="1:5">
      <c r="C21" t="str">
        <f t="shared" si="0"/>
        <v/>
      </c>
    </row>
    <row r="22" spans="1:5">
      <c r="C22" t="str">
        <f t="shared" si="0"/>
        <v/>
      </c>
    </row>
    <row r="23" spans="1:5">
      <c r="C23" t="str">
        <f t="shared" si="0"/>
        <v/>
      </c>
    </row>
    <row r="24" spans="1:5">
      <c r="C24" t="str">
        <f t="shared" si="0"/>
        <v/>
      </c>
    </row>
    <row r="25" spans="1:5">
      <c r="C25" t="str">
        <f t="shared" si="0"/>
        <v/>
      </c>
    </row>
    <row r="26" spans="1:5">
      <c r="C26" t="str">
        <f t="shared" si="0"/>
        <v/>
      </c>
    </row>
    <row r="27" spans="1:5">
      <c r="C27" t="str">
        <f t="shared" si="0"/>
        <v/>
      </c>
    </row>
    <row r="28" spans="1:5">
      <c r="C28" t="str">
        <f t="shared" si="0"/>
        <v/>
      </c>
    </row>
    <row r="29" spans="1:5">
      <c r="C29" t="str">
        <f t="shared" si="0"/>
        <v/>
      </c>
    </row>
    <row r="30" spans="1:5">
      <c r="C30" t="str">
        <f t="shared" si="0"/>
        <v/>
      </c>
    </row>
    <row r="31" spans="1:5">
      <c r="C31" t="str">
        <f t="shared" si="0"/>
        <v/>
      </c>
    </row>
    <row r="32" spans="1:5">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1">IF(B69&lt;&gt;"",LEN(B69),"")</f>
        <v/>
      </c>
    </row>
    <row r="70" spans="3:3">
      <c r="C70" t="str">
        <f t="shared" si="1"/>
        <v/>
      </c>
    </row>
    <row r="71" spans="3:3">
      <c r="C71" t="str">
        <f t="shared" si="1"/>
        <v/>
      </c>
    </row>
    <row r="72" spans="3:3">
      <c r="C72" t="str">
        <f t="shared" si="1"/>
        <v/>
      </c>
    </row>
    <row r="73" spans="3:3">
      <c r="C73" t="str">
        <f t="shared" si="1"/>
        <v/>
      </c>
    </row>
    <row r="74" spans="3:3">
      <c r="C74" t="str">
        <f t="shared" si="1"/>
        <v/>
      </c>
    </row>
    <row r="75" spans="3:3">
      <c r="C75" t="str">
        <f t="shared" si="1"/>
        <v/>
      </c>
    </row>
    <row r="76" spans="3:3">
      <c r="C76" t="str">
        <f t="shared" si="1"/>
        <v/>
      </c>
    </row>
    <row r="77" spans="3:3">
      <c r="C77" t="str">
        <f t="shared" si="1"/>
        <v/>
      </c>
    </row>
    <row r="78" spans="3:3">
      <c r="C78" t="str">
        <f t="shared" si="1"/>
        <v/>
      </c>
    </row>
    <row r="79" spans="3:3">
      <c r="C79" t="str">
        <f t="shared" si="1"/>
        <v/>
      </c>
    </row>
    <row r="80" spans="3:3">
      <c r="C80" t="str">
        <f t="shared" si="1"/>
        <v/>
      </c>
    </row>
    <row r="81" spans="3:3">
      <c r="C81" t="str">
        <f t="shared" si="1"/>
        <v/>
      </c>
    </row>
    <row r="82" spans="3:3">
      <c r="C82" t="str">
        <f t="shared" si="1"/>
        <v/>
      </c>
    </row>
    <row r="83" spans="3:3">
      <c r="C83" t="str">
        <f t="shared" si="1"/>
        <v/>
      </c>
    </row>
    <row r="84" spans="3:3">
      <c r="C84" t="str">
        <f t="shared" si="1"/>
        <v/>
      </c>
    </row>
    <row r="85" spans="3:3">
      <c r="C85" t="str">
        <f t="shared" si="1"/>
        <v/>
      </c>
    </row>
    <row r="86" spans="3:3">
      <c r="C86" t="str">
        <f t="shared" si="1"/>
        <v/>
      </c>
    </row>
    <row r="87" spans="3:3">
      <c r="C87" t="str">
        <f t="shared" si="1"/>
        <v/>
      </c>
    </row>
    <row r="88" spans="3:3">
      <c r="C88" t="str">
        <f t="shared" si="1"/>
        <v/>
      </c>
    </row>
    <row r="89" spans="3:3">
      <c r="C89" t="str">
        <f t="shared" si="1"/>
        <v/>
      </c>
    </row>
    <row r="90" spans="3:3">
      <c r="C90" t="str">
        <f t="shared" si="1"/>
        <v/>
      </c>
    </row>
    <row r="91" spans="3:3">
      <c r="C91" t="str">
        <f t="shared" si="1"/>
        <v/>
      </c>
    </row>
    <row r="92" spans="3:3">
      <c r="C92" t="str">
        <f t="shared" si="1"/>
        <v/>
      </c>
    </row>
    <row r="93" spans="3:3">
      <c r="C93" t="str">
        <f t="shared" si="1"/>
        <v/>
      </c>
    </row>
    <row r="94" spans="3:3">
      <c r="C94" t="str">
        <f t="shared" si="1"/>
        <v/>
      </c>
    </row>
    <row r="95" spans="3:3">
      <c r="C95" t="str">
        <f t="shared" si="1"/>
        <v/>
      </c>
    </row>
    <row r="96" spans="3:3">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dataValidations count="1">
    <dataValidation type="list" allowBlank="1" showInputMessage="1" showErrorMessage="1" sqref="B4:B102" xr:uid="{3C643F86-E7BC-40CB-88C6-9AF20851DA18}">
      <formula1>"ア,イ,ウ,エ"</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037903-BC48-49F9-BC99-4A76ED27B2DB}">
  <sheetPr codeName="Sheet5"/>
  <dimension ref="A1:H167"/>
  <sheetViews>
    <sheetView zoomScale="115" zoomScaleNormal="115" workbookViewId="0">
      <pane xSplit="1" ySplit="3" topLeftCell="B89" activePane="bottomRight" state="frozen"/>
      <selection pane="topRight" activeCell="B1" sqref="B1"/>
      <selection pane="bottomLeft" activeCell="A4" sqref="A4"/>
      <selection pane="bottomRight" activeCell="B93" sqref="B93"/>
    </sheetView>
  </sheetViews>
  <sheetFormatPr defaultRowHeight="18"/>
  <cols>
    <col min="1" max="1" width="9" style="2"/>
    <col min="2" max="2" width="53" style="1" customWidth="1"/>
    <col min="3" max="3" width="9.69921875" customWidth="1"/>
  </cols>
  <sheetData>
    <row r="1" spans="1:5">
      <c r="A1" s="2" t="s">
        <v>0</v>
      </c>
      <c r="B1" s="1" t="s">
        <v>35</v>
      </c>
    </row>
    <row r="2" spans="1:5">
      <c r="A2" s="2" t="s">
        <v>2</v>
      </c>
      <c r="B2" s="3" t="s">
        <v>36</v>
      </c>
      <c r="D2">
        <f>SUM(D4:D1000)</f>
        <v>82</v>
      </c>
      <c r="E2">
        <f>SUM(E4:E1000)</f>
        <v>89</v>
      </c>
    </row>
    <row r="3" spans="1:5">
      <c r="A3" s="2" t="s">
        <v>1</v>
      </c>
      <c r="B3" s="1" t="s">
        <v>3</v>
      </c>
      <c r="C3" t="s">
        <v>6</v>
      </c>
      <c r="D3" t="s">
        <v>4</v>
      </c>
      <c r="E3" t="s">
        <v>5</v>
      </c>
    </row>
    <row r="4" spans="1:5">
      <c r="A4" s="2" t="s">
        <v>37</v>
      </c>
      <c r="B4" s="1" t="s">
        <v>38</v>
      </c>
      <c r="C4">
        <f>IF(B4&lt;&gt;"",LEN(B4),"")</f>
        <v>28</v>
      </c>
      <c r="D4">
        <v>1</v>
      </c>
      <c r="E4">
        <v>1</v>
      </c>
    </row>
    <row r="5" spans="1:5" ht="36">
      <c r="A5" s="2" t="s">
        <v>39</v>
      </c>
      <c r="B5" s="1" t="s">
        <v>40</v>
      </c>
      <c r="C5">
        <f t="shared" ref="C5:C68" si="0">IF(B5&lt;&gt;"",LEN(B5),"")</f>
        <v>46</v>
      </c>
      <c r="D5">
        <v>1</v>
      </c>
      <c r="E5">
        <v>1</v>
      </c>
    </row>
    <row r="6" spans="1:5" ht="54">
      <c r="A6" s="2" t="s">
        <v>41</v>
      </c>
      <c r="B6" s="1" t="s">
        <v>42</v>
      </c>
      <c r="C6">
        <f t="shared" si="0"/>
        <v>61</v>
      </c>
      <c r="D6">
        <v>1</v>
      </c>
      <c r="E6">
        <v>1</v>
      </c>
    </row>
    <row r="7" spans="1:5">
      <c r="A7" s="2" t="s">
        <v>43</v>
      </c>
      <c r="B7" s="1" t="s">
        <v>44</v>
      </c>
      <c r="C7">
        <f t="shared" si="0"/>
        <v>10</v>
      </c>
      <c r="D7">
        <v>1</v>
      </c>
      <c r="E7">
        <v>1</v>
      </c>
    </row>
    <row r="8" spans="1:5">
      <c r="A8" s="2" t="s">
        <v>45</v>
      </c>
      <c r="B8" s="1" t="s">
        <v>46</v>
      </c>
      <c r="C8">
        <f t="shared" si="0"/>
        <v>12</v>
      </c>
      <c r="D8">
        <v>1</v>
      </c>
      <c r="E8">
        <v>1</v>
      </c>
    </row>
    <row r="9" spans="1:5">
      <c r="B9" s="1" t="s">
        <v>47</v>
      </c>
      <c r="C9">
        <f t="shared" si="0"/>
        <v>19</v>
      </c>
      <c r="D9">
        <v>1</v>
      </c>
      <c r="E9">
        <v>1</v>
      </c>
    </row>
    <row r="10" spans="1:5" ht="36">
      <c r="B10" s="1" t="s">
        <v>48</v>
      </c>
      <c r="C10">
        <f t="shared" si="0"/>
        <v>43</v>
      </c>
      <c r="D10">
        <v>1</v>
      </c>
      <c r="E10">
        <v>1</v>
      </c>
    </row>
    <row r="11" spans="1:5">
      <c r="A11" s="2" t="s">
        <v>49</v>
      </c>
      <c r="B11" s="1" t="s">
        <v>50</v>
      </c>
      <c r="C11">
        <f t="shared" si="0"/>
        <v>32</v>
      </c>
      <c r="D11">
        <v>1</v>
      </c>
      <c r="E11">
        <v>1</v>
      </c>
    </row>
    <row r="12" spans="1:5">
      <c r="A12" s="2" t="s">
        <v>53</v>
      </c>
      <c r="B12" s="1" t="s">
        <v>51</v>
      </c>
      <c r="C12">
        <f t="shared" si="0"/>
        <v>14</v>
      </c>
      <c r="D12">
        <v>1</v>
      </c>
      <c r="E12">
        <v>1</v>
      </c>
    </row>
    <row r="13" spans="1:5">
      <c r="A13" s="2" t="s">
        <v>52</v>
      </c>
      <c r="B13" s="1" t="s">
        <v>54</v>
      </c>
      <c r="C13">
        <f t="shared" si="0"/>
        <v>29</v>
      </c>
      <c r="D13">
        <v>1</v>
      </c>
      <c r="E13">
        <v>1</v>
      </c>
    </row>
    <row r="14" spans="1:5">
      <c r="B14" s="1" t="s">
        <v>55</v>
      </c>
      <c r="C14">
        <f t="shared" si="0"/>
        <v>19</v>
      </c>
      <c r="D14">
        <v>1</v>
      </c>
      <c r="E14">
        <v>1</v>
      </c>
    </row>
    <row r="15" spans="1:5">
      <c r="A15" s="2" t="s">
        <v>56</v>
      </c>
      <c r="B15" s="1" t="s">
        <v>57</v>
      </c>
      <c r="C15">
        <f t="shared" si="0"/>
        <v>18</v>
      </c>
      <c r="D15">
        <v>1</v>
      </c>
      <c r="E15">
        <v>1</v>
      </c>
    </row>
    <row r="16" spans="1:5">
      <c r="A16" s="2" t="s">
        <v>58</v>
      </c>
      <c r="B16" s="1" t="s">
        <v>59</v>
      </c>
      <c r="C16">
        <f t="shared" si="0"/>
        <v>10</v>
      </c>
      <c r="D16">
        <v>1</v>
      </c>
      <c r="E16">
        <v>1</v>
      </c>
    </row>
    <row r="17" spans="1:8">
      <c r="B17" s="1" t="s">
        <v>60</v>
      </c>
      <c r="C17">
        <f t="shared" si="0"/>
        <v>8</v>
      </c>
      <c r="D17">
        <v>1</v>
      </c>
      <c r="E17">
        <v>1</v>
      </c>
    </row>
    <row r="18" spans="1:8">
      <c r="A18" s="2" t="s">
        <v>61</v>
      </c>
      <c r="B18" s="1" t="s">
        <v>62</v>
      </c>
      <c r="C18">
        <f t="shared" si="0"/>
        <v>26</v>
      </c>
      <c r="D18">
        <v>1</v>
      </c>
      <c r="E18">
        <v>1</v>
      </c>
    </row>
    <row r="19" spans="1:8" ht="36">
      <c r="A19" s="2" t="s">
        <v>63</v>
      </c>
      <c r="B19" s="1" t="s">
        <v>64</v>
      </c>
      <c r="C19">
        <f t="shared" si="0"/>
        <v>35</v>
      </c>
      <c r="D19">
        <v>1</v>
      </c>
      <c r="E19">
        <v>1</v>
      </c>
    </row>
    <row r="20" spans="1:8">
      <c r="A20" s="2" t="s">
        <v>65</v>
      </c>
      <c r="B20" s="1" t="s">
        <v>66</v>
      </c>
      <c r="C20">
        <f t="shared" si="0"/>
        <v>17</v>
      </c>
      <c r="D20">
        <v>1</v>
      </c>
      <c r="E20">
        <v>1</v>
      </c>
    </row>
    <row r="21" spans="1:8">
      <c r="A21" s="2" t="s">
        <v>67</v>
      </c>
      <c r="B21" s="1" t="s">
        <v>68</v>
      </c>
      <c r="C21">
        <f t="shared" si="0"/>
        <v>8</v>
      </c>
      <c r="D21">
        <v>1</v>
      </c>
      <c r="E21">
        <v>1</v>
      </c>
    </row>
    <row r="22" spans="1:8">
      <c r="A22" s="2" t="s">
        <v>69</v>
      </c>
      <c r="B22" s="1" t="s">
        <v>70</v>
      </c>
      <c r="C22">
        <f t="shared" si="0"/>
        <v>21</v>
      </c>
      <c r="D22">
        <v>1</v>
      </c>
      <c r="E22">
        <v>1</v>
      </c>
    </row>
    <row r="23" spans="1:8">
      <c r="A23" s="2" t="s">
        <v>71</v>
      </c>
      <c r="B23" s="1" t="s">
        <v>72</v>
      </c>
      <c r="C23">
        <f t="shared" si="0"/>
        <v>23</v>
      </c>
      <c r="D23">
        <v>1</v>
      </c>
      <c r="E23">
        <v>1</v>
      </c>
    </row>
    <row r="24" spans="1:8">
      <c r="A24" s="2" t="s">
        <v>73</v>
      </c>
      <c r="B24" s="1" t="s">
        <v>74</v>
      </c>
      <c r="C24">
        <f t="shared" si="0"/>
        <v>14</v>
      </c>
      <c r="D24">
        <v>1</v>
      </c>
      <c r="E24">
        <v>1</v>
      </c>
    </row>
    <row r="25" spans="1:8">
      <c r="B25" s="1" t="s">
        <v>75</v>
      </c>
      <c r="C25">
        <f t="shared" si="0"/>
        <v>5</v>
      </c>
      <c r="D25">
        <v>1</v>
      </c>
      <c r="E25">
        <v>1</v>
      </c>
    </row>
    <row r="26" spans="1:8">
      <c r="A26" s="2" t="s">
        <v>76</v>
      </c>
      <c r="B26" s="1" t="s">
        <v>77</v>
      </c>
      <c r="C26">
        <f t="shared" si="0"/>
        <v>13</v>
      </c>
      <c r="D26">
        <v>1</v>
      </c>
      <c r="E26">
        <v>1</v>
      </c>
    </row>
    <row r="27" spans="1:8" ht="36">
      <c r="A27" s="2" t="s">
        <v>78</v>
      </c>
      <c r="B27" s="1" t="s">
        <v>79</v>
      </c>
      <c r="C27">
        <f t="shared" si="0"/>
        <v>48</v>
      </c>
      <c r="D27">
        <v>1</v>
      </c>
      <c r="E27">
        <v>1</v>
      </c>
      <c r="H27" t="s">
        <v>90</v>
      </c>
    </row>
    <row r="28" spans="1:8">
      <c r="A28" s="2" t="s">
        <v>80</v>
      </c>
      <c r="B28" s="1" t="s">
        <v>83</v>
      </c>
      <c r="C28">
        <f t="shared" si="0"/>
        <v>5</v>
      </c>
      <c r="D28">
        <v>1</v>
      </c>
      <c r="E28">
        <v>1</v>
      </c>
    </row>
    <row r="29" spans="1:8">
      <c r="B29" s="1" t="s">
        <v>81</v>
      </c>
      <c r="C29">
        <f t="shared" si="0"/>
        <v>20</v>
      </c>
      <c r="D29">
        <v>1</v>
      </c>
      <c r="E29">
        <v>1</v>
      </c>
    </row>
    <row r="30" spans="1:8">
      <c r="B30" s="1" t="s">
        <v>82</v>
      </c>
      <c r="C30">
        <f t="shared" si="0"/>
        <v>5</v>
      </c>
      <c r="D30">
        <v>1</v>
      </c>
      <c r="E30">
        <v>1</v>
      </c>
    </row>
    <row r="31" spans="1:8">
      <c r="B31" s="1" t="s">
        <v>84</v>
      </c>
      <c r="C31">
        <f t="shared" si="0"/>
        <v>22</v>
      </c>
      <c r="D31">
        <v>1</v>
      </c>
      <c r="E31">
        <v>1</v>
      </c>
    </row>
    <row r="32" spans="1:8" ht="36">
      <c r="A32" s="2" t="s">
        <v>85</v>
      </c>
      <c r="B32" s="1" t="s">
        <v>86</v>
      </c>
      <c r="C32">
        <f t="shared" si="0"/>
        <v>30</v>
      </c>
      <c r="D32">
        <v>1</v>
      </c>
      <c r="E32">
        <v>1</v>
      </c>
    </row>
    <row r="33" spans="1:5">
      <c r="A33" s="2" t="s">
        <v>87</v>
      </c>
      <c r="B33" s="1" t="s">
        <v>88</v>
      </c>
      <c r="C33">
        <f t="shared" si="0"/>
        <v>22</v>
      </c>
      <c r="D33">
        <v>1</v>
      </c>
      <c r="E33">
        <v>1</v>
      </c>
    </row>
    <row r="34" spans="1:5">
      <c r="A34" s="2" t="s">
        <v>89</v>
      </c>
      <c r="B34" s="1" t="s">
        <v>91</v>
      </c>
      <c r="C34">
        <f t="shared" si="0"/>
        <v>27</v>
      </c>
      <c r="E34">
        <v>1</v>
      </c>
    </row>
    <row r="35" spans="1:5" ht="36">
      <c r="A35" s="2" t="s">
        <v>92</v>
      </c>
      <c r="B35" s="1" t="s">
        <v>93</v>
      </c>
      <c r="C35">
        <f t="shared" si="0"/>
        <v>36</v>
      </c>
      <c r="D35">
        <v>1</v>
      </c>
      <c r="E35">
        <v>1</v>
      </c>
    </row>
    <row r="36" spans="1:5">
      <c r="A36" s="2" t="s">
        <v>94</v>
      </c>
      <c r="B36" s="1" t="s">
        <v>95</v>
      </c>
      <c r="C36">
        <f t="shared" si="0"/>
        <v>18</v>
      </c>
      <c r="D36">
        <v>1</v>
      </c>
      <c r="E36">
        <v>1</v>
      </c>
    </row>
    <row r="37" spans="1:5">
      <c r="A37" s="2" t="s">
        <v>96</v>
      </c>
      <c r="B37" s="1" t="s">
        <v>97</v>
      </c>
      <c r="C37">
        <f t="shared" si="0"/>
        <v>21</v>
      </c>
      <c r="D37">
        <v>1</v>
      </c>
      <c r="E37">
        <v>1</v>
      </c>
    </row>
    <row r="38" spans="1:5" ht="36">
      <c r="A38" s="2" t="s">
        <v>98</v>
      </c>
      <c r="B38" s="1" t="s">
        <v>99</v>
      </c>
      <c r="C38">
        <f t="shared" si="0"/>
        <v>42</v>
      </c>
      <c r="D38">
        <v>1</v>
      </c>
      <c r="E38">
        <v>1</v>
      </c>
    </row>
    <row r="39" spans="1:5">
      <c r="A39" s="2" t="s">
        <v>100</v>
      </c>
      <c r="B39" s="1">
        <v>6</v>
      </c>
      <c r="C39">
        <f t="shared" si="0"/>
        <v>1</v>
      </c>
      <c r="D39">
        <v>1</v>
      </c>
      <c r="E39">
        <v>1</v>
      </c>
    </row>
    <row r="40" spans="1:5">
      <c r="A40" s="2" t="s">
        <v>101</v>
      </c>
      <c r="B40" s="1" t="s">
        <v>102</v>
      </c>
      <c r="C40">
        <f t="shared" si="0"/>
        <v>8</v>
      </c>
      <c r="D40">
        <v>1</v>
      </c>
      <c r="E40">
        <v>1</v>
      </c>
    </row>
    <row r="41" spans="1:5" ht="36">
      <c r="B41" s="1" t="s">
        <v>103</v>
      </c>
      <c r="C41">
        <f t="shared" si="0"/>
        <v>40</v>
      </c>
      <c r="D41">
        <v>1</v>
      </c>
      <c r="E41">
        <v>1</v>
      </c>
    </row>
    <row r="42" spans="1:5">
      <c r="A42" s="2" t="s">
        <v>104</v>
      </c>
      <c r="B42" s="1" t="s">
        <v>105</v>
      </c>
      <c r="C42">
        <f t="shared" si="0"/>
        <v>8</v>
      </c>
      <c r="D42">
        <v>1</v>
      </c>
      <c r="E42">
        <v>1</v>
      </c>
    </row>
    <row r="43" spans="1:5" ht="36">
      <c r="A43" s="2" t="s">
        <v>106</v>
      </c>
      <c r="B43" s="1" t="s">
        <v>107</v>
      </c>
      <c r="C43">
        <f t="shared" si="0"/>
        <v>45</v>
      </c>
      <c r="D43">
        <v>1</v>
      </c>
      <c r="E43">
        <v>1</v>
      </c>
    </row>
    <row r="44" spans="1:5">
      <c r="A44" s="2" t="s">
        <v>108</v>
      </c>
      <c r="B44" s="1" t="s">
        <v>109</v>
      </c>
      <c r="C44">
        <f t="shared" si="0"/>
        <v>4</v>
      </c>
      <c r="D44">
        <v>1</v>
      </c>
      <c r="E44">
        <v>1</v>
      </c>
    </row>
    <row r="45" spans="1:5">
      <c r="A45" s="2" t="s">
        <v>110</v>
      </c>
      <c r="B45" s="1" t="s">
        <v>111</v>
      </c>
      <c r="C45">
        <f t="shared" si="0"/>
        <v>6</v>
      </c>
      <c r="D45">
        <v>1</v>
      </c>
      <c r="E45">
        <v>1</v>
      </c>
    </row>
    <row r="46" spans="1:5">
      <c r="B46" s="1" t="s">
        <v>112</v>
      </c>
      <c r="C46">
        <f t="shared" si="0"/>
        <v>8</v>
      </c>
      <c r="D46">
        <v>1</v>
      </c>
      <c r="E46">
        <v>1</v>
      </c>
    </row>
    <row r="47" spans="1:5">
      <c r="B47" s="1" t="s">
        <v>113</v>
      </c>
      <c r="C47">
        <f t="shared" si="0"/>
        <v>4</v>
      </c>
      <c r="D47">
        <v>1</v>
      </c>
      <c r="E47">
        <v>1</v>
      </c>
    </row>
    <row r="48" spans="1:5">
      <c r="A48" s="2" t="s">
        <v>114</v>
      </c>
      <c r="B48" s="1" t="s">
        <v>115</v>
      </c>
      <c r="C48">
        <f t="shared" si="0"/>
        <v>14</v>
      </c>
      <c r="D48">
        <v>1</v>
      </c>
      <c r="E48">
        <v>1</v>
      </c>
    </row>
    <row r="49" spans="1:5" ht="36">
      <c r="A49" s="2" t="s">
        <v>116</v>
      </c>
      <c r="B49" s="1" t="s">
        <v>117</v>
      </c>
      <c r="C49">
        <f t="shared" si="0"/>
        <v>34</v>
      </c>
      <c r="D49">
        <v>1</v>
      </c>
      <c r="E49">
        <v>1</v>
      </c>
    </row>
    <row r="50" spans="1:5">
      <c r="A50" s="2" t="s">
        <v>118</v>
      </c>
      <c r="B50" s="1" t="s">
        <v>119</v>
      </c>
      <c r="C50">
        <f t="shared" si="0"/>
        <v>6</v>
      </c>
      <c r="D50">
        <v>1</v>
      </c>
      <c r="E50">
        <v>1</v>
      </c>
    </row>
    <row r="51" spans="1:5" ht="36">
      <c r="A51" s="2" t="s">
        <v>120</v>
      </c>
      <c r="B51" s="1" t="s">
        <v>121</v>
      </c>
      <c r="C51">
        <f t="shared" si="0"/>
        <v>36</v>
      </c>
      <c r="D51">
        <v>0</v>
      </c>
      <c r="E51">
        <v>1</v>
      </c>
    </row>
    <row r="52" spans="1:5" ht="36">
      <c r="B52" s="1" t="s">
        <v>122</v>
      </c>
      <c r="C52">
        <f t="shared" si="0"/>
        <v>34</v>
      </c>
      <c r="D52">
        <v>1</v>
      </c>
      <c r="E52">
        <v>1</v>
      </c>
    </row>
    <row r="53" spans="1:5">
      <c r="A53" s="2" t="s">
        <v>123</v>
      </c>
      <c r="B53" s="1" t="s">
        <v>124</v>
      </c>
      <c r="C53">
        <f t="shared" si="0"/>
        <v>6</v>
      </c>
      <c r="D53">
        <v>1</v>
      </c>
      <c r="E53">
        <v>1</v>
      </c>
    </row>
    <row r="54" spans="1:5">
      <c r="B54" s="1" t="s">
        <v>125</v>
      </c>
      <c r="C54">
        <f t="shared" si="0"/>
        <v>23</v>
      </c>
      <c r="D54">
        <v>1</v>
      </c>
      <c r="E54">
        <v>1</v>
      </c>
    </row>
    <row r="55" spans="1:5">
      <c r="A55" s="2" t="s">
        <v>126</v>
      </c>
      <c r="B55" s="1" t="s">
        <v>127</v>
      </c>
      <c r="C55">
        <f t="shared" si="0"/>
        <v>14</v>
      </c>
      <c r="D55">
        <v>1</v>
      </c>
      <c r="E55">
        <v>1</v>
      </c>
    </row>
    <row r="56" spans="1:5">
      <c r="A56" s="2" t="s">
        <v>128</v>
      </c>
      <c r="B56" s="1" t="s">
        <v>129</v>
      </c>
      <c r="C56">
        <f t="shared" si="0"/>
        <v>26</v>
      </c>
      <c r="D56">
        <v>1</v>
      </c>
      <c r="E56">
        <v>1</v>
      </c>
    </row>
    <row r="57" spans="1:5">
      <c r="A57" s="2" t="s">
        <v>130</v>
      </c>
      <c r="B57" s="1" t="s">
        <v>131</v>
      </c>
      <c r="C57">
        <f t="shared" si="0"/>
        <v>2</v>
      </c>
      <c r="D57">
        <v>1</v>
      </c>
      <c r="E57">
        <v>1</v>
      </c>
    </row>
    <row r="58" spans="1:5">
      <c r="A58" s="2" t="s">
        <v>132</v>
      </c>
      <c r="B58" s="1" t="s">
        <v>133</v>
      </c>
      <c r="C58">
        <f t="shared" si="0"/>
        <v>7</v>
      </c>
      <c r="D58">
        <v>0</v>
      </c>
      <c r="E58">
        <v>1</v>
      </c>
    </row>
    <row r="59" spans="1:5">
      <c r="A59" s="2" t="s">
        <v>134</v>
      </c>
      <c r="B59" s="1" t="s">
        <v>135</v>
      </c>
      <c r="C59">
        <f t="shared" si="0"/>
        <v>24</v>
      </c>
      <c r="D59">
        <v>1</v>
      </c>
      <c r="E59">
        <v>1</v>
      </c>
    </row>
    <row r="60" spans="1:5">
      <c r="A60" s="2" t="s">
        <v>136</v>
      </c>
      <c r="B60" s="1" t="s">
        <v>137</v>
      </c>
      <c r="C60">
        <f t="shared" si="0"/>
        <v>28</v>
      </c>
      <c r="D60">
        <v>0</v>
      </c>
      <c r="E60">
        <v>1</v>
      </c>
    </row>
    <row r="61" spans="1:5">
      <c r="A61" s="2" t="s">
        <v>138</v>
      </c>
      <c r="B61" s="1" t="s">
        <v>139</v>
      </c>
      <c r="C61">
        <f t="shared" si="0"/>
        <v>22</v>
      </c>
      <c r="D61">
        <v>1</v>
      </c>
      <c r="E61">
        <v>1</v>
      </c>
    </row>
    <row r="62" spans="1:5" ht="36">
      <c r="A62" s="2" t="s">
        <v>140</v>
      </c>
      <c r="B62" s="1" t="s">
        <v>141</v>
      </c>
      <c r="C62">
        <f t="shared" si="0"/>
        <v>45</v>
      </c>
      <c r="D62">
        <v>1</v>
      </c>
      <c r="E62">
        <v>1</v>
      </c>
    </row>
    <row r="63" spans="1:5">
      <c r="A63" s="2" t="s">
        <v>142</v>
      </c>
      <c r="B63" s="1" t="s">
        <v>143</v>
      </c>
      <c r="C63">
        <f t="shared" si="0"/>
        <v>12</v>
      </c>
      <c r="D63">
        <v>1</v>
      </c>
      <c r="E63">
        <v>1</v>
      </c>
    </row>
    <row r="64" spans="1:5">
      <c r="A64" s="2" t="s">
        <v>144</v>
      </c>
      <c r="B64" s="1" t="s">
        <v>145</v>
      </c>
      <c r="C64">
        <f t="shared" si="0"/>
        <v>10</v>
      </c>
      <c r="D64">
        <v>1</v>
      </c>
      <c r="E64">
        <v>1</v>
      </c>
    </row>
    <row r="65" spans="1:5">
      <c r="B65" s="1" t="s">
        <v>146</v>
      </c>
      <c r="C65">
        <f t="shared" si="0"/>
        <v>5</v>
      </c>
      <c r="D65">
        <v>1</v>
      </c>
      <c r="E65">
        <v>1</v>
      </c>
    </row>
    <row r="66" spans="1:5">
      <c r="B66" s="1" t="s">
        <v>147</v>
      </c>
      <c r="C66">
        <f t="shared" si="0"/>
        <v>5</v>
      </c>
      <c r="D66">
        <v>1</v>
      </c>
      <c r="E66">
        <v>1</v>
      </c>
    </row>
    <row r="67" spans="1:5" ht="36">
      <c r="A67" s="2" t="s">
        <v>148</v>
      </c>
      <c r="B67" s="1" t="s">
        <v>149</v>
      </c>
      <c r="C67">
        <f t="shared" si="0"/>
        <v>40</v>
      </c>
      <c r="D67">
        <v>1</v>
      </c>
      <c r="E67">
        <v>1</v>
      </c>
    </row>
    <row r="68" spans="1:5" ht="36">
      <c r="A68" s="2" t="s">
        <v>150</v>
      </c>
      <c r="B68" s="1" t="s">
        <v>151</v>
      </c>
      <c r="C68">
        <f t="shared" si="0"/>
        <v>34</v>
      </c>
      <c r="D68">
        <v>0</v>
      </c>
      <c r="E68">
        <v>1</v>
      </c>
    </row>
    <row r="69" spans="1:5">
      <c r="A69" s="2" t="s">
        <v>152</v>
      </c>
      <c r="B69" s="1" t="s">
        <v>153</v>
      </c>
      <c r="C69">
        <f t="shared" ref="C69:C132" si="1">IF(B69&lt;&gt;"",LEN(B69),"")</f>
        <v>7</v>
      </c>
      <c r="D69">
        <v>1</v>
      </c>
      <c r="E69">
        <v>1</v>
      </c>
    </row>
    <row r="70" spans="1:5">
      <c r="A70" s="2" t="s">
        <v>154</v>
      </c>
      <c r="B70" s="1" t="s">
        <v>155</v>
      </c>
      <c r="C70">
        <f t="shared" si="1"/>
        <v>7</v>
      </c>
      <c r="D70">
        <v>1</v>
      </c>
      <c r="E70">
        <v>1</v>
      </c>
    </row>
    <row r="71" spans="1:5">
      <c r="A71" s="2" t="s">
        <v>156</v>
      </c>
      <c r="B71" s="1" t="s">
        <v>157</v>
      </c>
      <c r="C71">
        <f t="shared" si="1"/>
        <v>8</v>
      </c>
      <c r="D71">
        <v>1</v>
      </c>
      <c r="E71">
        <v>1</v>
      </c>
    </row>
    <row r="72" spans="1:5">
      <c r="A72" s="2" t="s">
        <v>158</v>
      </c>
      <c r="B72" s="1" t="s">
        <v>159</v>
      </c>
      <c r="C72">
        <f t="shared" si="1"/>
        <v>4</v>
      </c>
      <c r="D72">
        <v>1</v>
      </c>
      <c r="E72">
        <v>1</v>
      </c>
    </row>
    <row r="73" spans="1:5">
      <c r="A73" s="2" t="s">
        <v>160</v>
      </c>
      <c r="B73" s="1" t="s">
        <v>161</v>
      </c>
      <c r="C73">
        <f t="shared" si="1"/>
        <v>5</v>
      </c>
      <c r="D73">
        <v>1</v>
      </c>
      <c r="E73">
        <v>1</v>
      </c>
    </row>
    <row r="74" spans="1:5">
      <c r="A74" s="2" t="s">
        <v>162</v>
      </c>
      <c r="B74" s="1" t="s">
        <v>163</v>
      </c>
      <c r="C74">
        <f t="shared" si="1"/>
        <v>26</v>
      </c>
      <c r="D74">
        <v>1</v>
      </c>
      <c r="E74">
        <v>1</v>
      </c>
    </row>
    <row r="75" spans="1:5">
      <c r="A75" s="2" t="s">
        <v>164</v>
      </c>
      <c r="B75" s="1" t="s">
        <v>165</v>
      </c>
      <c r="C75">
        <f t="shared" si="1"/>
        <v>16</v>
      </c>
      <c r="D75">
        <v>1</v>
      </c>
      <c r="E75">
        <v>1</v>
      </c>
    </row>
    <row r="76" spans="1:5">
      <c r="A76" s="2" t="s">
        <v>166</v>
      </c>
      <c r="B76" s="1" t="s">
        <v>167</v>
      </c>
      <c r="C76">
        <f t="shared" si="1"/>
        <v>6</v>
      </c>
      <c r="D76">
        <v>1</v>
      </c>
      <c r="E76">
        <v>1</v>
      </c>
    </row>
    <row r="77" spans="1:5">
      <c r="A77" s="2" t="s">
        <v>168</v>
      </c>
      <c r="B77" s="1" t="s">
        <v>169</v>
      </c>
      <c r="C77">
        <f t="shared" si="1"/>
        <v>8</v>
      </c>
      <c r="D77">
        <v>1</v>
      </c>
      <c r="E77">
        <v>1</v>
      </c>
    </row>
    <row r="78" spans="1:5">
      <c r="A78" s="2" t="s">
        <v>170</v>
      </c>
      <c r="B78" s="1" t="s">
        <v>171</v>
      </c>
      <c r="C78">
        <f t="shared" si="1"/>
        <v>9</v>
      </c>
      <c r="D78">
        <v>1</v>
      </c>
      <c r="E78">
        <v>1</v>
      </c>
    </row>
    <row r="79" spans="1:5">
      <c r="B79" s="1" t="s">
        <v>172</v>
      </c>
      <c r="C79">
        <f t="shared" si="1"/>
        <v>5</v>
      </c>
      <c r="D79">
        <v>1</v>
      </c>
      <c r="E79">
        <v>1</v>
      </c>
    </row>
    <row r="80" spans="1:5">
      <c r="A80" s="2" t="s">
        <v>173</v>
      </c>
      <c r="B80" s="1" t="s">
        <v>174</v>
      </c>
      <c r="C80">
        <f t="shared" si="1"/>
        <v>9</v>
      </c>
      <c r="D80">
        <v>1</v>
      </c>
      <c r="E80">
        <v>1</v>
      </c>
    </row>
    <row r="81" spans="1:5">
      <c r="B81" s="1" t="s">
        <v>175</v>
      </c>
      <c r="C81">
        <f t="shared" si="1"/>
        <v>4</v>
      </c>
      <c r="D81">
        <v>1</v>
      </c>
      <c r="E81">
        <v>1</v>
      </c>
    </row>
    <row r="82" spans="1:5">
      <c r="A82" s="2" t="s">
        <v>176</v>
      </c>
      <c r="B82" s="1" t="s">
        <v>177</v>
      </c>
      <c r="C82">
        <f t="shared" si="1"/>
        <v>24</v>
      </c>
      <c r="D82">
        <v>1</v>
      </c>
      <c r="E82">
        <v>1</v>
      </c>
    </row>
    <row r="83" spans="1:5">
      <c r="A83" s="2" t="s">
        <v>178</v>
      </c>
      <c r="B83" s="1" t="s">
        <v>179</v>
      </c>
      <c r="C83">
        <f t="shared" si="1"/>
        <v>11</v>
      </c>
      <c r="D83">
        <v>1</v>
      </c>
      <c r="E83">
        <v>1</v>
      </c>
    </row>
    <row r="84" spans="1:5">
      <c r="A84" s="2" t="s">
        <v>181</v>
      </c>
      <c r="B84" s="1" t="s">
        <v>182</v>
      </c>
      <c r="C84">
        <f t="shared" si="1"/>
        <v>5</v>
      </c>
      <c r="D84">
        <v>1</v>
      </c>
      <c r="E84">
        <v>1</v>
      </c>
    </row>
    <row r="85" spans="1:5">
      <c r="A85" s="2" t="s">
        <v>180</v>
      </c>
      <c r="B85" s="1" t="s">
        <v>183</v>
      </c>
      <c r="C85">
        <f t="shared" si="1"/>
        <v>7</v>
      </c>
      <c r="D85">
        <v>1</v>
      </c>
      <c r="E85">
        <v>1</v>
      </c>
    </row>
    <row r="86" spans="1:5">
      <c r="A86" s="2" t="s">
        <v>184</v>
      </c>
      <c r="B86" s="1" t="s">
        <v>185</v>
      </c>
      <c r="C86">
        <f t="shared" si="1"/>
        <v>9</v>
      </c>
      <c r="D86">
        <v>0</v>
      </c>
      <c r="E86">
        <v>1</v>
      </c>
    </row>
    <row r="87" spans="1:5">
      <c r="B87" s="1" t="s">
        <v>186</v>
      </c>
      <c r="C87">
        <f t="shared" si="1"/>
        <v>7</v>
      </c>
      <c r="D87">
        <v>1</v>
      </c>
      <c r="E87">
        <v>1</v>
      </c>
    </row>
    <row r="88" spans="1:5">
      <c r="A88" s="2" t="s">
        <v>187</v>
      </c>
      <c r="B88" s="1" t="s">
        <v>188</v>
      </c>
      <c r="C88">
        <f t="shared" si="1"/>
        <v>21</v>
      </c>
      <c r="D88">
        <v>1</v>
      </c>
      <c r="E88">
        <v>1</v>
      </c>
    </row>
    <row r="89" spans="1:5">
      <c r="A89" s="2" t="s">
        <v>189</v>
      </c>
      <c r="B89" s="1" t="s">
        <v>190</v>
      </c>
      <c r="C89">
        <f t="shared" si="1"/>
        <v>14</v>
      </c>
      <c r="D89">
        <v>1</v>
      </c>
      <c r="E89">
        <v>1</v>
      </c>
    </row>
    <row r="90" spans="1:5">
      <c r="A90" s="2" t="s">
        <v>191</v>
      </c>
      <c r="B90" s="1" t="s">
        <v>192</v>
      </c>
      <c r="C90">
        <f t="shared" si="1"/>
        <v>5</v>
      </c>
      <c r="D90">
        <v>1</v>
      </c>
      <c r="E90">
        <v>1</v>
      </c>
    </row>
    <row r="91" spans="1:5">
      <c r="A91" s="2" t="s">
        <v>193</v>
      </c>
      <c r="B91" s="1" t="s">
        <v>194</v>
      </c>
      <c r="C91">
        <f t="shared" si="1"/>
        <v>12</v>
      </c>
      <c r="D91">
        <v>0</v>
      </c>
      <c r="E91">
        <v>1</v>
      </c>
    </row>
    <row r="92" spans="1:5">
      <c r="A92" s="2" t="s">
        <v>195</v>
      </c>
      <c r="B92" s="1" t="s">
        <v>196</v>
      </c>
      <c r="C92">
        <f t="shared" si="1"/>
        <v>16</v>
      </c>
      <c r="D92">
        <v>1</v>
      </c>
      <c r="E92">
        <v>1</v>
      </c>
    </row>
    <row r="93" spans="1:5">
      <c r="C93" t="str">
        <f t="shared" si="1"/>
        <v/>
      </c>
    </row>
    <row r="94" spans="1:5">
      <c r="C94" t="str">
        <f t="shared" si="1"/>
        <v/>
      </c>
    </row>
    <row r="95" spans="1:5">
      <c r="C95" t="str">
        <f t="shared" si="1"/>
        <v/>
      </c>
    </row>
    <row r="96" spans="1:5">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3BAC8E-F575-4C55-99A1-3944D46CB282}">
  <sheetPr codeName="Sheet6"/>
  <dimension ref="A1:I167"/>
  <sheetViews>
    <sheetView zoomScale="115" zoomScaleNormal="115" workbookViewId="0">
      <pane xSplit="1" ySplit="3" topLeftCell="B126" activePane="bottomRight" state="frozen"/>
      <selection pane="topRight" activeCell="B1" sqref="B1"/>
      <selection pane="bottomLeft" activeCell="A4" sqref="A4"/>
      <selection pane="bottomRight" activeCell="B1" sqref="B1:B2"/>
    </sheetView>
  </sheetViews>
  <sheetFormatPr defaultRowHeight="18"/>
  <cols>
    <col min="1" max="1" width="8.69921875" style="2"/>
    <col min="2" max="2" width="50.5" style="1" customWidth="1"/>
    <col min="3" max="3" width="9.69921875" customWidth="1"/>
  </cols>
  <sheetData>
    <row r="1" spans="1:5">
      <c r="A1" s="2" t="s">
        <v>0</v>
      </c>
      <c r="B1" s="1" t="s">
        <v>35</v>
      </c>
    </row>
    <row r="2" spans="1:5">
      <c r="A2" s="2" t="s">
        <v>2</v>
      </c>
      <c r="B2" s="3" t="s">
        <v>197</v>
      </c>
      <c r="D2">
        <f>SUM(D4:D1000)</f>
        <v>140</v>
      </c>
      <c r="E2">
        <f>SUM(E4:E1000)</f>
        <v>157</v>
      </c>
    </row>
    <row r="3" spans="1:5">
      <c r="A3" s="2" t="s">
        <v>1</v>
      </c>
      <c r="B3" s="1" t="s">
        <v>3</v>
      </c>
      <c r="C3" t="s">
        <v>6</v>
      </c>
      <c r="D3" t="s">
        <v>4</v>
      </c>
      <c r="E3" t="s">
        <v>5</v>
      </c>
    </row>
    <row r="4" spans="1:5">
      <c r="A4" s="2" t="s">
        <v>198</v>
      </c>
      <c r="B4" s="1" t="s">
        <v>199</v>
      </c>
      <c r="C4">
        <f>IF(B4&lt;&gt;"",LEN(B4),"")</f>
        <v>20</v>
      </c>
      <c r="D4">
        <v>1</v>
      </c>
      <c r="E4">
        <v>1</v>
      </c>
    </row>
    <row r="5" spans="1:5" ht="36">
      <c r="A5" s="2" t="s">
        <v>200</v>
      </c>
      <c r="B5" s="1" t="s">
        <v>201</v>
      </c>
      <c r="C5">
        <f t="shared" ref="C5:C68" si="0">IF(B5&lt;&gt;"",LEN(B5),"")</f>
        <v>43</v>
      </c>
      <c r="D5">
        <v>1</v>
      </c>
      <c r="E5">
        <v>1</v>
      </c>
    </row>
    <row r="6" spans="1:5" ht="36">
      <c r="A6" s="2" t="s">
        <v>202</v>
      </c>
      <c r="B6" s="1" t="s">
        <v>203</v>
      </c>
      <c r="C6">
        <f t="shared" si="0"/>
        <v>46</v>
      </c>
      <c r="D6">
        <v>1</v>
      </c>
      <c r="E6">
        <v>1</v>
      </c>
    </row>
    <row r="7" spans="1:5" ht="36">
      <c r="A7" s="2" t="s">
        <v>204</v>
      </c>
      <c r="B7" s="1" t="s">
        <v>205</v>
      </c>
      <c r="C7">
        <f t="shared" si="0"/>
        <v>30</v>
      </c>
      <c r="D7">
        <v>1</v>
      </c>
      <c r="E7">
        <v>1</v>
      </c>
    </row>
    <row r="8" spans="1:5" ht="36">
      <c r="A8" s="2" t="s">
        <v>206</v>
      </c>
      <c r="B8" s="1" t="s">
        <v>207</v>
      </c>
      <c r="C8">
        <f t="shared" si="0"/>
        <v>34</v>
      </c>
      <c r="D8">
        <v>1</v>
      </c>
      <c r="E8">
        <v>1</v>
      </c>
    </row>
    <row r="9" spans="1:5" ht="54">
      <c r="A9" s="2" t="s">
        <v>208</v>
      </c>
      <c r="B9" s="1" t="s">
        <v>209</v>
      </c>
      <c r="C9">
        <f t="shared" si="0"/>
        <v>76</v>
      </c>
      <c r="D9">
        <v>1</v>
      </c>
      <c r="E9">
        <v>1</v>
      </c>
    </row>
    <row r="10" spans="1:5">
      <c r="A10" s="2" t="s">
        <v>210</v>
      </c>
      <c r="B10" s="1" t="s">
        <v>211</v>
      </c>
      <c r="C10">
        <f t="shared" si="0"/>
        <v>5</v>
      </c>
      <c r="D10">
        <v>0</v>
      </c>
      <c r="E10">
        <v>1</v>
      </c>
    </row>
    <row r="11" spans="1:5">
      <c r="B11" s="1" t="s">
        <v>212</v>
      </c>
      <c r="C11">
        <f t="shared" si="0"/>
        <v>5</v>
      </c>
      <c r="D11">
        <v>0</v>
      </c>
      <c r="E11">
        <v>1</v>
      </c>
    </row>
    <row r="12" spans="1:5" ht="36">
      <c r="A12" s="2" t="s">
        <v>213</v>
      </c>
      <c r="B12" s="1" t="s">
        <v>214</v>
      </c>
      <c r="C12">
        <f t="shared" si="0"/>
        <v>44</v>
      </c>
      <c r="D12">
        <v>0</v>
      </c>
      <c r="E12">
        <v>1</v>
      </c>
    </row>
    <row r="13" spans="1:5">
      <c r="A13" s="2" t="s">
        <v>215</v>
      </c>
      <c r="B13" s="1" t="s">
        <v>216</v>
      </c>
      <c r="C13">
        <f t="shared" si="0"/>
        <v>4</v>
      </c>
      <c r="D13">
        <v>1</v>
      </c>
      <c r="E13">
        <v>1</v>
      </c>
    </row>
    <row r="14" spans="1:5">
      <c r="B14" s="1" t="s">
        <v>217</v>
      </c>
      <c r="C14">
        <f t="shared" si="0"/>
        <v>4</v>
      </c>
      <c r="D14">
        <v>1</v>
      </c>
      <c r="E14">
        <v>1</v>
      </c>
    </row>
    <row r="15" spans="1:5">
      <c r="A15" s="2" t="s">
        <v>218</v>
      </c>
      <c r="B15" s="1" t="s">
        <v>219</v>
      </c>
      <c r="C15">
        <f t="shared" si="0"/>
        <v>29</v>
      </c>
      <c r="D15">
        <v>1</v>
      </c>
      <c r="E15">
        <v>1</v>
      </c>
    </row>
    <row r="16" spans="1:5">
      <c r="B16" s="1" t="s">
        <v>220</v>
      </c>
      <c r="C16">
        <f t="shared" si="0"/>
        <v>16</v>
      </c>
      <c r="D16">
        <v>1</v>
      </c>
      <c r="E16">
        <v>1</v>
      </c>
    </row>
    <row r="17" spans="1:5">
      <c r="B17" s="1" t="s">
        <v>221</v>
      </c>
      <c r="C17">
        <f t="shared" si="0"/>
        <v>18</v>
      </c>
      <c r="D17">
        <v>1</v>
      </c>
      <c r="E17">
        <v>1</v>
      </c>
    </row>
    <row r="18" spans="1:5">
      <c r="A18" s="2" t="s">
        <v>222</v>
      </c>
      <c r="B18" s="1" t="s">
        <v>223</v>
      </c>
      <c r="C18">
        <f t="shared" si="0"/>
        <v>13</v>
      </c>
      <c r="D18">
        <v>1</v>
      </c>
      <c r="E18">
        <v>1</v>
      </c>
    </row>
    <row r="19" spans="1:5" ht="36">
      <c r="A19" s="2" t="s">
        <v>224</v>
      </c>
      <c r="B19" s="1" t="s">
        <v>225</v>
      </c>
      <c r="C19">
        <f t="shared" si="0"/>
        <v>29</v>
      </c>
      <c r="D19">
        <v>1</v>
      </c>
      <c r="E19">
        <v>1</v>
      </c>
    </row>
    <row r="20" spans="1:5">
      <c r="A20" s="2" t="s">
        <v>226</v>
      </c>
      <c r="B20" s="1" t="s">
        <v>227</v>
      </c>
      <c r="C20">
        <f t="shared" si="0"/>
        <v>17</v>
      </c>
      <c r="D20">
        <v>1</v>
      </c>
      <c r="E20">
        <v>1</v>
      </c>
    </row>
    <row r="21" spans="1:5">
      <c r="A21" s="2" t="s">
        <v>228</v>
      </c>
      <c r="B21" s="1" t="s">
        <v>229</v>
      </c>
      <c r="C21">
        <f t="shared" si="0"/>
        <v>6</v>
      </c>
      <c r="D21">
        <v>1</v>
      </c>
      <c r="E21">
        <v>1</v>
      </c>
    </row>
    <row r="22" spans="1:5">
      <c r="A22" s="2" t="s">
        <v>230</v>
      </c>
      <c r="B22" s="1" t="s">
        <v>231</v>
      </c>
      <c r="C22">
        <f t="shared" si="0"/>
        <v>7</v>
      </c>
      <c r="D22">
        <v>1</v>
      </c>
      <c r="E22">
        <v>1</v>
      </c>
    </row>
    <row r="23" spans="1:5">
      <c r="B23" s="1" t="s">
        <v>232</v>
      </c>
      <c r="C23">
        <f t="shared" si="0"/>
        <v>10</v>
      </c>
      <c r="D23">
        <v>1</v>
      </c>
      <c r="E23">
        <v>1</v>
      </c>
    </row>
    <row r="24" spans="1:5" ht="36">
      <c r="A24" s="2" t="s">
        <v>233</v>
      </c>
      <c r="B24" s="1" t="s">
        <v>234</v>
      </c>
      <c r="C24">
        <f t="shared" si="0"/>
        <v>41</v>
      </c>
      <c r="D24">
        <v>1</v>
      </c>
      <c r="E24">
        <v>1</v>
      </c>
    </row>
    <row r="25" spans="1:5">
      <c r="A25" s="2" t="s">
        <v>235</v>
      </c>
      <c r="B25" s="1" t="s">
        <v>236</v>
      </c>
      <c r="C25">
        <f t="shared" si="0"/>
        <v>3</v>
      </c>
      <c r="D25">
        <v>1</v>
      </c>
      <c r="E25">
        <v>1</v>
      </c>
    </row>
    <row r="26" spans="1:5">
      <c r="B26" s="1" t="s">
        <v>237</v>
      </c>
      <c r="C26">
        <f t="shared" si="0"/>
        <v>24</v>
      </c>
      <c r="D26">
        <v>1</v>
      </c>
      <c r="E26">
        <v>1</v>
      </c>
    </row>
    <row r="27" spans="1:5" ht="36">
      <c r="A27" s="2" t="s">
        <v>238</v>
      </c>
      <c r="B27" s="1" t="s">
        <v>239</v>
      </c>
      <c r="C27">
        <f t="shared" si="0"/>
        <v>40</v>
      </c>
      <c r="D27">
        <v>1</v>
      </c>
      <c r="E27">
        <v>1</v>
      </c>
    </row>
    <row r="28" spans="1:5">
      <c r="A28" s="2" t="s">
        <v>240</v>
      </c>
      <c r="B28" s="1" t="s">
        <v>241</v>
      </c>
      <c r="C28">
        <f t="shared" si="0"/>
        <v>21</v>
      </c>
      <c r="D28">
        <v>1</v>
      </c>
      <c r="E28">
        <v>1</v>
      </c>
    </row>
    <row r="29" spans="1:5">
      <c r="A29" s="2" t="s">
        <v>39</v>
      </c>
      <c r="B29" s="1" t="s">
        <v>242</v>
      </c>
      <c r="C29">
        <f t="shared" si="0"/>
        <v>15</v>
      </c>
      <c r="D29">
        <v>1</v>
      </c>
      <c r="E29">
        <v>1</v>
      </c>
    </row>
    <row r="30" spans="1:5" ht="36">
      <c r="A30" s="2" t="s">
        <v>243</v>
      </c>
      <c r="B30" s="1" t="s">
        <v>244</v>
      </c>
      <c r="C30">
        <f t="shared" si="0"/>
        <v>31</v>
      </c>
      <c r="D30">
        <v>1</v>
      </c>
      <c r="E30">
        <v>1</v>
      </c>
    </row>
    <row r="31" spans="1:5">
      <c r="A31" s="2" t="s">
        <v>245</v>
      </c>
      <c r="B31" s="1" t="s">
        <v>246</v>
      </c>
      <c r="C31">
        <f t="shared" si="0"/>
        <v>18</v>
      </c>
      <c r="D31">
        <v>1</v>
      </c>
      <c r="E31">
        <v>1</v>
      </c>
    </row>
    <row r="32" spans="1:5">
      <c r="B32" s="1" t="s">
        <v>247</v>
      </c>
      <c r="C32">
        <f t="shared" si="0"/>
        <v>26</v>
      </c>
      <c r="D32">
        <v>1</v>
      </c>
      <c r="E32">
        <v>1</v>
      </c>
    </row>
    <row r="33" spans="1:9">
      <c r="A33" s="2" t="s">
        <v>248</v>
      </c>
      <c r="B33" s="1" t="s">
        <v>249</v>
      </c>
      <c r="C33">
        <f t="shared" si="0"/>
        <v>16</v>
      </c>
      <c r="D33">
        <v>1</v>
      </c>
      <c r="E33">
        <v>1</v>
      </c>
    </row>
    <row r="34" spans="1:9">
      <c r="A34" s="2" t="s">
        <v>250</v>
      </c>
      <c r="B34" s="1" t="s">
        <v>251</v>
      </c>
      <c r="C34">
        <f t="shared" si="0"/>
        <v>19</v>
      </c>
    </row>
    <row r="35" spans="1:9" ht="36">
      <c r="B35" s="1" t="s">
        <v>252</v>
      </c>
      <c r="C35">
        <f t="shared" si="0"/>
        <v>33</v>
      </c>
      <c r="D35">
        <v>0</v>
      </c>
      <c r="E35">
        <v>1</v>
      </c>
      <c r="I35" t="s">
        <v>272</v>
      </c>
    </row>
    <row r="36" spans="1:9">
      <c r="A36" s="2" t="s">
        <v>253</v>
      </c>
      <c r="B36" s="1" t="s">
        <v>254</v>
      </c>
      <c r="C36">
        <f t="shared" si="0"/>
        <v>20</v>
      </c>
      <c r="D36">
        <v>1</v>
      </c>
      <c r="E36">
        <v>1</v>
      </c>
      <c r="H36" t="s">
        <v>275</v>
      </c>
    </row>
    <row r="37" spans="1:9">
      <c r="A37" s="2" t="s">
        <v>255</v>
      </c>
      <c r="B37" s="1" t="s">
        <v>256</v>
      </c>
      <c r="C37">
        <f t="shared" si="0"/>
        <v>19</v>
      </c>
      <c r="D37">
        <v>1</v>
      </c>
      <c r="E37">
        <v>1</v>
      </c>
    </row>
    <row r="38" spans="1:9">
      <c r="A38" s="2" t="s">
        <v>257</v>
      </c>
      <c r="B38" s="4">
        <v>45852</v>
      </c>
      <c r="C38">
        <f t="shared" si="0"/>
        <v>5</v>
      </c>
      <c r="D38">
        <v>1</v>
      </c>
      <c r="E38">
        <v>1</v>
      </c>
    </row>
    <row r="39" spans="1:9">
      <c r="A39" s="2" t="s">
        <v>258</v>
      </c>
      <c r="B39" s="1" t="s">
        <v>259</v>
      </c>
      <c r="C39">
        <f t="shared" si="0"/>
        <v>22</v>
      </c>
      <c r="D39">
        <v>1</v>
      </c>
      <c r="E39">
        <v>1</v>
      </c>
    </row>
    <row r="40" spans="1:9" ht="36">
      <c r="A40" s="2" t="s">
        <v>260</v>
      </c>
      <c r="B40" s="1" t="s">
        <v>261</v>
      </c>
      <c r="C40">
        <f t="shared" si="0"/>
        <v>33</v>
      </c>
      <c r="D40">
        <v>1</v>
      </c>
      <c r="E40">
        <v>1</v>
      </c>
    </row>
    <row r="41" spans="1:9">
      <c r="A41" s="2" t="s">
        <v>262</v>
      </c>
      <c r="B41" s="1" t="s">
        <v>263</v>
      </c>
      <c r="C41">
        <f t="shared" si="0"/>
        <v>20</v>
      </c>
      <c r="D41">
        <v>0</v>
      </c>
      <c r="E41">
        <v>1</v>
      </c>
    </row>
    <row r="42" spans="1:9" ht="36">
      <c r="B42" s="1" t="s">
        <v>264</v>
      </c>
      <c r="C42">
        <f t="shared" si="0"/>
        <v>47</v>
      </c>
    </row>
    <row r="43" spans="1:9" ht="36">
      <c r="A43" s="2" t="s">
        <v>265</v>
      </c>
      <c r="B43" s="1" t="s">
        <v>266</v>
      </c>
      <c r="C43">
        <f t="shared" si="0"/>
        <v>37</v>
      </c>
      <c r="D43">
        <v>1</v>
      </c>
      <c r="E43">
        <v>1</v>
      </c>
    </row>
    <row r="44" spans="1:9">
      <c r="A44" s="2" t="s">
        <v>267</v>
      </c>
      <c r="B44" s="1" t="s">
        <v>268</v>
      </c>
      <c r="C44">
        <f t="shared" si="0"/>
        <v>18</v>
      </c>
      <c r="D44">
        <v>0</v>
      </c>
      <c r="E44">
        <v>1</v>
      </c>
    </row>
    <row r="45" spans="1:9" ht="36">
      <c r="A45" s="2" t="s">
        <v>269</v>
      </c>
      <c r="B45" s="1" t="s">
        <v>270</v>
      </c>
      <c r="C45">
        <f t="shared" si="0"/>
        <v>43</v>
      </c>
      <c r="D45">
        <v>1</v>
      </c>
      <c r="E45">
        <v>1</v>
      </c>
    </row>
    <row r="46" spans="1:9">
      <c r="A46" s="2" t="s">
        <v>271</v>
      </c>
      <c r="B46" s="1" t="s">
        <v>273</v>
      </c>
      <c r="C46">
        <f t="shared" si="0"/>
        <v>16</v>
      </c>
      <c r="D46">
        <v>1</v>
      </c>
      <c r="E46">
        <v>1</v>
      </c>
    </row>
    <row r="47" spans="1:9">
      <c r="A47" s="2" t="s">
        <v>274</v>
      </c>
      <c r="B47" s="1" t="s">
        <v>276</v>
      </c>
      <c r="C47">
        <f t="shared" si="0"/>
        <v>25</v>
      </c>
      <c r="D47">
        <v>0</v>
      </c>
      <c r="E47">
        <v>1</v>
      </c>
    </row>
    <row r="48" spans="1:9">
      <c r="B48" s="1" t="s">
        <v>277</v>
      </c>
      <c r="C48">
        <f t="shared" si="0"/>
        <v>25</v>
      </c>
      <c r="D48">
        <v>0</v>
      </c>
      <c r="E48">
        <v>1</v>
      </c>
    </row>
    <row r="49" spans="1:5">
      <c r="A49" s="2" t="s">
        <v>278</v>
      </c>
      <c r="B49" s="1" t="s">
        <v>279</v>
      </c>
      <c r="C49">
        <f t="shared" si="0"/>
        <v>13</v>
      </c>
      <c r="D49">
        <v>1</v>
      </c>
      <c r="E49">
        <v>1</v>
      </c>
    </row>
    <row r="50" spans="1:5">
      <c r="B50" s="1" t="s">
        <v>280</v>
      </c>
      <c r="C50">
        <f t="shared" si="0"/>
        <v>18</v>
      </c>
      <c r="D50">
        <v>1</v>
      </c>
      <c r="E50">
        <v>1</v>
      </c>
    </row>
    <row r="51" spans="1:5">
      <c r="A51" s="2" t="s">
        <v>281</v>
      </c>
      <c r="B51" s="1" t="s">
        <v>282</v>
      </c>
      <c r="C51">
        <f t="shared" si="0"/>
        <v>8</v>
      </c>
      <c r="D51">
        <v>1</v>
      </c>
      <c r="E51">
        <v>1</v>
      </c>
    </row>
    <row r="52" spans="1:5">
      <c r="B52" s="1" t="s">
        <v>283</v>
      </c>
      <c r="C52">
        <f t="shared" si="0"/>
        <v>7</v>
      </c>
      <c r="D52">
        <v>1</v>
      </c>
      <c r="E52">
        <v>1</v>
      </c>
    </row>
    <row r="53" spans="1:5">
      <c r="B53" s="1" t="s">
        <v>284</v>
      </c>
      <c r="C53">
        <f t="shared" si="0"/>
        <v>9</v>
      </c>
      <c r="D53">
        <v>1</v>
      </c>
      <c r="E53">
        <v>1</v>
      </c>
    </row>
    <row r="54" spans="1:5">
      <c r="A54" s="2" t="s">
        <v>285</v>
      </c>
      <c r="B54" s="1" t="s">
        <v>286</v>
      </c>
      <c r="C54">
        <f t="shared" si="0"/>
        <v>6</v>
      </c>
      <c r="D54">
        <v>1</v>
      </c>
      <c r="E54">
        <v>1</v>
      </c>
    </row>
    <row r="55" spans="1:5" ht="36">
      <c r="A55" s="2" t="s">
        <v>287</v>
      </c>
      <c r="B55" s="1" t="s">
        <v>288</v>
      </c>
      <c r="C55">
        <f t="shared" si="0"/>
        <v>39</v>
      </c>
      <c r="D55">
        <v>1</v>
      </c>
      <c r="E55">
        <v>1</v>
      </c>
    </row>
    <row r="56" spans="1:5">
      <c r="A56" s="2" t="s">
        <v>289</v>
      </c>
      <c r="B56" s="1" t="s">
        <v>290</v>
      </c>
      <c r="C56">
        <f t="shared" si="0"/>
        <v>24</v>
      </c>
      <c r="D56">
        <v>1</v>
      </c>
      <c r="E56">
        <v>1</v>
      </c>
    </row>
    <row r="57" spans="1:5">
      <c r="A57" s="2" t="s">
        <v>291</v>
      </c>
      <c r="B57" s="1" t="s">
        <v>292</v>
      </c>
      <c r="C57">
        <f t="shared" si="0"/>
        <v>15</v>
      </c>
      <c r="D57">
        <v>1</v>
      </c>
      <c r="E57">
        <v>1</v>
      </c>
    </row>
    <row r="58" spans="1:5">
      <c r="A58" s="2" t="s">
        <v>293</v>
      </c>
      <c r="B58" s="1" t="s">
        <v>294</v>
      </c>
      <c r="C58">
        <f t="shared" si="0"/>
        <v>25</v>
      </c>
      <c r="D58">
        <v>1</v>
      </c>
      <c r="E58">
        <v>1</v>
      </c>
    </row>
    <row r="59" spans="1:5">
      <c r="A59" s="2" t="s">
        <v>295</v>
      </c>
      <c r="B59" s="1" t="s">
        <v>296</v>
      </c>
      <c r="C59">
        <f t="shared" si="0"/>
        <v>10</v>
      </c>
      <c r="D59">
        <v>1</v>
      </c>
      <c r="E59">
        <v>1</v>
      </c>
    </row>
    <row r="60" spans="1:5">
      <c r="A60" s="2" t="s">
        <v>297</v>
      </c>
      <c r="B60" s="1" t="s">
        <v>298</v>
      </c>
      <c r="C60">
        <f t="shared" si="0"/>
        <v>23</v>
      </c>
      <c r="D60">
        <v>1</v>
      </c>
      <c r="E60">
        <v>1</v>
      </c>
    </row>
    <row r="61" spans="1:5">
      <c r="A61" s="2" t="s">
        <v>299</v>
      </c>
      <c r="B61" s="1" t="s">
        <v>300</v>
      </c>
      <c r="C61">
        <f t="shared" si="0"/>
        <v>19</v>
      </c>
      <c r="D61">
        <v>1</v>
      </c>
      <c r="E61">
        <v>1</v>
      </c>
    </row>
    <row r="62" spans="1:5">
      <c r="A62" s="2" t="s">
        <v>301</v>
      </c>
      <c r="B62" s="1" t="s">
        <v>302</v>
      </c>
      <c r="C62">
        <f t="shared" si="0"/>
        <v>26</v>
      </c>
      <c r="D62">
        <v>1</v>
      </c>
      <c r="E62">
        <v>1</v>
      </c>
    </row>
    <row r="63" spans="1:5">
      <c r="A63" s="2" t="s">
        <v>303</v>
      </c>
      <c r="B63" s="1" t="s">
        <v>304</v>
      </c>
      <c r="C63">
        <f t="shared" si="0"/>
        <v>27</v>
      </c>
      <c r="D63">
        <v>1</v>
      </c>
      <c r="E63">
        <v>1</v>
      </c>
    </row>
    <row r="64" spans="1:5">
      <c r="A64" s="2" t="s">
        <v>305</v>
      </c>
      <c r="B64" s="1" t="s">
        <v>306</v>
      </c>
      <c r="C64">
        <f t="shared" si="0"/>
        <v>2</v>
      </c>
      <c r="D64">
        <v>1</v>
      </c>
      <c r="E64">
        <v>1</v>
      </c>
    </row>
    <row r="65" spans="1:5">
      <c r="B65" s="1" t="s">
        <v>307</v>
      </c>
      <c r="C65">
        <f t="shared" si="0"/>
        <v>4</v>
      </c>
      <c r="D65">
        <v>1</v>
      </c>
      <c r="E65">
        <v>1</v>
      </c>
    </row>
    <row r="66" spans="1:5">
      <c r="A66" s="2" t="s">
        <v>308</v>
      </c>
      <c r="B66" s="1" t="s">
        <v>309</v>
      </c>
      <c r="C66">
        <f t="shared" si="0"/>
        <v>10</v>
      </c>
      <c r="D66">
        <v>1</v>
      </c>
      <c r="E66">
        <v>1</v>
      </c>
    </row>
    <row r="67" spans="1:5">
      <c r="B67" s="1" t="s">
        <v>310</v>
      </c>
      <c r="C67">
        <f t="shared" si="0"/>
        <v>13</v>
      </c>
      <c r="D67">
        <v>1</v>
      </c>
      <c r="E67">
        <v>1</v>
      </c>
    </row>
    <row r="68" spans="1:5">
      <c r="A68" s="2" t="s">
        <v>311</v>
      </c>
      <c r="B68" s="1" t="s">
        <v>312</v>
      </c>
      <c r="C68">
        <f t="shared" si="0"/>
        <v>15</v>
      </c>
      <c r="D68">
        <v>1</v>
      </c>
      <c r="E68">
        <v>1</v>
      </c>
    </row>
    <row r="69" spans="1:5">
      <c r="B69" s="1" t="s">
        <v>313</v>
      </c>
      <c r="C69">
        <f t="shared" ref="C69:C132" si="1">IF(B69&lt;&gt;"",LEN(B69),"")</f>
        <v>25</v>
      </c>
      <c r="D69">
        <v>1</v>
      </c>
      <c r="E69">
        <v>1</v>
      </c>
    </row>
    <row r="70" spans="1:5">
      <c r="A70" s="2" t="s">
        <v>314</v>
      </c>
      <c r="B70" s="1" t="s">
        <v>315</v>
      </c>
      <c r="C70">
        <f t="shared" si="1"/>
        <v>22</v>
      </c>
      <c r="D70">
        <v>1</v>
      </c>
      <c r="E70">
        <v>1</v>
      </c>
    </row>
    <row r="71" spans="1:5">
      <c r="A71" s="2" t="s">
        <v>316</v>
      </c>
      <c r="B71" s="1" t="s">
        <v>317</v>
      </c>
      <c r="C71">
        <f t="shared" si="1"/>
        <v>20</v>
      </c>
      <c r="D71">
        <v>0</v>
      </c>
      <c r="E71">
        <v>1</v>
      </c>
    </row>
    <row r="72" spans="1:5">
      <c r="A72" s="2" t="s">
        <v>318</v>
      </c>
      <c r="B72" s="1" t="s">
        <v>319</v>
      </c>
      <c r="C72">
        <f t="shared" si="1"/>
        <v>3</v>
      </c>
      <c r="D72">
        <v>1</v>
      </c>
      <c r="E72">
        <v>1</v>
      </c>
    </row>
    <row r="73" spans="1:5">
      <c r="A73" s="2" t="s">
        <v>320</v>
      </c>
      <c r="B73" s="1" t="s">
        <v>321</v>
      </c>
      <c r="C73">
        <f t="shared" si="1"/>
        <v>26</v>
      </c>
      <c r="D73">
        <v>1</v>
      </c>
      <c r="E73">
        <v>1</v>
      </c>
    </row>
    <row r="74" spans="1:5">
      <c r="A74" s="2" t="s">
        <v>322</v>
      </c>
      <c r="B74" s="1" t="s">
        <v>323</v>
      </c>
      <c r="C74">
        <f t="shared" si="1"/>
        <v>23</v>
      </c>
      <c r="D74">
        <v>1</v>
      </c>
      <c r="E74">
        <v>1</v>
      </c>
    </row>
    <row r="75" spans="1:5">
      <c r="A75" s="2" t="s">
        <v>324</v>
      </c>
      <c r="B75" s="1" t="s">
        <v>325</v>
      </c>
      <c r="C75">
        <f t="shared" si="1"/>
        <v>16</v>
      </c>
      <c r="D75">
        <v>1</v>
      </c>
      <c r="E75">
        <v>1</v>
      </c>
    </row>
    <row r="76" spans="1:5">
      <c r="A76" s="2" t="s">
        <v>326</v>
      </c>
      <c r="B76" s="1" t="s">
        <v>327</v>
      </c>
      <c r="C76">
        <f t="shared" si="1"/>
        <v>7</v>
      </c>
      <c r="D76">
        <v>1</v>
      </c>
      <c r="E76">
        <v>1</v>
      </c>
    </row>
    <row r="77" spans="1:5">
      <c r="B77" s="1" t="s">
        <v>328</v>
      </c>
      <c r="C77">
        <f t="shared" si="1"/>
        <v>11</v>
      </c>
      <c r="D77">
        <v>1</v>
      </c>
      <c r="E77">
        <v>1</v>
      </c>
    </row>
    <row r="78" spans="1:5">
      <c r="A78" s="2" t="s">
        <v>329</v>
      </c>
      <c r="B78" s="1" t="s">
        <v>330</v>
      </c>
      <c r="C78">
        <f t="shared" si="1"/>
        <v>14</v>
      </c>
      <c r="D78">
        <v>1</v>
      </c>
      <c r="E78">
        <v>1</v>
      </c>
    </row>
    <row r="79" spans="1:5">
      <c r="A79" s="2" t="s">
        <v>331</v>
      </c>
      <c r="B79" s="1" t="s">
        <v>332</v>
      </c>
      <c r="C79">
        <f t="shared" si="1"/>
        <v>20</v>
      </c>
      <c r="D79">
        <v>1</v>
      </c>
      <c r="E79">
        <v>1</v>
      </c>
    </row>
    <row r="80" spans="1:5">
      <c r="A80" s="2" t="s">
        <v>333</v>
      </c>
      <c r="B80" s="1" t="s">
        <v>334</v>
      </c>
      <c r="C80">
        <f t="shared" si="1"/>
        <v>27</v>
      </c>
      <c r="D80">
        <v>1</v>
      </c>
      <c r="E80">
        <v>1</v>
      </c>
    </row>
    <row r="81" spans="1:5">
      <c r="B81" s="1" t="s">
        <v>335</v>
      </c>
      <c r="C81">
        <f t="shared" si="1"/>
        <v>25</v>
      </c>
      <c r="D81">
        <v>1</v>
      </c>
      <c r="E81">
        <v>1</v>
      </c>
    </row>
    <row r="82" spans="1:5">
      <c r="A82" s="2" t="s">
        <v>336</v>
      </c>
      <c r="B82" s="1" t="s">
        <v>337</v>
      </c>
      <c r="C82">
        <f t="shared" si="1"/>
        <v>23</v>
      </c>
      <c r="D82">
        <v>1</v>
      </c>
      <c r="E82">
        <v>1</v>
      </c>
    </row>
    <row r="83" spans="1:5" ht="36">
      <c r="A83" s="2" t="s">
        <v>338</v>
      </c>
      <c r="B83" s="1" t="s">
        <v>339</v>
      </c>
      <c r="C83">
        <f t="shared" si="1"/>
        <v>34</v>
      </c>
      <c r="D83">
        <v>1</v>
      </c>
      <c r="E83">
        <v>1</v>
      </c>
    </row>
    <row r="84" spans="1:5">
      <c r="A84" s="2" t="s">
        <v>340</v>
      </c>
      <c r="B84" s="1" t="s">
        <v>341</v>
      </c>
      <c r="C84">
        <f t="shared" si="1"/>
        <v>15</v>
      </c>
      <c r="D84">
        <v>1</v>
      </c>
      <c r="E84">
        <v>1</v>
      </c>
    </row>
    <row r="85" spans="1:5">
      <c r="A85" s="2" t="s">
        <v>342</v>
      </c>
      <c r="B85" s="1" t="s">
        <v>343</v>
      </c>
      <c r="C85">
        <f t="shared" si="1"/>
        <v>14</v>
      </c>
      <c r="D85">
        <v>1</v>
      </c>
      <c r="E85">
        <v>1</v>
      </c>
    </row>
    <row r="86" spans="1:5">
      <c r="B86" s="1" t="s">
        <v>344</v>
      </c>
      <c r="C86">
        <f t="shared" si="1"/>
        <v>15</v>
      </c>
      <c r="D86">
        <v>1</v>
      </c>
      <c r="E86">
        <v>1</v>
      </c>
    </row>
    <row r="87" spans="1:5">
      <c r="A87" s="2" t="s">
        <v>345</v>
      </c>
      <c r="B87" s="1" t="s">
        <v>346</v>
      </c>
      <c r="C87">
        <f t="shared" si="1"/>
        <v>18</v>
      </c>
      <c r="D87">
        <v>1</v>
      </c>
      <c r="E87">
        <v>1</v>
      </c>
    </row>
    <row r="88" spans="1:5">
      <c r="A88" s="2" t="s">
        <v>349</v>
      </c>
      <c r="B88" s="1" t="s">
        <v>348</v>
      </c>
      <c r="C88">
        <f t="shared" si="1"/>
        <v>11</v>
      </c>
      <c r="D88">
        <v>1</v>
      </c>
      <c r="E88">
        <v>1</v>
      </c>
    </row>
    <row r="89" spans="1:5">
      <c r="A89" s="2" t="s">
        <v>347</v>
      </c>
      <c r="B89" s="1" t="s">
        <v>350</v>
      </c>
      <c r="C89">
        <f t="shared" si="1"/>
        <v>22</v>
      </c>
      <c r="D89">
        <v>1</v>
      </c>
      <c r="E89">
        <v>1</v>
      </c>
    </row>
    <row r="90" spans="1:5">
      <c r="A90" s="2" t="s">
        <v>351</v>
      </c>
      <c r="B90" s="1" t="s">
        <v>352</v>
      </c>
      <c r="C90">
        <f t="shared" si="1"/>
        <v>15</v>
      </c>
      <c r="D90">
        <v>0</v>
      </c>
      <c r="E90">
        <v>1</v>
      </c>
    </row>
    <row r="91" spans="1:5">
      <c r="A91" s="2" t="s">
        <v>353</v>
      </c>
      <c r="B91" s="1" t="s">
        <v>354</v>
      </c>
      <c r="C91">
        <f t="shared" si="1"/>
        <v>24</v>
      </c>
      <c r="D91">
        <v>1</v>
      </c>
      <c r="E91">
        <v>1</v>
      </c>
    </row>
    <row r="92" spans="1:5">
      <c r="A92" s="2" t="s">
        <v>355</v>
      </c>
      <c r="B92" s="1" t="s">
        <v>356</v>
      </c>
      <c r="C92">
        <f t="shared" si="1"/>
        <v>8</v>
      </c>
      <c r="D92">
        <v>0</v>
      </c>
      <c r="E92">
        <v>1</v>
      </c>
    </row>
    <row r="93" spans="1:5">
      <c r="B93" s="1" t="s">
        <v>357</v>
      </c>
      <c r="C93">
        <f t="shared" si="1"/>
        <v>6</v>
      </c>
      <c r="D93">
        <v>0</v>
      </c>
      <c r="E93">
        <v>1</v>
      </c>
    </row>
    <row r="94" spans="1:5">
      <c r="A94" s="2" t="s">
        <v>358</v>
      </c>
      <c r="B94" s="1" t="s">
        <v>359</v>
      </c>
      <c r="C94">
        <f t="shared" si="1"/>
        <v>10</v>
      </c>
      <c r="D94">
        <v>0</v>
      </c>
      <c r="E94">
        <v>1</v>
      </c>
    </row>
    <row r="95" spans="1:5" ht="54">
      <c r="B95" s="1" t="s">
        <v>360</v>
      </c>
      <c r="C95">
        <f t="shared" si="1"/>
        <v>67</v>
      </c>
    </row>
    <row r="96" spans="1:5">
      <c r="A96" s="2" t="s">
        <v>361</v>
      </c>
      <c r="B96" s="1" t="s">
        <v>362</v>
      </c>
      <c r="C96">
        <f t="shared" si="1"/>
        <v>28</v>
      </c>
      <c r="D96">
        <v>1</v>
      </c>
      <c r="E96">
        <v>1</v>
      </c>
    </row>
    <row r="97" spans="1:5">
      <c r="A97" s="2" t="s">
        <v>363</v>
      </c>
      <c r="B97" s="1" t="s">
        <v>364</v>
      </c>
      <c r="C97">
        <f t="shared" si="1"/>
        <v>4</v>
      </c>
      <c r="D97">
        <v>1</v>
      </c>
      <c r="E97">
        <v>1</v>
      </c>
    </row>
    <row r="98" spans="1:5">
      <c r="A98" s="2" t="s">
        <v>365</v>
      </c>
      <c r="B98" s="1" t="s">
        <v>366</v>
      </c>
      <c r="C98">
        <f t="shared" si="1"/>
        <v>21</v>
      </c>
      <c r="D98">
        <v>1</v>
      </c>
      <c r="E98">
        <v>1</v>
      </c>
    </row>
    <row r="99" spans="1:5">
      <c r="A99" s="2" t="s">
        <v>367</v>
      </c>
      <c r="B99" s="1" t="s">
        <v>368</v>
      </c>
      <c r="C99">
        <f t="shared" si="1"/>
        <v>24</v>
      </c>
      <c r="D99">
        <v>1</v>
      </c>
      <c r="E99">
        <v>1</v>
      </c>
    </row>
    <row r="100" spans="1:5">
      <c r="A100" s="2" t="s">
        <v>369</v>
      </c>
      <c r="B100" s="1" t="s">
        <v>370</v>
      </c>
      <c r="C100">
        <f t="shared" si="1"/>
        <v>11</v>
      </c>
      <c r="D100">
        <v>1</v>
      </c>
      <c r="E100">
        <v>1</v>
      </c>
    </row>
    <row r="101" spans="1:5" ht="36">
      <c r="A101" s="2" t="s">
        <v>371</v>
      </c>
      <c r="B101" s="1" t="s">
        <v>372</v>
      </c>
      <c r="C101">
        <f t="shared" si="1"/>
        <v>32</v>
      </c>
      <c r="D101">
        <v>1</v>
      </c>
      <c r="E101">
        <v>1</v>
      </c>
    </row>
    <row r="102" spans="1:5">
      <c r="A102" s="2" t="s">
        <v>373</v>
      </c>
      <c r="B102" s="1" t="s">
        <v>374</v>
      </c>
      <c r="C102">
        <f t="shared" si="1"/>
        <v>5</v>
      </c>
      <c r="D102">
        <v>1</v>
      </c>
      <c r="E102">
        <v>1</v>
      </c>
    </row>
    <row r="103" spans="1:5">
      <c r="B103" s="1" t="s">
        <v>375</v>
      </c>
      <c r="C103">
        <f t="shared" si="1"/>
        <v>7</v>
      </c>
      <c r="D103">
        <v>1</v>
      </c>
      <c r="E103">
        <v>1</v>
      </c>
    </row>
    <row r="104" spans="1:5" ht="54">
      <c r="A104" s="2" t="s">
        <v>376</v>
      </c>
      <c r="B104" s="1" t="s">
        <v>377</v>
      </c>
      <c r="C104">
        <f t="shared" si="1"/>
        <v>60</v>
      </c>
      <c r="D104">
        <v>1</v>
      </c>
      <c r="E104">
        <v>1</v>
      </c>
    </row>
    <row r="105" spans="1:5">
      <c r="A105" s="2" t="s">
        <v>378</v>
      </c>
      <c r="B105" s="1" t="s">
        <v>379</v>
      </c>
      <c r="C105">
        <f t="shared" si="1"/>
        <v>7</v>
      </c>
      <c r="D105">
        <v>1</v>
      </c>
      <c r="E105">
        <v>1</v>
      </c>
    </row>
    <row r="106" spans="1:5">
      <c r="A106" s="2" t="s">
        <v>380</v>
      </c>
      <c r="B106" s="1" t="s">
        <v>381</v>
      </c>
      <c r="C106">
        <f t="shared" si="1"/>
        <v>26</v>
      </c>
      <c r="D106">
        <v>1</v>
      </c>
      <c r="E106">
        <v>1</v>
      </c>
    </row>
    <row r="107" spans="1:5">
      <c r="A107" s="2" t="s">
        <v>382</v>
      </c>
      <c r="B107" s="1" t="s">
        <v>383</v>
      </c>
      <c r="C107">
        <f t="shared" si="1"/>
        <v>9</v>
      </c>
      <c r="D107">
        <v>1</v>
      </c>
      <c r="E107">
        <v>1</v>
      </c>
    </row>
    <row r="108" spans="1:5">
      <c r="A108" s="2" t="s">
        <v>384</v>
      </c>
      <c r="B108" s="1" t="s">
        <v>385</v>
      </c>
      <c r="C108">
        <f t="shared" si="1"/>
        <v>11</v>
      </c>
      <c r="D108">
        <v>1</v>
      </c>
      <c r="E108">
        <v>1</v>
      </c>
    </row>
    <row r="109" spans="1:5">
      <c r="A109" s="2" t="s">
        <v>386</v>
      </c>
      <c r="B109" s="1" t="s">
        <v>387</v>
      </c>
      <c r="C109">
        <f t="shared" si="1"/>
        <v>17</v>
      </c>
      <c r="D109">
        <v>1</v>
      </c>
      <c r="E109">
        <v>1</v>
      </c>
    </row>
    <row r="110" spans="1:5">
      <c r="A110" s="2" t="s">
        <v>388</v>
      </c>
      <c r="B110" s="1" t="s">
        <v>389</v>
      </c>
      <c r="C110">
        <f t="shared" si="1"/>
        <v>1</v>
      </c>
      <c r="D110">
        <v>1</v>
      </c>
      <c r="E110">
        <v>1</v>
      </c>
    </row>
    <row r="111" spans="1:5">
      <c r="A111" s="2" t="s">
        <v>390</v>
      </c>
      <c r="B111" s="1" t="s">
        <v>392</v>
      </c>
      <c r="C111">
        <f t="shared" si="1"/>
        <v>12</v>
      </c>
      <c r="D111">
        <v>1</v>
      </c>
      <c r="E111">
        <v>1</v>
      </c>
    </row>
    <row r="112" spans="1:5">
      <c r="B112" s="1" t="s">
        <v>391</v>
      </c>
      <c r="C112">
        <f t="shared" si="1"/>
        <v>8</v>
      </c>
      <c r="D112">
        <v>1</v>
      </c>
      <c r="E112">
        <v>1</v>
      </c>
    </row>
    <row r="113" spans="1:5">
      <c r="A113" s="2" t="s">
        <v>393</v>
      </c>
      <c r="B113" s="1" t="s">
        <v>395</v>
      </c>
      <c r="C113">
        <f t="shared" si="1"/>
        <v>11</v>
      </c>
      <c r="D113">
        <v>1</v>
      </c>
      <c r="E113">
        <v>1</v>
      </c>
    </row>
    <row r="114" spans="1:5">
      <c r="B114" s="1" t="s">
        <v>394</v>
      </c>
      <c r="C114">
        <f t="shared" si="1"/>
        <v>14</v>
      </c>
      <c r="D114">
        <v>1</v>
      </c>
      <c r="E114">
        <v>1</v>
      </c>
    </row>
    <row r="115" spans="1:5">
      <c r="A115" s="2" t="s">
        <v>396</v>
      </c>
      <c r="B115" s="1" t="s">
        <v>397</v>
      </c>
      <c r="C115">
        <f t="shared" si="1"/>
        <v>12</v>
      </c>
      <c r="D115">
        <v>1</v>
      </c>
      <c r="E115">
        <v>1</v>
      </c>
    </row>
    <row r="116" spans="1:5">
      <c r="B116" s="1" t="s">
        <v>398</v>
      </c>
      <c r="C116">
        <f t="shared" si="1"/>
        <v>16</v>
      </c>
      <c r="D116">
        <v>1</v>
      </c>
      <c r="E116">
        <v>1</v>
      </c>
    </row>
    <row r="117" spans="1:5">
      <c r="A117" s="2" t="s">
        <v>399</v>
      </c>
      <c r="B117" s="1" t="s">
        <v>400</v>
      </c>
      <c r="C117">
        <f t="shared" si="1"/>
        <v>1</v>
      </c>
      <c r="D117">
        <v>1</v>
      </c>
      <c r="E117">
        <v>1</v>
      </c>
    </row>
    <row r="118" spans="1:5">
      <c r="B118" s="1" t="s">
        <v>401</v>
      </c>
      <c r="C118">
        <f t="shared" si="1"/>
        <v>18</v>
      </c>
      <c r="D118">
        <v>1</v>
      </c>
      <c r="E118">
        <v>1</v>
      </c>
    </row>
    <row r="119" spans="1:5">
      <c r="A119" s="2" t="s">
        <v>402</v>
      </c>
      <c r="B119" s="1" t="s">
        <v>403</v>
      </c>
      <c r="C119">
        <f t="shared" si="1"/>
        <v>6</v>
      </c>
      <c r="D119">
        <v>1</v>
      </c>
      <c r="E119">
        <v>1</v>
      </c>
    </row>
    <row r="120" spans="1:5">
      <c r="A120" s="2" t="s">
        <v>404</v>
      </c>
      <c r="B120" s="1" t="s">
        <v>405</v>
      </c>
      <c r="C120">
        <f t="shared" si="1"/>
        <v>23</v>
      </c>
      <c r="D120">
        <v>1</v>
      </c>
      <c r="E120">
        <v>1</v>
      </c>
    </row>
    <row r="121" spans="1:5" ht="36">
      <c r="A121" s="2" t="s">
        <v>406</v>
      </c>
      <c r="B121" s="1" t="s">
        <v>407</v>
      </c>
      <c r="C121">
        <f t="shared" si="1"/>
        <v>36</v>
      </c>
      <c r="D121">
        <v>1</v>
      </c>
      <c r="E121">
        <v>1</v>
      </c>
    </row>
    <row r="122" spans="1:5">
      <c r="A122" s="2" t="s">
        <v>408</v>
      </c>
      <c r="B122" s="1" t="s">
        <v>409</v>
      </c>
      <c r="C122">
        <f t="shared" si="1"/>
        <v>6</v>
      </c>
      <c r="D122">
        <v>1</v>
      </c>
      <c r="E122">
        <v>1</v>
      </c>
    </row>
    <row r="123" spans="1:5">
      <c r="B123" s="1" t="s">
        <v>410</v>
      </c>
      <c r="C123">
        <f t="shared" si="1"/>
        <v>11</v>
      </c>
      <c r="D123">
        <v>1</v>
      </c>
      <c r="E123">
        <v>1</v>
      </c>
    </row>
    <row r="124" spans="1:5">
      <c r="A124" s="2" t="s">
        <v>411</v>
      </c>
      <c r="B124" s="1" t="s">
        <v>412</v>
      </c>
      <c r="C124">
        <f t="shared" si="1"/>
        <v>14</v>
      </c>
      <c r="D124">
        <v>1</v>
      </c>
      <c r="E124">
        <v>1</v>
      </c>
    </row>
    <row r="125" spans="1:5">
      <c r="A125" s="2" t="s">
        <v>413</v>
      </c>
      <c r="B125" s="1" t="s">
        <v>414</v>
      </c>
      <c r="C125">
        <f t="shared" si="1"/>
        <v>22</v>
      </c>
      <c r="D125">
        <v>1</v>
      </c>
      <c r="E125">
        <v>1</v>
      </c>
    </row>
    <row r="126" spans="1:5">
      <c r="A126" s="2" t="s">
        <v>415</v>
      </c>
      <c r="B126" s="1" t="s">
        <v>416</v>
      </c>
      <c r="C126">
        <f t="shared" si="1"/>
        <v>7</v>
      </c>
      <c r="D126">
        <v>1</v>
      </c>
      <c r="E126">
        <v>1</v>
      </c>
    </row>
    <row r="127" spans="1:5">
      <c r="B127" s="1" t="s">
        <v>417</v>
      </c>
      <c r="C127">
        <f t="shared" si="1"/>
        <v>9</v>
      </c>
      <c r="D127">
        <v>1</v>
      </c>
      <c r="E127">
        <v>1</v>
      </c>
    </row>
    <row r="128" spans="1:5">
      <c r="A128" s="2" t="s">
        <v>418</v>
      </c>
      <c r="B128" s="1" t="s">
        <v>419</v>
      </c>
      <c r="C128">
        <f t="shared" si="1"/>
        <v>10</v>
      </c>
      <c r="D128">
        <v>1</v>
      </c>
      <c r="E128">
        <v>1</v>
      </c>
    </row>
    <row r="129" spans="1:5">
      <c r="B129" s="1" t="s">
        <v>420</v>
      </c>
      <c r="C129">
        <f t="shared" si="1"/>
        <v>19</v>
      </c>
      <c r="D129">
        <v>1</v>
      </c>
      <c r="E129">
        <v>1</v>
      </c>
    </row>
    <row r="130" spans="1:5">
      <c r="B130" s="1" t="s">
        <v>421</v>
      </c>
      <c r="C130">
        <f t="shared" si="1"/>
        <v>11</v>
      </c>
      <c r="D130">
        <v>1</v>
      </c>
      <c r="E130">
        <v>1</v>
      </c>
    </row>
    <row r="131" spans="1:5">
      <c r="A131" s="2" t="s">
        <v>422</v>
      </c>
      <c r="B131" s="1" t="s">
        <v>423</v>
      </c>
      <c r="C131">
        <f t="shared" si="1"/>
        <v>21</v>
      </c>
      <c r="D131">
        <v>1</v>
      </c>
      <c r="E131">
        <v>1</v>
      </c>
    </row>
    <row r="132" spans="1:5">
      <c r="A132" s="2" t="s">
        <v>424</v>
      </c>
      <c r="B132" s="1" t="s">
        <v>425</v>
      </c>
      <c r="C132">
        <f t="shared" si="1"/>
        <v>24</v>
      </c>
      <c r="D132">
        <v>1</v>
      </c>
      <c r="E132">
        <v>1</v>
      </c>
    </row>
    <row r="133" spans="1:5">
      <c r="A133" s="2" t="s">
        <v>426</v>
      </c>
      <c r="B133" s="1" t="s">
        <v>427</v>
      </c>
      <c r="C133">
        <f t="shared" ref="C133:C167" si="2">IF(B133&lt;&gt;"",LEN(B133),"")</f>
        <v>10</v>
      </c>
      <c r="D133">
        <v>1</v>
      </c>
      <c r="E133">
        <v>1</v>
      </c>
    </row>
    <row r="134" spans="1:5">
      <c r="A134" s="2" t="s">
        <v>428</v>
      </c>
      <c r="B134" s="1" t="s">
        <v>429</v>
      </c>
      <c r="C134">
        <f t="shared" si="2"/>
        <v>12</v>
      </c>
      <c r="D134">
        <v>1</v>
      </c>
      <c r="E134">
        <v>1</v>
      </c>
    </row>
    <row r="135" spans="1:5">
      <c r="A135" s="2" t="s">
        <v>430</v>
      </c>
      <c r="B135" s="1" t="s">
        <v>431</v>
      </c>
      <c r="C135">
        <f t="shared" si="2"/>
        <v>4</v>
      </c>
      <c r="D135">
        <v>1</v>
      </c>
      <c r="E135">
        <v>1</v>
      </c>
    </row>
    <row r="136" spans="1:5">
      <c r="B136" s="1" t="s">
        <v>432</v>
      </c>
      <c r="C136">
        <f t="shared" si="2"/>
        <v>27</v>
      </c>
      <c r="D136">
        <v>1</v>
      </c>
      <c r="E136">
        <v>1</v>
      </c>
    </row>
    <row r="137" spans="1:5">
      <c r="A137" s="2" t="s">
        <v>433</v>
      </c>
      <c r="B137" s="1" t="s">
        <v>434</v>
      </c>
      <c r="C137">
        <f t="shared" si="2"/>
        <v>17</v>
      </c>
      <c r="D137">
        <v>1</v>
      </c>
      <c r="E137">
        <v>1</v>
      </c>
    </row>
    <row r="138" spans="1:5">
      <c r="A138" s="2" t="s">
        <v>435</v>
      </c>
      <c r="B138" s="1" t="s">
        <v>436</v>
      </c>
      <c r="C138">
        <f t="shared" si="2"/>
        <v>5</v>
      </c>
      <c r="D138">
        <v>1</v>
      </c>
      <c r="E138">
        <v>1</v>
      </c>
    </row>
    <row r="139" spans="1:5">
      <c r="A139" s="2" t="s">
        <v>437</v>
      </c>
      <c r="B139" s="1" t="s">
        <v>438</v>
      </c>
      <c r="C139">
        <f t="shared" si="2"/>
        <v>22</v>
      </c>
      <c r="D139">
        <v>1</v>
      </c>
      <c r="E139">
        <v>1</v>
      </c>
    </row>
    <row r="140" spans="1:5">
      <c r="A140" s="2" t="s">
        <v>439</v>
      </c>
      <c r="B140" s="1" t="s">
        <v>440</v>
      </c>
      <c r="C140">
        <f t="shared" si="2"/>
        <v>4</v>
      </c>
      <c r="D140">
        <v>1</v>
      </c>
      <c r="E140">
        <v>1</v>
      </c>
    </row>
    <row r="141" spans="1:5">
      <c r="A141" s="2" t="s">
        <v>441</v>
      </c>
      <c r="B141" s="1" t="s">
        <v>442</v>
      </c>
      <c r="C141">
        <f t="shared" si="2"/>
        <v>23</v>
      </c>
      <c r="D141">
        <v>1</v>
      </c>
      <c r="E141">
        <v>1</v>
      </c>
    </row>
    <row r="142" spans="1:5">
      <c r="A142" s="2" t="s">
        <v>443</v>
      </c>
      <c r="B142" s="1" t="s">
        <v>444</v>
      </c>
      <c r="C142">
        <f t="shared" si="2"/>
        <v>11</v>
      </c>
      <c r="D142">
        <v>1</v>
      </c>
      <c r="E142">
        <v>1</v>
      </c>
    </row>
    <row r="143" spans="1:5">
      <c r="B143" s="1" t="s">
        <v>445</v>
      </c>
      <c r="C143">
        <f t="shared" si="2"/>
        <v>11</v>
      </c>
      <c r="D143">
        <v>1</v>
      </c>
      <c r="E143">
        <v>1</v>
      </c>
    </row>
    <row r="144" spans="1:5">
      <c r="B144" s="1" t="s">
        <v>446</v>
      </c>
      <c r="C144">
        <f t="shared" si="2"/>
        <v>8</v>
      </c>
      <c r="D144">
        <v>0</v>
      </c>
      <c r="E144">
        <v>1</v>
      </c>
    </row>
    <row r="145" spans="1:6">
      <c r="A145" s="2" t="s">
        <v>447</v>
      </c>
      <c r="B145" s="1" t="s">
        <v>448</v>
      </c>
      <c r="C145">
        <f t="shared" si="2"/>
        <v>21</v>
      </c>
      <c r="D145">
        <v>0</v>
      </c>
      <c r="E145">
        <v>1</v>
      </c>
    </row>
    <row r="146" spans="1:6">
      <c r="B146" s="1" t="s">
        <v>449</v>
      </c>
      <c r="C146">
        <f t="shared" si="2"/>
        <v>22</v>
      </c>
      <c r="D146">
        <v>1</v>
      </c>
      <c r="E146">
        <v>1</v>
      </c>
    </row>
    <row r="147" spans="1:6">
      <c r="A147" s="2" t="s">
        <v>450</v>
      </c>
      <c r="B147" s="1" t="s">
        <v>451</v>
      </c>
      <c r="C147">
        <f t="shared" si="2"/>
        <v>4</v>
      </c>
      <c r="D147">
        <v>1</v>
      </c>
      <c r="E147">
        <v>1</v>
      </c>
    </row>
    <row r="148" spans="1:6">
      <c r="A148" s="2" t="s">
        <v>452</v>
      </c>
      <c r="B148" s="1" t="s">
        <v>453</v>
      </c>
      <c r="C148">
        <f t="shared" si="2"/>
        <v>8</v>
      </c>
      <c r="D148">
        <v>1</v>
      </c>
      <c r="E148">
        <v>1</v>
      </c>
    </row>
    <row r="149" spans="1:6">
      <c r="B149" s="1" t="s">
        <v>454</v>
      </c>
      <c r="C149">
        <f t="shared" si="2"/>
        <v>9</v>
      </c>
      <c r="D149">
        <v>1</v>
      </c>
      <c r="E149">
        <v>1</v>
      </c>
    </row>
    <row r="150" spans="1:6">
      <c r="A150" s="2" t="s">
        <v>455</v>
      </c>
      <c r="B150" s="1" t="s">
        <v>456</v>
      </c>
      <c r="C150">
        <f t="shared" si="2"/>
        <v>4</v>
      </c>
      <c r="D150">
        <v>1</v>
      </c>
      <c r="E150">
        <v>1</v>
      </c>
    </row>
    <row r="151" spans="1:6">
      <c r="A151" s="2" t="s">
        <v>457</v>
      </c>
      <c r="B151" s="1" t="s">
        <v>458</v>
      </c>
      <c r="C151">
        <f t="shared" si="2"/>
        <v>14</v>
      </c>
      <c r="D151">
        <v>1</v>
      </c>
      <c r="E151">
        <v>1</v>
      </c>
    </row>
    <row r="152" spans="1:6">
      <c r="A152" s="2" t="s">
        <v>459</v>
      </c>
      <c r="B152" s="1" t="s">
        <v>460</v>
      </c>
      <c r="C152">
        <f t="shared" si="2"/>
        <v>6</v>
      </c>
      <c r="D152">
        <v>1</v>
      </c>
      <c r="E152">
        <v>1</v>
      </c>
    </row>
    <row r="153" spans="1:6" ht="36">
      <c r="A153" s="2" t="s">
        <v>461</v>
      </c>
      <c r="B153" s="1" t="s">
        <v>462</v>
      </c>
      <c r="C153">
        <f t="shared" si="2"/>
        <v>33</v>
      </c>
      <c r="D153">
        <v>1</v>
      </c>
      <c r="E153">
        <v>1</v>
      </c>
    </row>
    <row r="154" spans="1:6">
      <c r="A154" s="2" t="s">
        <v>463</v>
      </c>
      <c r="B154" s="1" t="s">
        <v>464</v>
      </c>
      <c r="C154">
        <f t="shared" si="2"/>
        <v>3</v>
      </c>
      <c r="D154">
        <v>1</v>
      </c>
      <c r="E154">
        <v>1</v>
      </c>
    </row>
    <row r="155" spans="1:6">
      <c r="A155" s="2" t="s">
        <v>465</v>
      </c>
      <c r="B155" s="1" t="s">
        <v>466</v>
      </c>
      <c r="C155">
        <f t="shared" si="2"/>
        <v>8</v>
      </c>
      <c r="D155">
        <v>1</v>
      </c>
      <c r="E155">
        <v>1</v>
      </c>
    </row>
    <row r="156" spans="1:6">
      <c r="B156" s="1" t="s">
        <v>467</v>
      </c>
      <c r="C156">
        <f t="shared" si="2"/>
        <v>23</v>
      </c>
      <c r="D156">
        <v>1</v>
      </c>
      <c r="E156">
        <v>1</v>
      </c>
    </row>
    <row r="157" spans="1:6" ht="36">
      <c r="A157" s="2" t="s">
        <v>468</v>
      </c>
      <c r="B157" s="1" t="s">
        <v>469</v>
      </c>
      <c r="C157">
        <f t="shared" si="2"/>
        <v>47</v>
      </c>
      <c r="D157">
        <v>1</v>
      </c>
      <c r="E157">
        <v>1</v>
      </c>
    </row>
    <row r="158" spans="1:6">
      <c r="A158" s="2" t="s">
        <v>470</v>
      </c>
      <c r="B158" s="1" t="s">
        <v>471</v>
      </c>
      <c r="C158">
        <f t="shared" si="2"/>
        <v>4</v>
      </c>
      <c r="D158">
        <v>1</v>
      </c>
      <c r="E158">
        <v>1</v>
      </c>
      <c r="F158" t="s">
        <v>472</v>
      </c>
    </row>
    <row r="159" spans="1:6">
      <c r="A159" s="2" t="s">
        <v>473</v>
      </c>
      <c r="B159" s="1" t="s">
        <v>474</v>
      </c>
      <c r="C159">
        <f t="shared" si="2"/>
        <v>19</v>
      </c>
      <c r="D159">
        <v>1</v>
      </c>
      <c r="E159">
        <v>1</v>
      </c>
    </row>
    <row r="160" spans="1:6">
      <c r="B160" s="1" t="s">
        <v>475</v>
      </c>
      <c r="C160">
        <f t="shared" si="2"/>
        <v>19</v>
      </c>
      <c r="D160">
        <v>1</v>
      </c>
      <c r="E160">
        <v>1</v>
      </c>
    </row>
    <row r="161" spans="1:5" ht="36">
      <c r="A161" s="2" t="s">
        <v>476</v>
      </c>
      <c r="B161" s="1" t="s">
        <v>477</v>
      </c>
      <c r="C161">
        <f t="shared" si="2"/>
        <v>33</v>
      </c>
      <c r="D161">
        <v>1</v>
      </c>
      <c r="E161">
        <v>1</v>
      </c>
    </row>
    <row r="162" spans="1:5">
      <c r="A162" s="2" t="s">
        <v>478</v>
      </c>
      <c r="B162" s="1" t="s">
        <v>479</v>
      </c>
      <c r="C162">
        <f t="shared" si="2"/>
        <v>20</v>
      </c>
      <c r="D162">
        <v>0</v>
      </c>
      <c r="E162">
        <v>1</v>
      </c>
    </row>
    <row r="163" spans="1:5">
      <c r="A163" s="2" t="s">
        <v>480</v>
      </c>
      <c r="B163" s="1" t="s">
        <v>481</v>
      </c>
      <c r="C163">
        <f t="shared" si="2"/>
        <v>6</v>
      </c>
    </row>
    <row r="164" spans="1:5">
      <c r="B164" s="1" t="s">
        <v>482</v>
      </c>
      <c r="C164">
        <f t="shared" si="2"/>
        <v>5</v>
      </c>
      <c r="D164">
        <v>0</v>
      </c>
      <c r="E164">
        <v>1</v>
      </c>
    </row>
    <row r="165" spans="1:5">
      <c r="C165" t="str">
        <f t="shared" si="2"/>
        <v/>
      </c>
    </row>
    <row r="166" spans="1:5">
      <c r="C166" t="str">
        <f t="shared" si="2"/>
        <v/>
      </c>
    </row>
    <row r="167" spans="1:5">
      <c r="C167" t="str">
        <f t="shared" si="2"/>
        <v/>
      </c>
    </row>
  </sheetData>
  <phoneticPr fontId="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F9CC9E-C16B-47FB-9828-AB54DA98ADFB}">
  <sheetPr codeName="Sheet7"/>
  <dimension ref="A1:E167"/>
  <sheetViews>
    <sheetView tabSelected="1" zoomScaleNormal="100" workbookViewId="0">
      <pane xSplit="1" ySplit="3" topLeftCell="B37" activePane="bottomRight" state="frozen"/>
      <selection pane="topRight" activeCell="B1" sqref="B1"/>
      <selection pane="bottomLeft" activeCell="A4" sqref="A4"/>
      <selection pane="bottomRight" activeCell="E62" sqref="E62"/>
    </sheetView>
  </sheetViews>
  <sheetFormatPr defaultRowHeight="18"/>
  <cols>
    <col min="1" max="1" width="9" style="2"/>
    <col min="2" max="2" width="64.09765625" style="1" customWidth="1"/>
    <col min="3" max="3" width="9.69921875" customWidth="1"/>
  </cols>
  <sheetData>
    <row r="1" spans="1:5">
      <c r="A1" s="2" t="s">
        <v>0</v>
      </c>
      <c r="B1" s="1" t="s">
        <v>35</v>
      </c>
    </row>
    <row r="2" spans="1:5">
      <c r="A2" s="2" t="s">
        <v>2</v>
      </c>
      <c r="B2" s="3" t="s">
        <v>483</v>
      </c>
      <c r="D2">
        <f>SUM(D4:D1000)</f>
        <v>42</v>
      </c>
      <c r="E2">
        <f>SUM(E4:E1000)</f>
        <v>54</v>
      </c>
    </row>
    <row r="3" spans="1:5">
      <c r="A3" s="2" t="s">
        <v>1</v>
      </c>
      <c r="B3" s="1" t="s">
        <v>3</v>
      </c>
      <c r="C3" t="s">
        <v>6</v>
      </c>
      <c r="D3" t="s">
        <v>4</v>
      </c>
      <c r="E3" t="s">
        <v>5</v>
      </c>
    </row>
    <row r="4" spans="1:5">
      <c r="A4" s="2" t="s">
        <v>484</v>
      </c>
      <c r="B4" s="1" t="s">
        <v>485</v>
      </c>
      <c r="C4">
        <f>IF(B4&lt;&gt;"",LEN(B4),"")</f>
        <v>4</v>
      </c>
      <c r="D4">
        <v>1</v>
      </c>
      <c r="E4">
        <v>1</v>
      </c>
    </row>
    <row r="5" spans="1:5">
      <c r="B5" s="1" t="s">
        <v>486</v>
      </c>
      <c r="C5">
        <f t="shared" ref="C5:C68" si="0">IF(B5&lt;&gt;"",LEN(B5),"")</f>
        <v>3</v>
      </c>
      <c r="D5">
        <v>1</v>
      </c>
      <c r="E5">
        <v>1</v>
      </c>
    </row>
    <row r="6" spans="1:5">
      <c r="A6" s="2" t="s">
        <v>487</v>
      </c>
      <c r="B6" s="1" t="s">
        <v>488</v>
      </c>
      <c r="C6">
        <f t="shared" si="0"/>
        <v>29</v>
      </c>
      <c r="D6">
        <v>1</v>
      </c>
      <c r="E6">
        <v>1</v>
      </c>
    </row>
    <row r="7" spans="1:5">
      <c r="A7" s="2" t="s">
        <v>489</v>
      </c>
      <c r="B7" s="1" t="s">
        <v>490</v>
      </c>
      <c r="C7">
        <f t="shared" si="0"/>
        <v>21</v>
      </c>
      <c r="D7">
        <v>1</v>
      </c>
      <c r="E7">
        <v>1</v>
      </c>
    </row>
    <row r="8" spans="1:5">
      <c r="A8" s="2" t="s">
        <v>491</v>
      </c>
      <c r="B8" s="1" t="s">
        <v>492</v>
      </c>
      <c r="C8">
        <f t="shared" si="0"/>
        <v>16</v>
      </c>
      <c r="D8">
        <v>1</v>
      </c>
      <c r="E8">
        <v>1</v>
      </c>
    </row>
    <row r="9" spans="1:5">
      <c r="A9" s="2" t="s">
        <v>493</v>
      </c>
      <c r="B9" s="1" t="s">
        <v>494</v>
      </c>
      <c r="C9">
        <f t="shared" si="0"/>
        <v>16</v>
      </c>
      <c r="D9">
        <v>1</v>
      </c>
      <c r="E9">
        <v>1</v>
      </c>
    </row>
    <row r="10" spans="1:5">
      <c r="A10" s="2" t="s">
        <v>210</v>
      </c>
      <c r="B10" s="1" t="s">
        <v>495</v>
      </c>
      <c r="C10">
        <f t="shared" si="0"/>
        <v>21</v>
      </c>
      <c r="D10">
        <v>1</v>
      </c>
      <c r="E10">
        <v>1</v>
      </c>
    </row>
    <row r="11" spans="1:5">
      <c r="A11" s="2" t="s">
        <v>496</v>
      </c>
      <c r="B11" s="1" t="s">
        <v>497</v>
      </c>
      <c r="C11">
        <f t="shared" si="0"/>
        <v>18</v>
      </c>
      <c r="D11">
        <v>1</v>
      </c>
      <c r="E11">
        <v>1</v>
      </c>
    </row>
    <row r="12" spans="1:5">
      <c r="A12" s="2" t="s">
        <v>215</v>
      </c>
      <c r="B12" s="1" t="s">
        <v>498</v>
      </c>
      <c r="C12">
        <f t="shared" si="0"/>
        <v>10</v>
      </c>
      <c r="D12">
        <v>1</v>
      </c>
      <c r="E12">
        <v>1</v>
      </c>
    </row>
    <row r="13" spans="1:5">
      <c r="B13" s="1" t="s">
        <v>499</v>
      </c>
      <c r="C13">
        <f t="shared" si="0"/>
        <v>12</v>
      </c>
      <c r="D13">
        <v>1</v>
      </c>
      <c r="E13">
        <v>1</v>
      </c>
    </row>
    <row r="14" spans="1:5">
      <c r="A14" s="2" t="s">
        <v>500</v>
      </c>
      <c r="B14" s="1" t="s">
        <v>501</v>
      </c>
      <c r="C14">
        <f t="shared" si="0"/>
        <v>5</v>
      </c>
      <c r="D14">
        <v>0</v>
      </c>
      <c r="E14">
        <v>1</v>
      </c>
    </row>
    <row r="15" spans="1:5">
      <c r="A15" s="2" t="s">
        <v>502</v>
      </c>
      <c r="B15" s="1" t="s">
        <v>503</v>
      </c>
      <c r="C15">
        <f t="shared" si="0"/>
        <v>21</v>
      </c>
      <c r="D15">
        <v>1</v>
      </c>
      <c r="E15">
        <v>1</v>
      </c>
    </row>
    <row r="16" spans="1:5">
      <c r="A16" s="2" t="s">
        <v>504</v>
      </c>
      <c r="B16" s="1" t="s">
        <v>505</v>
      </c>
      <c r="C16">
        <f t="shared" si="0"/>
        <v>32</v>
      </c>
      <c r="D16">
        <v>1</v>
      </c>
      <c r="E16">
        <v>1</v>
      </c>
    </row>
    <row r="17" spans="1:5" ht="36">
      <c r="A17" s="2" t="s">
        <v>506</v>
      </c>
      <c r="B17" s="1" t="s">
        <v>507</v>
      </c>
      <c r="C17">
        <f t="shared" si="0"/>
        <v>42</v>
      </c>
      <c r="D17">
        <v>0</v>
      </c>
      <c r="E17">
        <v>1</v>
      </c>
    </row>
    <row r="18" spans="1:5">
      <c r="A18" s="2" t="s">
        <v>233</v>
      </c>
      <c r="B18" s="1" t="s">
        <v>508</v>
      </c>
      <c r="C18">
        <f t="shared" si="0"/>
        <v>6</v>
      </c>
      <c r="D18">
        <v>0</v>
      </c>
      <c r="E18">
        <v>1</v>
      </c>
    </row>
    <row r="19" spans="1:5">
      <c r="A19" s="2" t="s">
        <v>509</v>
      </c>
      <c r="B19" s="1" t="s">
        <v>510</v>
      </c>
      <c r="C19">
        <f t="shared" si="0"/>
        <v>21</v>
      </c>
      <c r="D19">
        <v>0</v>
      </c>
      <c r="E19">
        <v>1</v>
      </c>
    </row>
    <row r="20" spans="1:5">
      <c r="A20" s="2" t="s">
        <v>238</v>
      </c>
      <c r="B20" s="1" t="s">
        <v>511</v>
      </c>
      <c r="C20">
        <f t="shared" si="0"/>
        <v>16</v>
      </c>
      <c r="D20">
        <v>1</v>
      </c>
      <c r="E20">
        <v>1</v>
      </c>
    </row>
    <row r="21" spans="1:5">
      <c r="A21" s="2" t="s">
        <v>512</v>
      </c>
      <c r="B21" s="1" t="s">
        <v>513</v>
      </c>
      <c r="C21">
        <f t="shared" si="0"/>
        <v>12</v>
      </c>
      <c r="D21">
        <v>1</v>
      </c>
      <c r="E21">
        <v>1</v>
      </c>
    </row>
    <row r="22" spans="1:5">
      <c r="A22" s="2" t="s">
        <v>39</v>
      </c>
      <c r="B22" s="1" t="s">
        <v>514</v>
      </c>
      <c r="C22">
        <f t="shared" si="0"/>
        <v>29</v>
      </c>
      <c r="D22">
        <v>1</v>
      </c>
      <c r="E22">
        <v>1</v>
      </c>
    </row>
    <row r="23" spans="1:5">
      <c r="A23" s="2" t="s">
        <v>515</v>
      </c>
      <c r="B23" s="1" t="s">
        <v>516</v>
      </c>
      <c r="C23">
        <f t="shared" si="0"/>
        <v>10</v>
      </c>
      <c r="D23">
        <v>1</v>
      </c>
      <c r="E23">
        <v>1</v>
      </c>
    </row>
    <row r="24" spans="1:5">
      <c r="A24" s="2" t="s">
        <v>517</v>
      </c>
      <c r="B24" s="1" t="s">
        <v>518</v>
      </c>
      <c r="C24">
        <f t="shared" si="0"/>
        <v>19</v>
      </c>
      <c r="D24">
        <v>1</v>
      </c>
      <c r="E24">
        <v>1</v>
      </c>
    </row>
    <row r="25" spans="1:5">
      <c r="A25" s="2" t="s">
        <v>519</v>
      </c>
      <c r="B25" s="1" t="s">
        <v>520</v>
      </c>
      <c r="C25">
        <f t="shared" si="0"/>
        <v>9</v>
      </c>
      <c r="D25">
        <v>1</v>
      </c>
      <c r="E25">
        <v>1</v>
      </c>
    </row>
    <row r="26" spans="1:5">
      <c r="A26" s="2" t="s">
        <v>521</v>
      </c>
      <c r="B26" s="1" t="s">
        <v>522</v>
      </c>
      <c r="C26">
        <f t="shared" si="0"/>
        <v>24</v>
      </c>
      <c r="D26">
        <v>1</v>
      </c>
      <c r="E26">
        <v>1</v>
      </c>
    </row>
    <row r="27" spans="1:5">
      <c r="A27" s="2" t="s">
        <v>523</v>
      </c>
      <c r="B27" s="1" t="s">
        <v>524</v>
      </c>
      <c r="C27">
        <f t="shared" si="0"/>
        <v>34</v>
      </c>
      <c r="D27">
        <v>0</v>
      </c>
      <c r="E27">
        <v>1</v>
      </c>
    </row>
    <row r="28" spans="1:5">
      <c r="A28" s="2" t="s">
        <v>525</v>
      </c>
      <c r="B28" s="1" t="s">
        <v>526</v>
      </c>
      <c r="C28">
        <f t="shared" si="0"/>
        <v>11</v>
      </c>
      <c r="D28">
        <v>1</v>
      </c>
      <c r="E28">
        <v>1</v>
      </c>
    </row>
    <row r="29" spans="1:5">
      <c r="B29" s="1" t="s">
        <v>527</v>
      </c>
      <c r="C29">
        <f t="shared" si="0"/>
        <v>15</v>
      </c>
      <c r="D29">
        <v>1</v>
      </c>
      <c r="E29">
        <v>1</v>
      </c>
    </row>
    <row r="30" spans="1:5">
      <c r="A30" s="2" t="s">
        <v>65</v>
      </c>
      <c r="B30" s="1" t="s">
        <v>528</v>
      </c>
      <c r="C30">
        <f t="shared" si="0"/>
        <v>5</v>
      </c>
      <c r="D30">
        <v>1</v>
      </c>
      <c r="E30">
        <v>1</v>
      </c>
    </row>
    <row r="31" spans="1:5">
      <c r="B31" s="1" t="s">
        <v>529</v>
      </c>
      <c r="C31">
        <f t="shared" si="0"/>
        <v>21</v>
      </c>
      <c r="D31">
        <v>1</v>
      </c>
      <c r="E31">
        <v>1</v>
      </c>
    </row>
    <row r="32" spans="1:5">
      <c r="A32" s="2" t="s">
        <v>530</v>
      </c>
      <c r="B32" s="1" t="s">
        <v>531</v>
      </c>
      <c r="C32">
        <f t="shared" si="0"/>
        <v>36</v>
      </c>
      <c r="D32">
        <v>1</v>
      </c>
      <c r="E32">
        <v>1</v>
      </c>
    </row>
    <row r="33" spans="1:5">
      <c r="A33" s="2" t="s">
        <v>278</v>
      </c>
      <c r="B33" s="1" t="s">
        <v>532</v>
      </c>
      <c r="C33">
        <f t="shared" si="0"/>
        <v>8</v>
      </c>
      <c r="D33">
        <v>0</v>
      </c>
      <c r="E33">
        <v>1</v>
      </c>
    </row>
    <row r="34" spans="1:5">
      <c r="B34" s="1" t="s">
        <v>533</v>
      </c>
      <c r="C34">
        <f t="shared" si="0"/>
        <v>23</v>
      </c>
    </row>
    <row r="35" spans="1:5">
      <c r="A35" s="2" t="s">
        <v>534</v>
      </c>
      <c r="B35" s="1" t="s">
        <v>535</v>
      </c>
      <c r="C35">
        <f t="shared" si="0"/>
        <v>32</v>
      </c>
      <c r="D35">
        <v>1</v>
      </c>
      <c r="E35">
        <v>1</v>
      </c>
    </row>
    <row r="36" spans="1:5">
      <c r="A36" s="2" t="s">
        <v>536</v>
      </c>
      <c r="B36" s="1" t="s">
        <v>537</v>
      </c>
      <c r="C36">
        <f t="shared" si="0"/>
        <v>29</v>
      </c>
      <c r="D36">
        <v>1</v>
      </c>
      <c r="E36">
        <v>1</v>
      </c>
    </row>
    <row r="37" spans="1:5">
      <c r="A37" s="2" t="s">
        <v>65</v>
      </c>
      <c r="B37" s="1" t="s">
        <v>538</v>
      </c>
      <c r="C37">
        <f t="shared" si="0"/>
        <v>7</v>
      </c>
      <c r="D37">
        <v>1</v>
      </c>
      <c r="E37">
        <v>1</v>
      </c>
    </row>
    <row r="38" spans="1:5">
      <c r="A38" s="2" t="s">
        <v>539</v>
      </c>
      <c r="B38" s="1" t="s">
        <v>540</v>
      </c>
      <c r="C38">
        <f t="shared" si="0"/>
        <v>14</v>
      </c>
      <c r="D38">
        <v>1</v>
      </c>
      <c r="E38">
        <v>1</v>
      </c>
    </row>
    <row r="39" spans="1:5">
      <c r="A39" s="2" t="s">
        <v>541</v>
      </c>
      <c r="B39" s="1" t="s">
        <v>542</v>
      </c>
      <c r="C39">
        <f t="shared" si="0"/>
        <v>18</v>
      </c>
      <c r="D39">
        <v>0</v>
      </c>
      <c r="E39">
        <v>1</v>
      </c>
    </row>
    <row r="40" spans="1:5">
      <c r="A40" s="2" t="s">
        <v>543</v>
      </c>
      <c r="B40" s="5" t="s">
        <v>546</v>
      </c>
      <c r="C40">
        <f t="shared" si="0"/>
        <v>26</v>
      </c>
      <c r="D40">
        <v>1</v>
      </c>
      <c r="E40">
        <v>1</v>
      </c>
    </row>
    <row r="41" spans="1:5">
      <c r="A41" s="2" t="s">
        <v>545</v>
      </c>
      <c r="B41" s="1" t="s">
        <v>544</v>
      </c>
      <c r="C41">
        <f t="shared" ref="C41" si="1">IF(B41&lt;&gt;"",LEN(B41),"")</f>
        <v>22</v>
      </c>
      <c r="D41">
        <v>1</v>
      </c>
      <c r="E41">
        <v>1</v>
      </c>
    </row>
    <row r="42" spans="1:5">
      <c r="A42" s="2" t="s">
        <v>547</v>
      </c>
      <c r="B42" s="1" t="s">
        <v>548</v>
      </c>
      <c r="C42">
        <f t="shared" si="0"/>
        <v>19</v>
      </c>
      <c r="D42">
        <v>1</v>
      </c>
      <c r="E42">
        <v>1</v>
      </c>
    </row>
    <row r="43" spans="1:5">
      <c r="B43" s="1" t="s">
        <v>549</v>
      </c>
      <c r="C43">
        <f t="shared" si="0"/>
        <v>15</v>
      </c>
      <c r="D43">
        <v>1</v>
      </c>
      <c r="E43">
        <v>1</v>
      </c>
    </row>
    <row r="44" spans="1:5">
      <c r="B44" s="1" t="s">
        <v>550</v>
      </c>
      <c r="C44">
        <f t="shared" si="0"/>
        <v>5</v>
      </c>
      <c r="D44">
        <v>1</v>
      </c>
      <c r="E44">
        <v>1</v>
      </c>
    </row>
    <row r="45" spans="1:5">
      <c r="A45" s="2" t="s">
        <v>551</v>
      </c>
      <c r="B45" s="1" t="s">
        <v>552</v>
      </c>
      <c r="C45">
        <f t="shared" si="0"/>
        <v>9</v>
      </c>
      <c r="D45">
        <v>1</v>
      </c>
      <c r="E45">
        <v>1</v>
      </c>
    </row>
    <row r="46" spans="1:5">
      <c r="B46" s="1" t="s">
        <v>553</v>
      </c>
      <c r="C46">
        <f t="shared" si="0"/>
        <v>9</v>
      </c>
      <c r="D46">
        <v>1</v>
      </c>
      <c r="E46">
        <v>1</v>
      </c>
    </row>
    <row r="47" spans="1:5">
      <c r="B47" s="1" t="s">
        <v>554</v>
      </c>
      <c r="C47">
        <f t="shared" si="0"/>
        <v>7</v>
      </c>
      <c r="D47">
        <v>1</v>
      </c>
      <c r="E47">
        <v>1</v>
      </c>
    </row>
    <row r="48" spans="1:5">
      <c r="B48" s="1" t="s">
        <v>555</v>
      </c>
      <c r="C48">
        <f t="shared" si="0"/>
        <v>9</v>
      </c>
      <c r="D48">
        <v>1</v>
      </c>
      <c r="E48">
        <v>1</v>
      </c>
    </row>
    <row r="49" spans="1:5">
      <c r="A49" s="2" t="s">
        <v>556</v>
      </c>
      <c r="B49" s="1" t="s">
        <v>557</v>
      </c>
      <c r="C49">
        <f t="shared" si="0"/>
        <v>5</v>
      </c>
      <c r="D49">
        <v>1</v>
      </c>
      <c r="E49">
        <v>1</v>
      </c>
    </row>
    <row r="50" spans="1:5">
      <c r="B50" s="1" t="s">
        <v>558</v>
      </c>
      <c r="C50">
        <f t="shared" si="0"/>
        <v>26</v>
      </c>
    </row>
    <row r="51" spans="1:5">
      <c r="A51" s="2" t="s">
        <v>559</v>
      </c>
      <c r="B51" s="1" t="s">
        <v>560</v>
      </c>
      <c r="C51">
        <f t="shared" si="0"/>
        <v>25</v>
      </c>
      <c r="D51">
        <v>0</v>
      </c>
      <c r="E51">
        <v>1</v>
      </c>
    </row>
    <row r="52" spans="1:5">
      <c r="B52" s="1" t="s">
        <v>561</v>
      </c>
      <c r="C52">
        <f t="shared" si="0"/>
        <v>35</v>
      </c>
    </row>
    <row r="53" spans="1:5">
      <c r="A53" s="2" t="s">
        <v>562</v>
      </c>
      <c r="B53" s="1" t="s">
        <v>563</v>
      </c>
      <c r="C53">
        <f t="shared" si="0"/>
        <v>13</v>
      </c>
    </row>
    <row r="54" spans="1:5">
      <c r="A54" s="2" t="s">
        <v>564</v>
      </c>
      <c r="B54" s="1" t="s">
        <v>565</v>
      </c>
      <c r="C54">
        <f t="shared" si="0"/>
        <v>7</v>
      </c>
      <c r="D54">
        <v>1</v>
      </c>
      <c r="E54">
        <v>1</v>
      </c>
    </row>
    <row r="55" spans="1:5">
      <c r="B55" s="1" t="s">
        <v>566</v>
      </c>
      <c r="C55">
        <f t="shared" si="0"/>
        <v>7</v>
      </c>
      <c r="D55">
        <v>1</v>
      </c>
      <c r="E55">
        <v>1</v>
      </c>
    </row>
    <row r="56" spans="1:5">
      <c r="A56" s="2" t="s">
        <v>567</v>
      </c>
      <c r="B56" s="1" t="s">
        <v>568</v>
      </c>
      <c r="C56">
        <f t="shared" si="0"/>
        <v>18</v>
      </c>
      <c r="D56">
        <v>1</v>
      </c>
      <c r="E56">
        <v>1</v>
      </c>
    </row>
    <row r="57" spans="1:5">
      <c r="A57" s="2" t="s">
        <v>569</v>
      </c>
      <c r="B57" s="1" t="s">
        <v>570</v>
      </c>
      <c r="C57">
        <f t="shared" si="0"/>
        <v>32</v>
      </c>
      <c r="D57">
        <v>0</v>
      </c>
      <c r="E57">
        <v>1</v>
      </c>
    </row>
    <row r="58" spans="1:5">
      <c r="A58" s="2" t="s">
        <v>571</v>
      </c>
      <c r="B58" s="1" t="s">
        <v>572</v>
      </c>
      <c r="C58">
        <f t="shared" si="0"/>
        <v>21</v>
      </c>
      <c r="D58">
        <v>0</v>
      </c>
      <c r="E58">
        <v>1</v>
      </c>
    </row>
    <row r="59" spans="1:5">
      <c r="A59" s="2" t="s">
        <v>573</v>
      </c>
      <c r="B59" s="1" t="s">
        <v>574</v>
      </c>
      <c r="C59">
        <f t="shared" si="0"/>
        <v>32</v>
      </c>
      <c r="D59">
        <v>0</v>
      </c>
      <c r="E59">
        <v>1</v>
      </c>
    </row>
    <row r="60" spans="1:5">
      <c r="A60" s="2" t="s">
        <v>575</v>
      </c>
      <c r="B60" s="1" t="s">
        <v>576</v>
      </c>
      <c r="C60">
        <f t="shared" si="0"/>
        <v>24</v>
      </c>
      <c r="D60">
        <v>1</v>
      </c>
      <c r="E60">
        <v>1</v>
      </c>
    </row>
    <row r="61" spans="1:5">
      <c r="A61" s="2" t="s">
        <v>577</v>
      </c>
      <c r="B61" s="1" t="s">
        <v>578</v>
      </c>
      <c r="C61">
        <f t="shared" si="0"/>
        <v>7</v>
      </c>
      <c r="D61">
        <v>0</v>
      </c>
      <c r="E61">
        <v>1</v>
      </c>
    </row>
    <row r="62" spans="1:5">
      <c r="C62" t="str">
        <f t="shared" si="0"/>
        <v/>
      </c>
    </row>
    <row r="63" spans="1:5">
      <c r="C63" t="str">
        <f t="shared" si="0"/>
        <v/>
      </c>
    </row>
    <row r="64" spans="1:5">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2">IF(B69&lt;&gt;"",LEN(B69),"")</f>
        <v/>
      </c>
    </row>
    <row r="70" spans="3:3">
      <c r="C70" t="str">
        <f t="shared" si="2"/>
        <v/>
      </c>
    </row>
    <row r="71" spans="3:3">
      <c r="C71" t="str">
        <f t="shared" si="2"/>
        <v/>
      </c>
    </row>
    <row r="72" spans="3:3">
      <c r="C72" t="str">
        <f t="shared" si="2"/>
        <v/>
      </c>
    </row>
    <row r="73" spans="3:3">
      <c r="C73" t="str">
        <f t="shared" si="2"/>
        <v/>
      </c>
    </row>
    <row r="74" spans="3:3">
      <c r="C74" t="str">
        <f t="shared" si="2"/>
        <v/>
      </c>
    </row>
    <row r="75" spans="3:3">
      <c r="C75" t="str">
        <f t="shared" si="2"/>
        <v/>
      </c>
    </row>
    <row r="76" spans="3:3">
      <c r="C76" t="str">
        <f t="shared" si="2"/>
        <v/>
      </c>
    </row>
    <row r="77" spans="3:3">
      <c r="C77" t="str">
        <f t="shared" si="2"/>
        <v/>
      </c>
    </row>
    <row r="78" spans="3:3">
      <c r="C78" t="str">
        <f t="shared" si="2"/>
        <v/>
      </c>
    </row>
    <row r="79" spans="3:3">
      <c r="C79" t="str">
        <f t="shared" si="2"/>
        <v/>
      </c>
    </row>
    <row r="80" spans="3:3">
      <c r="C80" t="str">
        <f t="shared" si="2"/>
        <v/>
      </c>
    </row>
    <row r="81" spans="3:3">
      <c r="C81" t="str">
        <f t="shared" si="2"/>
        <v/>
      </c>
    </row>
    <row r="82" spans="3:3">
      <c r="C82" t="str">
        <f t="shared" si="2"/>
        <v/>
      </c>
    </row>
    <row r="83" spans="3:3">
      <c r="C83" t="str">
        <f t="shared" si="2"/>
        <v/>
      </c>
    </row>
    <row r="84" spans="3:3">
      <c r="C84" t="str">
        <f t="shared" si="2"/>
        <v/>
      </c>
    </row>
    <row r="85" spans="3:3">
      <c r="C85" t="str">
        <f t="shared" si="2"/>
        <v/>
      </c>
    </row>
    <row r="86" spans="3:3">
      <c r="C86" t="str">
        <f t="shared" si="2"/>
        <v/>
      </c>
    </row>
    <row r="87" spans="3:3">
      <c r="C87" t="str">
        <f t="shared" si="2"/>
        <v/>
      </c>
    </row>
    <row r="88" spans="3:3">
      <c r="C88" t="str">
        <f t="shared" si="2"/>
        <v/>
      </c>
    </row>
    <row r="89" spans="3:3">
      <c r="C89" t="str">
        <f t="shared" si="2"/>
        <v/>
      </c>
    </row>
    <row r="90" spans="3:3">
      <c r="C90" t="str">
        <f t="shared" si="2"/>
        <v/>
      </c>
    </row>
    <row r="91" spans="3:3">
      <c r="C91" t="str">
        <f t="shared" si="2"/>
        <v/>
      </c>
    </row>
    <row r="92" spans="3:3">
      <c r="C92" t="str">
        <f t="shared" si="2"/>
        <v/>
      </c>
    </row>
    <row r="93" spans="3:3">
      <c r="C93" t="str">
        <f t="shared" si="2"/>
        <v/>
      </c>
    </row>
    <row r="94" spans="3:3">
      <c r="C94" t="str">
        <f t="shared" si="2"/>
        <v/>
      </c>
    </row>
    <row r="95" spans="3:3">
      <c r="C95" t="str">
        <f t="shared" si="2"/>
        <v/>
      </c>
    </row>
    <row r="96" spans="3:3">
      <c r="C96" t="str">
        <f t="shared" si="2"/>
        <v/>
      </c>
    </row>
    <row r="97" spans="3:3">
      <c r="C97" t="str">
        <f t="shared" si="2"/>
        <v/>
      </c>
    </row>
    <row r="98" spans="3:3">
      <c r="C98" t="str">
        <f t="shared" si="2"/>
        <v/>
      </c>
    </row>
    <row r="99" spans="3:3">
      <c r="C99" t="str">
        <f t="shared" si="2"/>
        <v/>
      </c>
    </row>
    <row r="100" spans="3:3">
      <c r="C100" t="str">
        <f t="shared" si="2"/>
        <v/>
      </c>
    </row>
    <row r="101" spans="3:3">
      <c r="C101" t="str">
        <f t="shared" si="2"/>
        <v/>
      </c>
    </row>
    <row r="102" spans="3:3">
      <c r="C102" t="str">
        <f t="shared" si="2"/>
        <v/>
      </c>
    </row>
    <row r="103" spans="3:3">
      <c r="C103" t="str">
        <f t="shared" si="2"/>
        <v/>
      </c>
    </row>
    <row r="104" spans="3:3">
      <c r="C104" t="str">
        <f t="shared" si="2"/>
        <v/>
      </c>
    </row>
    <row r="105" spans="3:3">
      <c r="C105" t="str">
        <f t="shared" si="2"/>
        <v/>
      </c>
    </row>
    <row r="106" spans="3:3">
      <c r="C106" t="str">
        <f t="shared" si="2"/>
        <v/>
      </c>
    </row>
    <row r="107" spans="3:3">
      <c r="C107" t="str">
        <f t="shared" si="2"/>
        <v/>
      </c>
    </row>
    <row r="108" spans="3:3">
      <c r="C108" t="str">
        <f t="shared" si="2"/>
        <v/>
      </c>
    </row>
    <row r="109" spans="3:3">
      <c r="C109" t="str">
        <f t="shared" si="2"/>
        <v/>
      </c>
    </row>
    <row r="110" spans="3:3">
      <c r="C110" t="str">
        <f t="shared" si="2"/>
        <v/>
      </c>
    </row>
    <row r="111" spans="3:3">
      <c r="C111" t="str">
        <f t="shared" si="2"/>
        <v/>
      </c>
    </row>
    <row r="112" spans="3:3">
      <c r="C112" t="str">
        <f t="shared" si="2"/>
        <v/>
      </c>
    </row>
    <row r="113" spans="3:3">
      <c r="C113" t="str">
        <f t="shared" si="2"/>
        <v/>
      </c>
    </row>
    <row r="114" spans="3:3">
      <c r="C114" t="str">
        <f t="shared" si="2"/>
        <v/>
      </c>
    </row>
    <row r="115" spans="3:3">
      <c r="C115" t="str">
        <f t="shared" si="2"/>
        <v/>
      </c>
    </row>
    <row r="116" spans="3:3">
      <c r="C116" t="str">
        <f t="shared" si="2"/>
        <v/>
      </c>
    </row>
    <row r="117" spans="3:3">
      <c r="C117" t="str">
        <f t="shared" si="2"/>
        <v/>
      </c>
    </row>
    <row r="118" spans="3:3">
      <c r="C118" t="str">
        <f t="shared" si="2"/>
        <v/>
      </c>
    </row>
    <row r="119" spans="3:3">
      <c r="C119" t="str">
        <f t="shared" si="2"/>
        <v/>
      </c>
    </row>
    <row r="120" spans="3:3">
      <c r="C120" t="str">
        <f t="shared" si="2"/>
        <v/>
      </c>
    </row>
    <row r="121" spans="3:3">
      <c r="C121" t="str">
        <f t="shared" si="2"/>
        <v/>
      </c>
    </row>
    <row r="122" spans="3:3">
      <c r="C122" t="str">
        <f t="shared" si="2"/>
        <v/>
      </c>
    </row>
    <row r="123" spans="3:3">
      <c r="C123" t="str">
        <f t="shared" si="2"/>
        <v/>
      </c>
    </row>
    <row r="124" spans="3:3">
      <c r="C124" t="str">
        <f t="shared" si="2"/>
        <v/>
      </c>
    </row>
    <row r="125" spans="3:3">
      <c r="C125" t="str">
        <f t="shared" si="2"/>
        <v/>
      </c>
    </row>
    <row r="126" spans="3:3">
      <c r="C126" t="str">
        <f t="shared" si="2"/>
        <v/>
      </c>
    </row>
    <row r="127" spans="3:3">
      <c r="C127" t="str">
        <f t="shared" si="2"/>
        <v/>
      </c>
    </row>
    <row r="128" spans="3:3">
      <c r="C128" t="str">
        <f t="shared" si="2"/>
        <v/>
      </c>
    </row>
    <row r="129" spans="3:3">
      <c r="C129" t="str">
        <f t="shared" si="2"/>
        <v/>
      </c>
    </row>
    <row r="130" spans="3:3">
      <c r="C130" t="str">
        <f t="shared" si="2"/>
        <v/>
      </c>
    </row>
    <row r="131" spans="3:3">
      <c r="C131" t="str">
        <f t="shared" si="2"/>
        <v/>
      </c>
    </row>
    <row r="132" spans="3:3">
      <c r="C132" t="str">
        <f t="shared" si="2"/>
        <v/>
      </c>
    </row>
    <row r="133" spans="3:3">
      <c r="C133" t="str">
        <f t="shared" ref="C133:C167" si="3">IF(B133&lt;&gt;"",LEN(B133),"")</f>
        <v/>
      </c>
    </row>
    <row r="134" spans="3:3">
      <c r="C134" t="str">
        <f t="shared" si="3"/>
        <v/>
      </c>
    </row>
    <row r="135" spans="3:3">
      <c r="C135" t="str">
        <f t="shared" si="3"/>
        <v/>
      </c>
    </row>
    <row r="136" spans="3:3">
      <c r="C136" t="str">
        <f t="shared" si="3"/>
        <v/>
      </c>
    </row>
    <row r="137" spans="3:3">
      <c r="C137" t="str">
        <f t="shared" si="3"/>
        <v/>
      </c>
    </row>
    <row r="138" spans="3:3">
      <c r="C138" t="str">
        <f t="shared" si="3"/>
        <v/>
      </c>
    </row>
    <row r="139" spans="3:3">
      <c r="C139" t="str">
        <f t="shared" si="3"/>
        <v/>
      </c>
    </row>
    <row r="140" spans="3:3">
      <c r="C140" t="str">
        <f t="shared" si="3"/>
        <v/>
      </c>
    </row>
    <row r="141" spans="3:3">
      <c r="C141" t="str">
        <f t="shared" si="3"/>
        <v/>
      </c>
    </row>
    <row r="142" spans="3:3">
      <c r="C142" t="str">
        <f t="shared" si="3"/>
        <v/>
      </c>
    </row>
    <row r="143" spans="3:3">
      <c r="C143" t="str">
        <f t="shared" si="3"/>
        <v/>
      </c>
    </row>
    <row r="144" spans="3:3">
      <c r="C144" t="str">
        <f t="shared" si="3"/>
        <v/>
      </c>
    </row>
    <row r="145" spans="3:3">
      <c r="C145" t="str">
        <f t="shared" si="3"/>
        <v/>
      </c>
    </row>
    <row r="146" spans="3:3">
      <c r="C146" t="str">
        <f t="shared" si="3"/>
        <v/>
      </c>
    </row>
    <row r="147" spans="3:3">
      <c r="C147" t="str">
        <f t="shared" si="3"/>
        <v/>
      </c>
    </row>
    <row r="148" spans="3:3">
      <c r="C148" t="str">
        <f t="shared" si="3"/>
        <v/>
      </c>
    </row>
    <row r="149" spans="3:3">
      <c r="C149" t="str">
        <f t="shared" si="3"/>
        <v/>
      </c>
    </row>
    <row r="150" spans="3:3">
      <c r="C150" t="str">
        <f t="shared" si="3"/>
        <v/>
      </c>
    </row>
    <row r="151" spans="3:3">
      <c r="C151" t="str">
        <f t="shared" si="3"/>
        <v/>
      </c>
    </row>
    <row r="152" spans="3:3">
      <c r="C152" t="str">
        <f t="shared" si="3"/>
        <v/>
      </c>
    </row>
    <row r="153" spans="3:3">
      <c r="C153" t="str">
        <f t="shared" si="3"/>
        <v/>
      </c>
    </row>
    <row r="154" spans="3:3">
      <c r="C154" t="str">
        <f t="shared" si="3"/>
        <v/>
      </c>
    </row>
    <row r="155" spans="3:3">
      <c r="C155" t="str">
        <f t="shared" si="3"/>
        <v/>
      </c>
    </row>
    <row r="156" spans="3:3">
      <c r="C156" t="str">
        <f t="shared" si="3"/>
        <v/>
      </c>
    </row>
    <row r="157" spans="3:3">
      <c r="C157" t="str">
        <f t="shared" si="3"/>
        <v/>
      </c>
    </row>
    <row r="158" spans="3:3">
      <c r="C158" t="str">
        <f t="shared" si="3"/>
        <v/>
      </c>
    </row>
    <row r="159" spans="3:3">
      <c r="C159" t="str">
        <f t="shared" si="3"/>
        <v/>
      </c>
    </row>
    <row r="160" spans="3:3">
      <c r="C160" t="str">
        <f t="shared" si="3"/>
        <v/>
      </c>
    </row>
    <row r="161" spans="3:3">
      <c r="C161" t="str">
        <f t="shared" si="3"/>
        <v/>
      </c>
    </row>
    <row r="162" spans="3:3">
      <c r="C162" t="str">
        <f t="shared" si="3"/>
        <v/>
      </c>
    </row>
    <row r="163" spans="3:3">
      <c r="C163" t="str">
        <f t="shared" si="3"/>
        <v/>
      </c>
    </row>
    <row r="164" spans="3:3">
      <c r="C164" t="str">
        <f t="shared" si="3"/>
        <v/>
      </c>
    </row>
    <row r="165" spans="3:3">
      <c r="C165" t="str">
        <f t="shared" si="3"/>
        <v/>
      </c>
    </row>
    <row r="166" spans="3:3">
      <c r="C166" t="str">
        <f t="shared" si="3"/>
        <v/>
      </c>
    </row>
    <row r="167" spans="3:3">
      <c r="C167" t="str">
        <f t="shared" si="3"/>
        <v/>
      </c>
    </row>
  </sheetData>
  <phoneticPr fontId="1"/>
  <hyperlinks>
    <hyperlink ref="B40" r:id="rId1" xr:uid="{6154A8D2-28B6-4216-82D9-274B2D25024A}"/>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6</vt:i4>
      </vt:variant>
    </vt:vector>
  </HeadingPairs>
  <TitlesOfParts>
    <vt:vector size="6" baseType="lpstr">
      <vt:lpstr>レビュー</vt:lpstr>
      <vt:lpstr>format</vt:lpstr>
      <vt:lpstr>1</vt:lpstr>
      <vt:lpstr>午後sec1</vt:lpstr>
      <vt:lpstr>午後sec2</vt:lpstr>
      <vt:lpstr>午後sec3</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yoshinaga</dc:creator>
  <cp:lastModifiedBy>Yoshinaga, Shinichi (BIL-NBS) 吉永 信一</cp:lastModifiedBy>
  <dcterms:created xsi:type="dcterms:W3CDTF">2015-06-05T18:19:34Z</dcterms:created>
  <dcterms:modified xsi:type="dcterms:W3CDTF">2025-03-20T10:08:32Z</dcterms:modified>
</cp:coreProperties>
</file>