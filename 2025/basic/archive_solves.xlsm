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basic\"/>
    </mc:Choice>
  </mc:AlternateContent>
  <xr:revisionPtr revIDLastSave="0" documentId="13_ncr:1_{4BD440BF-E592-42B6-976A-4A09533EBCCD}" xr6:coauthVersionLast="47" xr6:coauthVersionMax="47" xr10:uidLastSave="{00000000-0000-0000-0000-000000000000}"/>
  <bookViews>
    <workbookView xWindow="255" yWindow="0" windowWidth="17115" windowHeight="15585" activeTab="3" xr2:uid="{00000000-000D-0000-FFFF-FFFF00000000}"/>
  </bookViews>
  <sheets>
    <sheet name="レビュー" sheetId="2" r:id="rId1"/>
    <sheet name="format" sheetId="4" r:id="rId2"/>
    <sheet name="1" sheetId="5" r:id="rId3"/>
    <sheet name="午後sec1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7" l="1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I7" i="5"/>
  <c r="I6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<sst xmlns="http://schemas.openxmlformats.org/spreadsheetml/2006/main" count="102" uniqueCount="74">
  <si>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</si>
  <si>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</si>
  <si>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</si>
  <si>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</si>
  <si>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</si>
  <si>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</si>
  <si>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</si>
  <si>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</si>
  <si>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</si>
  <si>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</si>
  <si>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</si>
  <si>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</si>
  <si>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極選</t>
    <rPh sb="0" eb="1">
      <t>キワ</t>
    </rPh>
    <rPh sb="1" eb="2">
      <t>エラ</t>
    </rPh>
    <phoneticPr fontId="1"/>
  </si>
  <si>
    <t>午前2</t>
    <rPh sb="0" eb="2">
      <t>ゴゼン</t>
    </rPh>
    <phoneticPr fontId="1"/>
  </si>
  <si>
    <t>1</t>
    <phoneticPr fontId="1"/>
  </si>
  <si>
    <t>エ</t>
  </si>
  <si>
    <t>2</t>
    <phoneticPr fontId="1"/>
  </si>
  <si>
    <t>ア</t>
  </si>
  <si>
    <t>3</t>
    <phoneticPr fontId="1"/>
  </si>
  <si>
    <t>イ</t>
  </si>
  <si>
    <t>ウ</t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</si>
  <si>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</si>
  <si>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</si>
  <si>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</si>
  <si>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</si>
  <si>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</si>
  <si>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9</t>
    <phoneticPr fontId="1"/>
  </si>
  <si>
    <t>10</t>
    <phoneticPr fontId="1"/>
  </si>
  <si>
    <t>11</t>
    <phoneticPr fontId="1"/>
  </si>
  <si>
    <t>12</t>
    <phoneticPr fontId="1"/>
  </si>
  <si>
    <t>13</t>
    <phoneticPr fontId="1"/>
  </si>
  <si>
    <t>14</t>
    <phoneticPr fontId="1"/>
  </si>
  <si>
    <t>15</t>
    <phoneticPr fontId="1"/>
  </si>
  <si>
    <t>16</t>
    <phoneticPr fontId="1"/>
  </si>
  <si>
    <t>17</t>
    <phoneticPr fontId="1"/>
  </si>
  <si>
    <t>午後問題集</t>
    <rPh sb="0" eb="5">
      <t>ゴゴモンダイシュウ</t>
    </rPh>
    <phoneticPr fontId="1"/>
  </si>
  <si>
    <t>sec-1</t>
    <phoneticPr fontId="1"/>
  </si>
  <si>
    <t>7-1</t>
    <phoneticPr fontId="1"/>
  </si>
  <si>
    <t>社内で通常業務で使われているブラウザを示す値であるケース</t>
    <rPh sb="0" eb="2">
      <t>シャナイ</t>
    </rPh>
    <rPh sb="3" eb="5">
      <t>ツウジョウ</t>
    </rPh>
    <rPh sb="5" eb="7">
      <t>ギョウム</t>
    </rPh>
    <rPh sb="8" eb="9">
      <t>ツカ</t>
    </rPh>
    <rPh sb="19" eb="20">
      <t>シメ</t>
    </rPh>
    <rPh sb="21" eb="22">
      <t>アタイ</t>
    </rPh>
    <phoneticPr fontId="1"/>
  </si>
  <si>
    <t>Q5</t>
    <phoneticPr fontId="1"/>
  </si>
  <si>
    <t>物理的に１台のホストだった場合、他のGUAを宛先としたパケットの場合、検索結果に表示されない</t>
    <rPh sb="0" eb="3">
      <t>ブツリテキ</t>
    </rPh>
    <rPh sb="5" eb="6">
      <t>ダイ</t>
    </rPh>
    <rPh sb="13" eb="15">
      <t>バアイ</t>
    </rPh>
    <rPh sb="16" eb="17">
      <t>ホカ</t>
    </rPh>
    <rPh sb="22" eb="24">
      <t>アテサキ</t>
    </rPh>
    <rPh sb="32" eb="34">
      <t>バアイ</t>
    </rPh>
    <rPh sb="35" eb="39">
      <t>ケンサクケッカ</t>
    </rPh>
    <rPh sb="40" eb="42">
      <t>ヒョウジ</t>
    </rPh>
    <phoneticPr fontId="1"/>
  </si>
  <si>
    <t>7-2</t>
    <phoneticPr fontId="1"/>
  </si>
  <si>
    <t>あらかじめ予約されているプライベートアドレスと、X社の機器に割り当てられているIPアドレスが重複する可能性があるという問題</t>
    <rPh sb="5" eb="7">
      <t>ヨヤク</t>
    </rPh>
    <rPh sb="25" eb="26">
      <t>シャ</t>
    </rPh>
    <rPh sb="27" eb="29">
      <t>キキ</t>
    </rPh>
    <rPh sb="30" eb="31">
      <t>ワ</t>
    </rPh>
    <rPh sb="32" eb="33">
      <t>ア</t>
    </rPh>
    <rPh sb="46" eb="48">
      <t>チョウフク</t>
    </rPh>
    <rPh sb="50" eb="53">
      <t>カノウセイ</t>
    </rPh>
    <rPh sb="59" eb="61">
      <t>モンダイ</t>
    </rPh>
    <phoneticPr fontId="1"/>
  </si>
  <si>
    <t>7-3</t>
    <phoneticPr fontId="1"/>
  </si>
  <si>
    <t>ゲームプログラムID</t>
    <phoneticPr fontId="1"/>
  </si>
  <si>
    <t>7-4</t>
    <phoneticPr fontId="1"/>
  </si>
  <si>
    <t>ドメインフロンティア攻撃</t>
    <rPh sb="10" eb="12">
      <t>コウゲキ</t>
    </rPh>
    <phoneticPr fontId="1"/>
  </si>
  <si>
    <t>Z-FQDN, XPC、当該マルウェア</t>
    <rPh sb="12" eb="14">
      <t>トウガイ</t>
    </rPh>
    <phoneticPr fontId="1"/>
  </si>
  <si>
    <t>X-CDN-U-FQDNを名前解決したIPアドレスと同じIPアドレスを持つWebサイト</t>
    <rPh sb="13" eb="15">
      <t>ナマエ</t>
    </rPh>
    <rPh sb="15" eb="17">
      <t>カイケツ</t>
    </rPh>
    <rPh sb="26" eb="27">
      <t>オナ</t>
    </rPh>
    <rPh sb="35" eb="36">
      <t>モ</t>
    </rPh>
    <phoneticPr fontId="1"/>
  </si>
  <si>
    <t>8-1</t>
    <phoneticPr fontId="1"/>
  </si>
  <si>
    <t>マルウェアのFQDNで指定したC＆CサーバーのIPアドレスの変更</t>
    <rPh sb="11" eb="13">
      <t>シテイ</t>
    </rPh>
    <rPh sb="30" eb="32">
      <t>ヘンコウ</t>
    </rPh>
    <phoneticPr fontId="1"/>
  </si>
  <si>
    <t>C&amp;CサーバーのIPアドレス</t>
    <phoneticPr fontId="1"/>
  </si>
  <si>
    <t>8-3</t>
    <phoneticPr fontId="1"/>
  </si>
  <si>
    <t>8-2</t>
    <phoneticPr fontId="1"/>
  </si>
  <si>
    <t>保守用中継サーバー。FWのLANに接続するにはプライベート</t>
    <rPh sb="0" eb="3">
      <t>ホシュヨウ</t>
    </rPh>
    <rPh sb="3" eb="5">
      <t>チュウケイ</t>
    </rPh>
    <rPh sb="17" eb="19">
      <t>セツゾク</t>
    </rPh>
    <phoneticPr fontId="1"/>
  </si>
  <si>
    <t>f: 接続元のIPアドレスを固定にする</t>
    <rPh sb="3" eb="6">
      <t>セツゾクモト</t>
    </rPh>
    <rPh sb="14" eb="16">
      <t>コテイ</t>
    </rPh>
    <phoneticPr fontId="1"/>
  </si>
  <si>
    <t>8-4</t>
    <phoneticPr fontId="1"/>
  </si>
  <si>
    <t>別のIPアドレスを攻撃者が用いる場合</t>
    <rPh sb="0" eb="1">
      <t>ベツ</t>
    </rPh>
    <rPh sb="9" eb="12">
      <t>コウゲキシャ</t>
    </rPh>
    <rPh sb="13" eb="14">
      <t>モチ</t>
    </rPh>
    <rPh sb="16" eb="18">
      <t>バアイ</t>
    </rPh>
    <phoneticPr fontId="1"/>
  </si>
  <si>
    <t>9-1</t>
    <phoneticPr fontId="1"/>
  </si>
  <si>
    <t>VDとNPC、ボード</t>
    <phoneticPr fontId="1"/>
  </si>
  <si>
    <t>カメラで撮影する</t>
    <rPh sb="4" eb="6">
      <t>サツエイ</t>
    </rPh>
    <phoneticPr fontId="1"/>
  </si>
  <si>
    <t>9-2</t>
    <phoneticPr fontId="1"/>
  </si>
  <si>
    <t>社内情報を表示した画面のスクリーンショットを取る方法</t>
    <rPh sb="0" eb="2">
      <t>シャナイ</t>
    </rPh>
    <rPh sb="2" eb="4">
      <t>ジョウホウ</t>
    </rPh>
    <rPh sb="5" eb="7">
      <t>ヒョウジ</t>
    </rPh>
    <rPh sb="9" eb="11">
      <t>ガメン</t>
    </rPh>
    <rPh sb="22" eb="23">
      <t>ト</t>
    </rPh>
    <rPh sb="24" eb="26">
      <t>ホウホウ</t>
    </rPh>
    <phoneticPr fontId="1"/>
  </si>
  <si>
    <t>9-3</t>
    <phoneticPr fontId="1"/>
  </si>
  <si>
    <t>利用者がファイルを開いたときに画面をキャプチャし、攻撃者に送信する動作</t>
    <rPh sb="0" eb="3">
      <t>リヨウシャ</t>
    </rPh>
    <rPh sb="9" eb="10">
      <t>ヒラ</t>
    </rPh>
    <rPh sb="15" eb="17">
      <t>ガメン</t>
    </rPh>
    <rPh sb="25" eb="28">
      <t>コウゲキシャ</t>
    </rPh>
    <rPh sb="29" eb="31">
      <t>ソウシン</t>
    </rPh>
    <rPh sb="33" eb="35">
      <t>ドウサ</t>
    </rPh>
    <phoneticPr fontId="1"/>
  </si>
  <si>
    <t>Q6</t>
    <phoneticPr fontId="1"/>
  </si>
  <si>
    <t>社内で利用されている機器の構成情報</t>
    <rPh sb="0" eb="2">
      <t>シャナイ</t>
    </rPh>
    <rPh sb="3" eb="5">
      <t>リヨウ</t>
    </rPh>
    <rPh sb="10" eb="12">
      <t>キキ</t>
    </rPh>
    <rPh sb="13" eb="17">
      <t>コウセイジョウホウ</t>
    </rPh>
    <phoneticPr fontId="1"/>
  </si>
  <si>
    <t>10-1</t>
    <phoneticPr fontId="1"/>
  </si>
  <si>
    <t>パスワードを推測</t>
    <rPh sb="6" eb="8">
      <t>スイソク</t>
    </rPh>
    <phoneticPr fontId="1"/>
  </si>
  <si>
    <t>10-2</t>
    <phoneticPr fontId="1"/>
  </si>
  <si>
    <t>MACアドレスは平文の状態で送信されるため</t>
    <rPh sb="8" eb="10">
      <t>ヒラブン</t>
    </rPh>
    <rPh sb="11" eb="13">
      <t>ジョウタイ</t>
    </rPh>
    <rPh sb="14" eb="16">
      <t>ソウシン</t>
    </rPh>
    <phoneticPr fontId="1"/>
  </si>
  <si>
    <t>10-3</t>
    <phoneticPr fontId="1"/>
  </si>
  <si>
    <t>メールサーバーでメールは暗号化されていないから</t>
    <rPh sb="12" eb="15">
      <t>アンゴウカ</t>
    </rPh>
    <phoneticPr fontId="1"/>
  </si>
  <si>
    <t>11-1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</si>
</sst>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"/>
  <sheetViews>
    <sheetView workbookViewId="0">
      <selection activeCell="G9" sqref="G9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2C16F-8ADF-45C0-95E3-5DA8B6C4F835}">
  <sheetPr codeName="Sheet4"/>
  <dimension ref="A1:I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11" sqref="H11"/>
    </sheetView>
  </sheetViews>
  <sheetFormatPr defaultRowHeight="18.75"/>
  <cols>
    <col min="1" max="1" width="8.75" style="2"/>
    <col min="2" max="2" width="57.75" style="1" customWidth="1"/>
    <col min="3" max="3" width="9.75" customWidth="1"/>
  </cols>
  <sheetData>
    <row r="1" spans="1:9">
      <c r="A1" s="2" t="s">
        <v>0</v>
      </c>
      <c r="B1" s="1" t="s">
        <v>12</v>
      </c>
    </row>
    <row r="2" spans="1:9">
      <c r="A2" s="2" t="s">
        <v>2</v>
      </c>
      <c r="B2" s="3" t="s">
        <v>13</v>
      </c>
      <c r="D2">
        <f>SUM(D4:D1000)</f>
        <v>14</v>
      </c>
      <c r="E2">
        <f>SUM(E4:E1000)</f>
        <v>17</v>
      </c>
    </row>
    <row r="3" spans="1:9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9">
      <c r="A4" s="2" t="s">
        <v>14</v>
      </c>
      <c r="B4" s="1" t="s">
        <v>15</v>
      </c>
      <c r="C4">
        <f>IF(B4&lt;&gt;"",LEN(B4),"")</f>
        <v>1</v>
      </c>
      <c r="D4">
        <v>1</v>
      </c>
      <c r="E4">
        <v>1</v>
      </c>
    </row>
    <row r="5" spans="1:9">
      <c r="A5" s="2" t="s">
        <v>16</v>
      </c>
      <c r="B5" s="1" t="s">
        <v>17</v>
      </c>
      <c r="C5">
        <f t="shared" ref="C5:C68" si="0">IF(B5&lt;&gt;"",LEN(B5),"")</f>
        <v>1</v>
      </c>
      <c r="D5">
        <v>1</v>
      </c>
      <c r="E5">
        <v>1</v>
      </c>
      <c r="H5">
        <v>3000</v>
      </c>
      <c r="I5">
        <v>50000</v>
      </c>
    </row>
    <row r="6" spans="1:9">
      <c r="A6" s="2" t="s">
        <v>18</v>
      </c>
      <c r="B6" s="1" t="s">
        <v>19</v>
      </c>
      <c r="C6">
        <f t="shared" si="0"/>
        <v>1</v>
      </c>
      <c r="D6">
        <v>1</v>
      </c>
      <c r="E6">
        <v>1</v>
      </c>
      <c r="H6">
        <v>60</v>
      </c>
      <c r="I6">
        <f>600*8</f>
        <v>4800</v>
      </c>
    </row>
    <row r="7" spans="1:9">
      <c r="A7" s="2" t="s">
        <v>21</v>
      </c>
      <c r="B7" s="1" t="s">
        <v>20</v>
      </c>
      <c r="C7">
        <f t="shared" si="0"/>
        <v>1</v>
      </c>
      <c r="D7">
        <v>1</v>
      </c>
      <c r="E7">
        <v>1</v>
      </c>
      <c r="H7">
        <v>6</v>
      </c>
      <c r="I7">
        <f>I5/I6</f>
        <v>10.416666666666666</v>
      </c>
    </row>
    <row r="8" spans="1:9">
      <c r="A8" s="2" t="s">
        <v>22</v>
      </c>
      <c r="B8" s="1" t="s">
        <v>15</v>
      </c>
      <c r="C8">
        <f t="shared" si="0"/>
        <v>1</v>
      </c>
      <c r="D8">
        <v>1</v>
      </c>
      <c r="E8">
        <v>1</v>
      </c>
    </row>
    <row r="9" spans="1:9">
      <c r="A9" s="2" t="s">
        <v>23</v>
      </c>
      <c r="B9" s="1" t="s">
        <v>15</v>
      </c>
      <c r="C9">
        <f t="shared" si="0"/>
        <v>1</v>
      </c>
      <c r="D9">
        <v>1</v>
      </c>
      <c r="E9">
        <v>1</v>
      </c>
    </row>
    <row r="10" spans="1:9">
      <c r="A10" s="2" t="s">
        <v>24</v>
      </c>
      <c r="B10" s="1" t="s">
        <v>17</v>
      </c>
      <c r="C10">
        <f t="shared" si="0"/>
        <v>1</v>
      </c>
      <c r="D10">
        <v>0</v>
      </c>
      <c r="E10">
        <v>1</v>
      </c>
    </row>
    <row r="11" spans="1:9">
      <c r="A11" s="2" t="s">
        <v>25</v>
      </c>
      <c r="B11" s="1" t="s">
        <v>15</v>
      </c>
      <c r="C11">
        <f t="shared" si="0"/>
        <v>1</v>
      </c>
      <c r="D11">
        <v>1</v>
      </c>
      <c r="E11">
        <v>1</v>
      </c>
    </row>
    <row r="12" spans="1:9">
      <c r="A12" s="2" t="s">
        <v>26</v>
      </c>
      <c r="B12" s="1" t="s">
        <v>17</v>
      </c>
      <c r="C12">
        <f t="shared" si="0"/>
        <v>1</v>
      </c>
      <c r="D12">
        <v>1</v>
      </c>
      <c r="E12">
        <v>1</v>
      </c>
    </row>
    <row r="13" spans="1:9">
      <c r="A13" s="2" t="s">
        <v>27</v>
      </c>
      <c r="B13" s="1" t="s">
        <v>19</v>
      </c>
      <c r="C13">
        <f t="shared" si="0"/>
        <v>1</v>
      </c>
      <c r="D13">
        <v>1</v>
      </c>
      <c r="E13">
        <v>1</v>
      </c>
    </row>
    <row r="14" spans="1:9">
      <c r="A14" s="2" t="s">
        <v>28</v>
      </c>
      <c r="B14" s="1" t="s">
        <v>15</v>
      </c>
      <c r="C14">
        <f t="shared" si="0"/>
        <v>1</v>
      </c>
      <c r="D14">
        <v>0</v>
      </c>
      <c r="E14">
        <v>1</v>
      </c>
    </row>
    <row r="15" spans="1:9">
      <c r="A15" s="2" t="s">
        <v>29</v>
      </c>
      <c r="B15" s="1" t="s">
        <v>17</v>
      </c>
      <c r="C15">
        <f t="shared" si="0"/>
        <v>1</v>
      </c>
      <c r="D15">
        <v>1</v>
      </c>
      <c r="E15">
        <v>1</v>
      </c>
    </row>
    <row r="16" spans="1:9">
      <c r="A16" s="2" t="s">
        <v>30</v>
      </c>
      <c r="B16" s="1" t="s">
        <v>19</v>
      </c>
      <c r="C16">
        <f t="shared" si="0"/>
        <v>1</v>
      </c>
      <c r="D16">
        <v>0</v>
      </c>
      <c r="E16">
        <v>1</v>
      </c>
    </row>
    <row r="17" spans="1:5">
      <c r="A17" s="2" t="s">
        <v>31</v>
      </c>
      <c r="B17" s="1" t="s">
        <v>19</v>
      </c>
      <c r="C17">
        <f t="shared" si="0"/>
        <v>1</v>
      </c>
      <c r="D17">
        <v>1</v>
      </c>
      <c r="E17">
        <v>1</v>
      </c>
    </row>
    <row r="18" spans="1:5">
      <c r="A18" s="2" t="s">
        <v>32</v>
      </c>
      <c r="B18" s="1" t="s">
        <v>20</v>
      </c>
      <c r="C18">
        <f t="shared" si="0"/>
        <v>1</v>
      </c>
      <c r="D18">
        <v>1</v>
      </c>
      <c r="E18">
        <v>1</v>
      </c>
    </row>
    <row r="19" spans="1:5">
      <c r="A19" s="2" t="s">
        <v>33</v>
      </c>
      <c r="B19" s="1" t="s">
        <v>17</v>
      </c>
      <c r="C19">
        <f t="shared" si="0"/>
        <v>1</v>
      </c>
      <c r="D19">
        <v>1</v>
      </c>
      <c r="E19">
        <v>1</v>
      </c>
    </row>
    <row r="20" spans="1:5">
      <c r="A20" s="2" t="s">
        <v>34</v>
      </c>
      <c r="B20" s="1" t="s">
        <v>17</v>
      </c>
      <c r="C20">
        <f t="shared" si="0"/>
        <v>1</v>
      </c>
      <c r="D20">
        <v>1</v>
      </c>
      <c r="E20">
        <v>1</v>
      </c>
    </row>
    <row r="21" spans="1:5">
      <c r="C21" t="str">
        <f t="shared" si="0"/>
        <v/>
      </c>
    </row>
    <row r="22" spans="1:5">
      <c r="C22" t="str">
        <f t="shared" si="0"/>
        <v/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dataValidations count="1">
    <dataValidation type="list" allowBlank="1" showInputMessage="1" showErrorMessage="1" sqref="B4:B102" xr:uid="{3C643F86-E7BC-40CB-88C6-9AF20851DA18}">
      <formula1>"ア,イ,ウ,エ"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7903-BC48-49F9-BC99-4A76ED27B2DB}">
  <sheetPr codeName="Sheet5"/>
  <dimension ref="A1:E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4" sqref="B24"/>
    </sheetView>
  </sheetViews>
  <sheetFormatPr defaultRowHeight="18.75"/>
  <cols>
    <col min="1" max="1" width="9" style="2"/>
    <col min="2" max="2" width="64.625" style="1" customWidth="1"/>
    <col min="3" max="3" width="9.75" customWidth="1"/>
  </cols>
  <sheetData>
    <row r="1" spans="1:5">
      <c r="A1" s="2" t="s">
        <v>0</v>
      </c>
      <c r="B1" s="1" t="s">
        <v>35</v>
      </c>
    </row>
    <row r="2" spans="1:5">
      <c r="A2" s="2" t="s">
        <v>2</v>
      </c>
      <c r="B2" s="3" t="s">
        <v>36</v>
      </c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A4" s="2" t="s">
        <v>37</v>
      </c>
      <c r="B4" s="1" t="s">
        <v>38</v>
      </c>
      <c r="C4">
        <f>IF(B4&lt;&gt;"",LEN(B4),"")</f>
        <v>28</v>
      </c>
    </row>
    <row r="5" spans="1:5" ht="37.5">
      <c r="A5" s="2" t="s">
        <v>39</v>
      </c>
      <c r="B5" s="1" t="s">
        <v>40</v>
      </c>
      <c r="C5">
        <f t="shared" ref="C5:C68" si="0">IF(B5&lt;&gt;"",LEN(B5),"")</f>
        <v>46</v>
      </c>
    </row>
    <row r="6" spans="1:5" ht="37.5">
      <c r="A6" s="2" t="s">
        <v>41</v>
      </c>
      <c r="B6" s="1" t="s">
        <v>42</v>
      </c>
      <c r="C6">
        <f t="shared" si="0"/>
        <v>61</v>
      </c>
    </row>
    <row r="7" spans="1:5">
      <c r="A7" s="2" t="s">
        <v>43</v>
      </c>
      <c r="B7" s="1" t="s">
        <v>44</v>
      </c>
      <c r="C7">
        <f t="shared" si="0"/>
        <v>10</v>
      </c>
    </row>
    <row r="8" spans="1:5">
      <c r="A8" s="2" t="s">
        <v>45</v>
      </c>
      <c r="B8" s="1" t="s">
        <v>46</v>
      </c>
      <c r="C8">
        <f t="shared" si="0"/>
        <v>12</v>
      </c>
    </row>
    <row r="9" spans="1:5">
      <c r="B9" s="1" t="s">
        <v>47</v>
      </c>
      <c r="C9">
        <f t="shared" si="0"/>
        <v>19</v>
      </c>
    </row>
    <row r="10" spans="1:5" ht="37.5">
      <c r="B10" s="1" t="s">
        <v>48</v>
      </c>
      <c r="C10">
        <f t="shared" si="0"/>
        <v>43</v>
      </c>
    </row>
    <row r="11" spans="1:5">
      <c r="A11" s="2" t="s">
        <v>49</v>
      </c>
      <c r="B11" s="1" t="s">
        <v>50</v>
      </c>
      <c r="C11">
        <f t="shared" si="0"/>
        <v>32</v>
      </c>
    </row>
    <row r="12" spans="1:5">
      <c r="A12" s="2" t="s">
        <v>53</v>
      </c>
      <c r="B12" s="1" t="s">
        <v>51</v>
      </c>
      <c r="C12">
        <f t="shared" si="0"/>
        <v>14</v>
      </c>
    </row>
    <row r="13" spans="1:5">
      <c r="A13" s="2" t="s">
        <v>52</v>
      </c>
      <c r="B13" s="1" t="s">
        <v>54</v>
      </c>
      <c r="C13">
        <f t="shared" si="0"/>
        <v>29</v>
      </c>
    </row>
    <row r="14" spans="1:5">
      <c r="B14" s="1" t="s">
        <v>55</v>
      </c>
      <c r="C14">
        <f t="shared" si="0"/>
        <v>19</v>
      </c>
    </row>
    <row r="15" spans="1:5">
      <c r="A15" s="2" t="s">
        <v>56</v>
      </c>
      <c r="B15" s="1" t="s">
        <v>57</v>
      </c>
      <c r="C15">
        <f t="shared" si="0"/>
        <v>18</v>
      </c>
    </row>
    <row r="16" spans="1:5">
      <c r="A16" s="2" t="s">
        <v>58</v>
      </c>
      <c r="B16" s="1" t="s">
        <v>59</v>
      </c>
      <c r="C16">
        <f t="shared" si="0"/>
        <v>10</v>
      </c>
    </row>
    <row r="17" spans="1:3">
      <c r="B17" s="1" t="s">
        <v>60</v>
      </c>
      <c r="C17">
        <f t="shared" si="0"/>
        <v>8</v>
      </c>
    </row>
    <row r="18" spans="1:3">
      <c r="A18" s="2" t="s">
        <v>61</v>
      </c>
      <c r="B18" s="1" t="s">
        <v>62</v>
      </c>
      <c r="C18">
        <f t="shared" si="0"/>
        <v>26</v>
      </c>
    </row>
    <row r="19" spans="1:3" ht="37.5">
      <c r="A19" s="2" t="s">
        <v>63</v>
      </c>
      <c r="B19" s="1" t="s">
        <v>64</v>
      </c>
      <c r="C19">
        <f t="shared" si="0"/>
        <v>35</v>
      </c>
    </row>
    <row r="20" spans="1:3">
      <c r="A20" s="2" t="s">
        <v>65</v>
      </c>
      <c r="B20" s="1" t="s">
        <v>66</v>
      </c>
      <c r="C20">
        <f t="shared" si="0"/>
        <v>17</v>
      </c>
    </row>
    <row r="21" spans="1:3">
      <c r="A21" s="2" t="s">
        <v>67</v>
      </c>
      <c r="B21" s="1" t="s">
        <v>68</v>
      </c>
      <c r="C21">
        <f t="shared" si="0"/>
        <v>8</v>
      </c>
    </row>
    <row r="22" spans="1:3">
      <c r="A22" s="2" t="s">
        <v>69</v>
      </c>
      <c r="B22" s="1" t="s">
        <v>70</v>
      </c>
      <c r="C22">
        <f t="shared" si="0"/>
        <v>21</v>
      </c>
    </row>
    <row r="23" spans="1:3">
      <c r="A23" s="2" t="s">
        <v>71</v>
      </c>
      <c r="B23" s="1" t="s">
        <v>72</v>
      </c>
      <c r="C23">
        <f t="shared" si="0"/>
        <v>23</v>
      </c>
    </row>
    <row r="24" spans="1:3">
      <c r="A24" s="2" t="s">
        <v>73</v>
      </c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午後sec1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2025-02-26T21:29:14Z</dcterms:modified>
</cp:coreProperties>
</file>