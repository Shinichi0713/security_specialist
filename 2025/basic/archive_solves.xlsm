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codeName="ThisWorkbook"/>
  <mc:AlternateContent xmlns:mc="http://schemas.openxmlformats.org/markup-compatibility/2006">
    <mc:Choice Requires="x15">
      <x15ac:absPath xmlns:x15ac="http://schemas.microsoft.com/office/spreadsheetml/2010/11/ac" url="C:\Users\yoshinaga\Documents\Python Scripts\security_specialist\2025\basic\"/>
    </mc:Choice>
  </mc:AlternateContent>
  <xr:revisionPtr revIDLastSave="0" documentId="13_ncr:1_{6E549BC4-41FA-47B2-8195-806B845AAD30}" xr6:coauthVersionLast="47" xr6:coauthVersionMax="47" xr10:uidLastSave="{00000000-0000-0000-0000-000000000000}"/>
  <bookViews>
    <workbookView xWindow="150" yWindow="0" windowWidth="14265" windowHeight="15585" activeTab="4" xr2:uid="{00000000-000D-0000-FFFF-FFFF00000000}"/>
  </bookViews>
  <sheets>
    <sheet name="レビュー" sheetId="2" r:id="rId1"/>
    <sheet name="format" sheetId="4" r:id="rId2"/>
    <sheet name="1" sheetId="5" r:id="rId3"/>
    <sheet name="午後sec1" sheetId="7" r:id="rId4"/>
    <sheet name="午後sec2" sheetId="8" r:id="rId5"/>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67" i="8" l="1"/>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7" i="5"/>
  <c r="I6"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<sst xmlns="http://schemas.openxmlformats.org/spreadsheetml/2006/main" count="338" uniqueCount="301">
  <si>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</si>
  <si>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</si>
  <si>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</si>
  <si>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</si>
  <si>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</si>
  <si>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</si>
  <si>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</si>
  <si>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</si>
  <si>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</si>
  <si>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</si>
  <si>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</si>
  <si>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</si>
  <si>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</si>
  <si>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</si>
  <si>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</si>
  <si>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</si>
  <si>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</si>
  <si>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</si>
  <si>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</si>
  <si>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</si>
  <si>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</si>
  <si>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</si>
  <si>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</si>
  <si>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</si>
  <si>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</si>
  <si>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</si>
  <si>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</si>
  <si>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</si>
  <si>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</si>
  <si>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</si>
  <si>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</si>
  <si>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</si>
  <si>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</si>
  <si>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</si>
  <si>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</si>
  <si>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</si>
  <si>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</si>
  <si>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</si>
  <si>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</si>
  <si>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</si>
  <si>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</si>
  <si>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</si>
  <si>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</si>
  <si>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</si>
  <si>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</si>
  <si>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</si>
  <si>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</si>
  <si>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</si>
  <si>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</si>
  <si>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</si>
  <si>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</si>
  <si>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</si>
  <si>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</si>
  <si>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</si>
  <si>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</si>
  <si>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</si>
  <si>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</si>
  <si>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</si>
  <si>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</si>
  <si>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</si>
  <si>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</si>
  <si>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</si>
  <si>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</si>
  <si>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</si>
  <si>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</si>
  <si>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</si>
  <si>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</si>
  <si>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</si>
  <si>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</si>
  <si>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</si>
  <si>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</si>
  <si>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</si>
  <si>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</si>
  <si>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</si>
  <si>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</si>
  <si>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</si>
  <si>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</si>
  <si>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</si>
  <si>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</si>
  <si>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</si>
  <si>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</si>
  <si>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</si>
  <si>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</si>
  <si>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</si>
  <si>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</si>
  <si>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</si>
  <si>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</si>
  <si>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</si>
  <si>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</si>
  <si>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</si>
  <si>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</si>
  <si>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</si>
  <si>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</si>
  <si>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</si>
  <si>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</si>
  <si>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</si>
  <si>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</si>
  <si>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</si>
  <si>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</si>
  <si>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</si>
  <si>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</si>
  <si>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</si>
  <si>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</si>
  <si>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</si>
  <si>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</si>
  <si>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</si>
  <si>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</si>
  <si>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</si>
  <si>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</si>
  <si>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</si>
  <si>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</si>
  <si>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</si>
  <si>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</si>
  <si>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</si>
  <si>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</si>
  <si>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</si>
  <si>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</si>
  <si>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</si>
  <si>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</si>
  <si>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</si>
  <si>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</si>
  <si>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</si>
  <si>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</si>
  <si>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</si>
  <si>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</si>
  <si>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</si>
  <si>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</si>
  <si>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</si>
  <si>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</si>
  <si>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</si>
  <si>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</si>
  <si>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</si>
  <si>
    <t>15-4</t>
    <phoneticPr fontId="1"/>
  </si>
  <si>
    <t>パストラバース</t>
    <phoneticPr fontId="1"/>
  </si>
  <si>
    <t>15-5</t>
    <phoneticPr fontId="1"/>
  </si>
  <si>
    <t>権威DNSサーバーからの応答よりも早く到達する。</t>
    <rPh sb="0" eb="2">
      <t>ケンイ</t>
    </rPh>
    <rPh sb="12" eb="14">
      <t>オウトウ</t>
    </rPh>
    <rPh sb="17" eb="18">
      <t>ハヤ</t>
    </rPh>
    <rPh sb="19" eb="21">
      <t>トウタツ</t>
    </rPh>
    <phoneticPr fontId="1"/>
  </si>
  <si>
    <t>15-6</t>
    <phoneticPr fontId="1"/>
  </si>
  <si>
    <t>総当たり攻撃はオフラインで行われ、ログイン失敗しないため</t>
    <rPh sb="0" eb="2">
      <t>ソウア</t>
    </rPh>
    <rPh sb="4" eb="6">
      <t>コウゲキ</t>
    </rPh>
    <rPh sb="13" eb="14">
      <t>オコナ</t>
    </rPh>
    <rPh sb="21" eb="23">
      <t>シッパイ</t>
    </rPh>
    <phoneticPr fontId="1"/>
  </si>
  <si>
    <t>15-7</t>
    <phoneticPr fontId="1"/>
  </si>
  <si>
    <t>漏洩している口座番号と暗証番号を悪用する手法</t>
    <rPh sb="0" eb="2">
      <t>ロウエイ</t>
    </rPh>
    <rPh sb="6" eb="10">
      <t>コウザバンゴウ</t>
    </rPh>
    <rPh sb="11" eb="15">
      <t>アンショウバンゴウ</t>
    </rPh>
    <rPh sb="16" eb="18">
      <t>アクヨウ</t>
    </rPh>
    <rPh sb="20" eb="22">
      <t>シュホウ</t>
    </rPh>
    <phoneticPr fontId="1"/>
  </si>
  <si>
    <t>15-8</t>
    <phoneticPr fontId="1"/>
  </si>
  <si>
    <t>マルウェアに感染したUSBメモリを介して管理PCに侵入し、さらに店舗管理サーバーへ侵入する</t>
    <rPh sb="6" eb="8">
      <t>カンセン</t>
    </rPh>
    <rPh sb="17" eb="18">
      <t>カイ</t>
    </rPh>
    <rPh sb="20" eb="22">
      <t>カンリ</t>
    </rPh>
    <rPh sb="25" eb="27">
      <t>シンニュウ</t>
    </rPh>
    <rPh sb="32" eb="36">
      <t>テンポカンリ</t>
    </rPh>
    <rPh sb="41" eb="43">
      <t>シンニュウ</t>
    </rPh>
    <phoneticPr fontId="1"/>
  </si>
  <si>
    <t>15-9</t>
    <phoneticPr fontId="1"/>
  </si>
  <si>
    <t>DNSリフレクション攻撃</t>
    <rPh sb="10" eb="12">
      <t>コウゲキ</t>
    </rPh>
    <phoneticPr fontId="1"/>
  </si>
  <si>
    <t>15-10</t>
    <phoneticPr fontId="1"/>
  </si>
  <si>
    <t>アップロード用URL</t>
    <rPh sb="6" eb="7">
      <t>ヨウ</t>
    </rPh>
    <phoneticPr fontId="1"/>
  </si>
  <si>
    <t>利用者ID</t>
    <rPh sb="0" eb="3">
      <t>リヨウシャ</t>
    </rPh>
    <phoneticPr fontId="1"/>
  </si>
  <si>
    <t>パスワード</t>
    <phoneticPr fontId="1"/>
  </si>
  <si>
    <t>15-11</t>
    <phoneticPr fontId="1"/>
  </si>
  <si>
    <t>外部で不正に正規の利用者IDとパスワードの組合せのリストを使ってログイン試行する</t>
    <rPh sb="0" eb="2">
      <t>ガイブ</t>
    </rPh>
    <rPh sb="3" eb="5">
      <t>フセイ</t>
    </rPh>
    <rPh sb="6" eb="8">
      <t>セイキ</t>
    </rPh>
    <rPh sb="9" eb="12">
      <t>リヨウシャ</t>
    </rPh>
    <rPh sb="21" eb="23">
      <t>クミアワ</t>
    </rPh>
    <rPh sb="29" eb="30">
      <t>ツカ</t>
    </rPh>
    <rPh sb="36" eb="38">
      <t>シコウ</t>
    </rPh>
    <phoneticPr fontId="1"/>
  </si>
  <si>
    <t>15-12</t>
    <phoneticPr fontId="1"/>
  </si>
  <si>
    <t>ログ出力処理する文字列に攻撃文字列を含んでいれば攻撃が可能となるため</t>
    <rPh sb="2" eb="4">
      <t>シュツリョク</t>
    </rPh>
    <rPh sb="4" eb="6">
      <t>ショリ</t>
    </rPh>
    <rPh sb="8" eb="11">
      <t>モジレツ</t>
    </rPh>
    <rPh sb="12" eb="14">
      <t>コウゲキ</t>
    </rPh>
    <rPh sb="14" eb="17">
      <t>モジレツ</t>
    </rPh>
    <rPh sb="18" eb="19">
      <t>フク</t>
    </rPh>
    <rPh sb="24" eb="26">
      <t>コウゲキ</t>
    </rPh>
    <rPh sb="27" eb="29">
      <t>カノウ</t>
    </rPh>
    <phoneticPr fontId="1"/>
  </si>
  <si>
    <t>15-13</t>
    <phoneticPr fontId="1"/>
  </si>
  <si>
    <t>b: DDoS</t>
    <phoneticPr fontId="1"/>
  </si>
  <si>
    <t>16-1</t>
    <phoneticPr fontId="1"/>
  </si>
  <si>
    <t>a: CVSS</t>
    <phoneticPr fontId="1"/>
  </si>
  <si>
    <t>16-2</t>
    <phoneticPr fontId="1"/>
  </si>
  <si>
    <t>a: PCの動作</t>
    <rPh sb="6" eb="8">
      <t>ドウサ</t>
    </rPh>
    <phoneticPr fontId="1"/>
  </si>
  <si>
    <t>16-3</t>
    <phoneticPr fontId="1"/>
  </si>
  <si>
    <t>GDPR</t>
    <phoneticPr fontId="1"/>
  </si>
  <si>
    <t>16-4</t>
    <phoneticPr fontId="1"/>
  </si>
  <si>
    <t>c: 写真</t>
    <rPh sb="3" eb="5">
      <t>シャシン</t>
    </rPh>
    <phoneticPr fontId="1"/>
  </si>
  <si>
    <t>16-5</t>
    <phoneticPr fontId="1"/>
  </si>
  <si>
    <t>g: ランダムな数字を神に記載し、神と一緒に撮影する</t>
    <rPh sb="8" eb="10">
      <t>スウジ</t>
    </rPh>
    <rPh sb="11" eb="12">
      <t>カミ</t>
    </rPh>
    <rPh sb="13" eb="15">
      <t>キサイ</t>
    </rPh>
    <rPh sb="17" eb="18">
      <t>カミ</t>
    </rPh>
    <rPh sb="19" eb="21">
      <t>イッショ</t>
    </rPh>
    <rPh sb="22" eb="24">
      <t>サツエイ</t>
    </rPh>
    <phoneticPr fontId="1"/>
  </si>
  <si>
    <t>16-6</t>
    <phoneticPr fontId="1"/>
  </si>
  <si>
    <t>合意を得ないで利用してはいけない</t>
    <rPh sb="0" eb="2">
      <t>ゴウイ</t>
    </rPh>
    <rPh sb="3" eb="4">
      <t>エ</t>
    </rPh>
    <rPh sb="7" eb="9">
      <t>リヨウ</t>
    </rPh>
    <phoneticPr fontId="1"/>
  </si>
  <si>
    <t>17-1</t>
    <phoneticPr fontId="1"/>
  </si>
  <si>
    <t>f: NTP</t>
    <phoneticPr fontId="1"/>
  </si>
  <si>
    <t>17-2</t>
    <phoneticPr fontId="1"/>
  </si>
  <si>
    <t>NTPによる同期</t>
    <rPh sb="6" eb="8">
      <t>ドウキ</t>
    </rPh>
    <phoneticPr fontId="1"/>
  </si>
  <si>
    <t>17-3</t>
    <phoneticPr fontId="1"/>
  </si>
  <si>
    <t>i: タイムゾーン</t>
    <phoneticPr fontId="1"/>
  </si>
  <si>
    <t>j: 統一</t>
    <rPh sb="3" eb="5">
      <t>トウイツ</t>
    </rPh>
    <phoneticPr fontId="1"/>
  </si>
  <si>
    <t>17-4</t>
    <phoneticPr fontId="1"/>
  </si>
  <si>
    <t>a: タイムゾーン</t>
    <phoneticPr fontId="1"/>
  </si>
  <si>
    <t>b: 9</t>
    <phoneticPr fontId="1"/>
  </si>
  <si>
    <t>17-5</t>
    <phoneticPr fontId="1"/>
  </si>
  <si>
    <t>他のサイトで設定したパスワードとは別のものにする</t>
    <rPh sb="0" eb="1">
      <t>ホカ</t>
    </rPh>
    <rPh sb="6" eb="8">
      <t>セッテイ</t>
    </rPh>
    <rPh sb="17" eb="18">
      <t>ベツ</t>
    </rPh>
    <phoneticPr fontId="1"/>
  </si>
  <si>
    <t>17-6</t>
    <phoneticPr fontId="1"/>
  </si>
  <si>
    <t>ランダムな文字列とする</t>
    <rPh sb="5" eb="8">
      <t>モジレツ</t>
    </rPh>
    <phoneticPr fontId="1"/>
  </si>
  <si>
    <t>17-8</t>
    <phoneticPr fontId="1"/>
  </si>
  <si>
    <t>17-7</t>
    <phoneticPr fontId="1"/>
  </si>
  <si>
    <t>ランダム化</t>
    <rPh sb="4" eb="5">
      <t>カ</t>
    </rPh>
    <phoneticPr fontId="1"/>
  </si>
  <si>
    <t>オープンリレー</t>
    <phoneticPr fontId="1"/>
  </si>
  <si>
    <t>17-9</t>
    <phoneticPr fontId="1"/>
  </si>
  <si>
    <t>no-chache</t>
    <phoneticPr fontId="1"/>
  </si>
  <si>
    <t>noindex</t>
    <phoneticPr fontId="1"/>
  </si>
  <si>
    <t>17-10</t>
    <phoneticPr fontId="1"/>
  </si>
  <si>
    <t>Internetドメインの名前について解決</t>
    <rPh sb="13" eb="15">
      <t>ナマエ</t>
    </rPh>
    <rPh sb="19" eb="21">
      <t>カイケツ</t>
    </rPh>
    <phoneticPr fontId="1"/>
  </si>
  <si>
    <t>17-11</t>
    <phoneticPr fontId="1"/>
  </si>
  <si>
    <t>a: x1.y1.z1.18</t>
    <phoneticPr fontId="1"/>
  </si>
  <si>
    <t>17-12</t>
    <phoneticPr fontId="1"/>
  </si>
  <si>
    <t>多要素認証</t>
    <rPh sb="0" eb="5">
      <t>タヨウソニンショウ</t>
    </rPh>
    <phoneticPr fontId="1"/>
  </si>
  <si>
    <t>17-13</t>
    <phoneticPr fontId="1"/>
  </si>
  <si>
    <t>ハッシュ化を繰り返す処理</t>
    <rPh sb="4" eb="5">
      <t>カ</t>
    </rPh>
    <rPh sb="6" eb="7">
      <t>ク</t>
    </rPh>
    <rPh sb="8" eb="9">
      <t>カエ</t>
    </rPh>
    <rPh sb="10" eb="12">
      <t>ショリ</t>
    </rPh>
    <phoneticPr fontId="1"/>
  </si>
  <si>
    <t>17-14</t>
    <phoneticPr fontId="1"/>
  </si>
  <si>
    <t>PINコードで利用者認証する機能</t>
    <rPh sb="7" eb="10">
      <t>リヨウシャ</t>
    </rPh>
    <rPh sb="10" eb="12">
      <t>ニンショウ</t>
    </rPh>
    <rPh sb="14" eb="16">
      <t>キノウ</t>
    </rPh>
    <phoneticPr fontId="1"/>
  </si>
  <si>
    <t>sec-2</t>
    <phoneticPr fontId="1"/>
  </si>
  <si>
    <t>18-1</t>
    <phoneticPr fontId="1"/>
  </si>
  <si>
    <t>連携端末をネットワークから切り離した状態</t>
    <rPh sb="0" eb="2">
      <t>レンケイ</t>
    </rPh>
    <rPh sb="2" eb="4">
      <t>タンマツ</t>
    </rPh>
    <rPh sb="13" eb="14">
      <t>キ</t>
    </rPh>
    <rPh sb="15" eb="16">
      <t>ハナ</t>
    </rPh>
    <rPh sb="18" eb="20">
      <t>ジョウタイ</t>
    </rPh>
    <phoneticPr fontId="1"/>
  </si>
  <si>
    <t>18-2</t>
    <phoneticPr fontId="1"/>
  </si>
  <si>
    <t>圧縮ファイルを展開すると、展開したファイルに対してリアルタイムスキャンが実行されるため</t>
    <rPh sb="0" eb="2">
      <t>アッシュク</t>
    </rPh>
    <rPh sb="7" eb="9">
      <t>テンカイ</t>
    </rPh>
    <rPh sb="13" eb="15">
      <t>テンカイ</t>
    </rPh>
    <rPh sb="22" eb="23">
      <t>タイ</t>
    </rPh>
    <rPh sb="36" eb="38">
      <t>ジッコウ</t>
    </rPh>
    <phoneticPr fontId="1"/>
  </si>
  <si>
    <t>18-3</t>
    <phoneticPr fontId="1"/>
  </si>
  <si>
    <t>研究開発PCからファイル転送サーバーにアクセスして、ファイルをダウンロードする必要があるため</t>
    <rPh sb="0" eb="4">
      <t>ケンキュウカイハツ</t>
    </rPh>
    <rPh sb="12" eb="14">
      <t>テンソウ</t>
    </rPh>
    <rPh sb="39" eb="41">
      <t>ヒツヨウ</t>
    </rPh>
    <phoneticPr fontId="1"/>
  </si>
  <si>
    <t>18-4</t>
    <phoneticPr fontId="1"/>
  </si>
  <si>
    <t>認証サーバーがオリジンbとオリジンsの一致を確認しているから</t>
    <rPh sb="0" eb="2">
      <t>ニンショウ</t>
    </rPh>
    <rPh sb="19" eb="21">
      <t>イッチ</t>
    </rPh>
    <rPh sb="22" eb="24">
      <t>カクニン</t>
    </rPh>
    <phoneticPr fontId="1"/>
  </si>
  <si>
    <t>18-5</t>
    <phoneticPr fontId="1"/>
  </si>
  <si>
    <t>サーバー証明書を検証し、通信相手がWサーバーであることを確認する実装</t>
    <rPh sb="4" eb="7">
      <t>ショウメイショ</t>
    </rPh>
    <rPh sb="8" eb="10">
      <t>ケンショウ</t>
    </rPh>
    <rPh sb="12" eb="14">
      <t>ツウシン</t>
    </rPh>
    <rPh sb="14" eb="16">
      <t>アイテ</t>
    </rPh>
    <rPh sb="28" eb="30">
      <t>カクニン</t>
    </rPh>
    <rPh sb="32" eb="34">
      <t>ジッソウ</t>
    </rPh>
    <phoneticPr fontId="1"/>
  </si>
  <si>
    <t>18-6</t>
    <phoneticPr fontId="1"/>
  </si>
  <si>
    <t>マルウェアXに暗号資産の採掘プログラムを外部に送信する以外の機能はなく、マルウェアX以外による遠隔コマンド実行およびSSHサービスへの接続がなかったため</t>
    <rPh sb="7" eb="11">
      <t>アンゴウシサン</t>
    </rPh>
    <rPh sb="12" eb="14">
      <t>サイクツ</t>
    </rPh>
    <rPh sb="20" eb="22">
      <t>ガイブ</t>
    </rPh>
    <rPh sb="23" eb="25">
      <t>ソウシン</t>
    </rPh>
    <rPh sb="27" eb="29">
      <t>イガイ</t>
    </rPh>
    <rPh sb="30" eb="32">
      <t>キノウ</t>
    </rPh>
    <rPh sb="42" eb="44">
      <t>イガイ</t>
    </rPh>
    <rPh sb="47" eb="49">
      <t>エンカク</t>
    </rPh>
    <rPh sb="53" eb="55">
      <t>ジッコウ</t>
    </rPh>
    <rPh sb="67" eb="69">
      <t>セツゾク</t>
    </rPh>
    <phoneticPr fontId="1"/>
  </si>
  <si>
    <t>Q1</t>
    <phoneticPr fontId="1"/>
  </si>
  <si>
    <t>a:PDP</t>
    <phoneticPr fontId="1"/>
  </si>
  <si>
    <t>b:PEP</t>
    <phoneticPr fontId="1"/>
  </si>
  <si>
    <t>18-7</t>
    <phoneticPr fontId="1"/>
  </si>
  <si>
    <t>Dシステムには、ファイル受け渡し用PCからのみのアクセスに制限するという要求仕様がある。</t>
    <rPh sb="12" eb="13">
      <t>ウ</t>
    </rPh>
    <rPh sb="14" eb="15">
      <t>ワタ</t>
    </rPh>
    <rPh sb="16" eb="17">
      <t>ヨウ</t>
    </rPh>
    <rPh sb="29" eb="31">
      <t>セイゲン</t>
    </rPh>
    <rPh sb="36" eb="38">
      <t>ヨウキュウ</t>
    </rPh>
    <rPh sb="38" eb="40">
      <t>シヨウ</t>
    </rPh>
    <phoneticPr fontId="1"/>
  </si>
  <si>
    <t>Q2</t>
    <phoneticPr fontId="1"/>
  </si>
  <si>
    <t>a:認証</t>
    <rPh sb="2" eb="4">
      <t>ニンショウ</t>
    </rPh>
    <phoneticPr fontId="1"/>
  </si>
  <si>
    <t>b:認可</t>
    <rPh sb="2" eb="4">
      <t>ニンカ</t>
    </rPh>
    <phoneticPr fontId="1"/>
  </si>
  <si>
    <t>19-1</t>
    <phoneticPr fontId="1"/>
  </si>
  <si>
    <t>a:最新のマルウェア手ぎファイルを保存したDVD-Rの使用</t>
    <rPh sb="2" eb="4">
      <t>サイシン</t>
    </rPh>
    <rPh sb="10" eb="11">
      <t>テ</t>
    </rPh>
    <rPh sb="17" eb="19">
      <t>ホゾン</t>
    </rPh>
    <rPh sb="27" eb="29">
      <t>シヨウ</t>
    </rPh>
    <phoneticPr fontId="1"/>
  </si>
  <si>
    <t>b:マルウェア定義ファイルの更新</t>
    <rPh sb="7" eb="9">
      <t>テイギ</t>
    </rPh>
    <rPh sb="14" eb="16">
      <t>コウシン</t>
    </rPh>
    <phoneticPr fontId="1"/>
  </si>
  <si>
    <t>c:マルウェア対策ソフトの画面の操作</t>
    <rPh sb="7" eb="9">
      <t>タイサク</t>
    </rPh>
    <rPh sb="13" eb="15">
      <t>ガメン</t>
    </rPh>
    <rPh sb="16" eb="18">
      <t>ソウサ</t>
    </rPh>
    <phoneticPr fontId="1"/>
  </si>
  <si>
    <t>19-2</t>
    <phoneticPr fontId="1"/>
  </si>
  <si>
    <t>n:社外向け窓口を用意する</t>
    <rPh sb="2" eb="5">
      <t>シャガイム</t>
    </rPh>
    <rPh sb="6" eb="8">
      <t>マドグチ</t>
    </rPh>
    <rPh sb="9" eb="11">
      <t>ヨウイ</t>
    </rPh>
    <phoneticPr fontId="1"/>
  </si>
  <si>
    <t>19-3</t>
    <phoneticPr fontId="1"/>
  </si>
  <si>
    <t>ダウンロードするライブラリに既知の脆弱性がないかを確認する</t>
    <rPh sb="14" eb="16">
      <t>キチ</t>
    </rPh>
    <rPh sb="17" eb="20">
      <t>ゼイジャクセイ</t>
    </rPh>
    <rPh sb="25" eb="27">
      <t>カクニン</t>
    </rPh>
    <phoneticPr fontId="1"/>
  </si>
  <si>
    <t>19-4</t>
    <phoneticPr fontId="1"/>
  </si>
  <si>
    <t>デバッグログに認証情報を出力しない</t>
    <rPh sb="7" eb="9">
      <t>ニンショウ</t>
    </rPh>
    <rPh sb="9" eb="11">
      <t>ジョウホウ</t>
    </rPh>
    <rPh sb="12" eb="14">
      <t>シュツリョク</t>
    </rPh>
    <phoneticPr fontId="1"/>
  </si>
  <si>
    <t>19-5</t>
    <phoneticPr fontId="1"/>
  </si>
  <si>
    <t>再判定を行う</t>
    <rPh sb="0" eb="3">
      <t>サイハンテイ</t>
    </rPh>
    <rPh sb="4" eb="5">
      <t>オコナ</t>
    </rPh>
    <phoneticPr fontId="1"/>
  </si>
  <si>
    <t>19-6</t>
    <phoneticPr fontId="1"/>
  </si>
  <si>
    <t>h:利用者確認</t>
    <rPh sb="2" eb="5">
      <t>リヨウシャ</t>
    </rPh>
    <rPh sb="5" eb="7">
      <t>カクニン</t>
    </rPh>
    <phoneticPr fontId="1"/>
  </si>
  <si>
    <t>k:アカウントを無効</t>
    <rPh sb="8" eb="10">
      <t>ムコウ</t>
    </rPh>
    <phoneticPr fontId="1"/>
  </si>
  <si>
    <t>Q3</t>
    <phoneticPr fontId="1"/>
  </si>
  <si>
    <t>安全とは呼べないアプリケーションの通信がローカルブレークアウトの対象とされるリスク</t>
    <rPh sb="0" eb="2">
      <t>アンゼン</t>
    </rPh>
    <rPh sb="4" eb="5">
      <t>ヨ</t>
    </rPh>
    <rPh sb="17" eb="19">
      <t>ツウシン</t>
    </rPh>
    <rPh sb="32" eb="34">
      <t>タイショウ</t>
    </rPh>
    <phoneticPr fontId="1"/>
  </si>
  <si>
    <t>19-7</t>
    <phoneticPr fontId="1"/>
  </si>
  <si>
    <t>2-b</t>
    <phoneticPr fontId="1"/>
  </si>
  <si>
    <t>エラーメッセージで登録されていることを表示しない</t>
    <rPh sb="9" eb="11">
      <t>トウロク</t>
    </rPh>
    <rPh sb="19" eb="21">
      <t>ヒョウジ</t>
    </rPh>
    <phoneticPr fontId="1"/>
  </si>
  <si>
    <t>Q4</t>
    <phoneticPr fontId="1"/>
  </si>
  <si>
    <t>情報セキュリティ管理を本社一括で行うことが出来て、作業品質のばらつきを抑えられる</t>
    <rPh sb="0" eb="2">
      <t>ジョウホウ</t>
    </rPh>
    <rPh sb="8" eb="10">
      <t>カンリ</t>
    </rPh>
    <rPh sb="11" eb="13">
      <t>ホンシャ</t>
    </rPh>
    <rPh sb="13" eb="15">
      <t>イッカツ</t>
    </rPh>
    <rPh sb="16" eb="17">
      <t>オコナ</t>
    </rPh>
    <rPh sb="21" eb="23">
      <t>デキ</t>
    </rPh>
    <rPh sb="25" eb="27">
      <t>サギョウ</t>
    </rPh>
    <rPh sb="27" eb="29">
      <t>ヒンシツ</t>
    </rPh>
    <rPh sb="35" eb="36">
      <t>オサ</t>
    </rPh>
    <phoneticPr fontId="1"/>
  </si>
  <si>
    <t>19-8</t>
    <phoneticPr fontId="1"/>
  </si>
  <si>
    <t>複数の脆弱性を同時に利用される可能性の観点</t>
    <rPh sb="0" eb="2">
      <t>フクスウ</t>
    </rPh>
    <rPh sb="3" eb="6">
      <t>ゼイジャクセイ</t>
    </rPh>
    <rPh sb="7" eb="9">
      <t>ドウジ</t>
    </rPh>
    <rPh sb="10" eb="12">
      <t>リヨウ</t>
    </rPh>
    <rPh sb="15" eb="18">
      <t>カノウセイ</t>
    </rPh>
    <rPh sb="19" eb="21">
      <t>カンテン</t>
    </rPh>
    <phoneticPr fontId="1"/>
  </si>
  <si>
    <t>不正なURLへの誘導を防ぐ効果</t>
    <rPh sb="0" eb="2">
      <t>フセイ</t>
    </rPh>
    <rPh sb="8" eb="10">
      <t>ユウドウ</t>
    </rPh>
    <rPh sb="11" eb="12">
      <t>フセ</t>
    </rPh>
    <rPh sb="13" eb="15">
      <t>コウカ</t>
    </rPh>
    <phoneticPr fontId="1"/>
  </si>
  <si>
    <t>19-9</t>
    <phoneticPr fontId="1"/>
  </si>
  <si>
    <t>管理者がPソフトを一般利用者権限では変更できないように設定する</t>
    <rPh sb="0" eb="3">
      <t>カンリシャ</t>
    </rPh>
    <rPh sb="9" eb="14">
      <t>イッパンリヨウシャ</t>
    </rPh>
    <rPh sb="14" eb="16">
      <t>ケンゲン</t>
    </rPh>
    <rPh sb="18" eb="20">
      <t>ヘンコウ</t>
    </rPh>
    <rPh sb="27" eb="29">
      <t>セッテイ</t>
    </rPh>
    <phoneticPr fontId="1"/>
  </si>
  <si>
    <t>20-1</t>
    <phoneticPr fontId="1"/>
  </si>
  <si>
    <t>クレジットポイントを不正に利用される</t>
    <rPh sb="10" eb="12">
      <t>フセイ</t>
    </rPh>
    <rPh sb="13" eb="15">
      <t>リヨウ</t>
    </rPh>
    <phoneticPr fontId="1"/>
  </si>
  <si>
    <t>サイトQにおいて利用者の権限で不正に商品を購入される</t>
    <rPh sb="8" eb="11">
      <t>リヨウシャ</t>
    </rPh>
    <rPh sb="12" eb="14">
      <t>ケンゲン</t>
    </rPh>
    <rPh sb="15" eb="17">
      <t>フセイ</t>
    </rPh>
    <rPh sb="18" eb="20">
      <t>ショウヒン</t>
    </rPh>
    <rPh sb="21" eb="23">
      <t>コウニュウ</t>
    </rPh>
    <phoneticPr fontId="1"/>
  </si>
  <si>
    <t>20-2</t>
    <phoneticPr fontId="1"/>
  </si>
  <si>
    <t>HTTPで通信接続が開始したため</t>
    <rPh sb="5" eb="7">
      <t>ツウシン</t>
    </rPh>
    <rPh sb="7" eb="9">
      <t>セツゾク</t>
    </rPh>
    <rPh sb="10" eb="12">
      <t>カイシ</t>
    </rPh>
    <phoneticPr fontId="1"/>
  </si>
  <si>
    <t>20-3</t>
    <phoneticPr fontId="1"/>
  </si>
  <si>
    <t>メール差０ビスPへの不正アクセスを防ぐ</t>
    <rPh sb="3" eb="4">
      <t>サ</t>
    </rPh>
    <rPh sb="10" eb="12">
      <t>フセイ</t>
    </rPh>
    <rPh sb="17" eb="18">
      <t>フセ</t>
    </rPh>
    <phoneticPr fontId="1"/>
  </si>
  <si>
    <t>ブラウザとメールサービスPの間の通信を中継し、OTPも中継する場合</t>
    <rPh sb="14" eb="15">
      <t>アイダ</t>
    </rPh>
    <rPh sb="16" eb="18">
      <t>ツウシン</t>
    </rPh>
    <rPh sb="19" eb="21">
      <t>チュウケイ</t>
    </rPh>
    <rPh sb="27" eb="29">
      <t>チュウケイ</t>
    </rPh>
    <rPh sb="31" eb="33">
      <t>バアイ</t>
    </rPh>
    <phoneticPr fontId="1"/>
  </si>
  <si>
    <t>20-4</t>
    <phoneticPr fontId="1"/>
  </si>
  <si>
    <t>感染したがネットワークより切断された場合</t>
    <rPh sb="0" eb="2">
      <t>カンセン</t>
    </rPh>
    <rPh sb="13" eb="15">
      <t>セツダン</t>
    </rPh>
    <rPh sb="18" eb="20">
      <t>バアイ</t>
    </rPh>
    <phoneticPr fontId="1"/>
  </si>
  <si>
    <t>20-5</t>
    <phoneticPr fontId="1"/>
  </si>
  <si>
    <t>Tサービス上に会員登録していないS会員</t>
    <rPh sb="5" eb="6">
      <t>ウエ</t>
    </rPh>
    <rPh sb="7" eb="9">
      <t>カイイン</t>
    </rPh>
    <rPh sb="9" eb="11">
      <t>トウロク</t>
    </rPh>
    <rPh sb="17" eb="19">
      <t>カイイン</t>
    </rPh>
    <phoneticPr fontId="1"/>
  </si>
  <si>
    <t>20-6</t>
    <phoneticPr fontId="1"/>
  </si>
  <si>
    <t>20-7</t>
    <phoneticPr fontId="1"/>
  </si>
  <si>
    <t>同一IPアドレスへのスキャン回数は少ないため</t>
    <rPh sb="0" eb="2">
      <t>ドウイツ</t>
    </rPh>
    <rPh sb="14" eb="16">
      <t>カイスウ</t>
    </rPh>
    <rPh sb="17" eb="18">
      <t>スク</t>
    </rPh>
    <phoneticPr fontId="1"/>
  </si>
  <si>
    <t>20-8</t>
    <phoneticPr fontId="1"/>
  </si>
  <si>
    <t>メールアドレスが登録されてる場合とそうでない場合で表示が異なる挙動</t>
    <rPh sb="8" eb="10">
      <t>トウロク</t>
    </rPh>
    <rPh sb="14" eb="16">
      <t>バアイ</t>
    </rPh>
    <rPh sb="22" eb="24">
      <t>バアイ</t>
    </rPh>
    <rPh sb="25" eb="27">
      <t>ヒョウジ</t>
    </rPh>
    <rPh sb="28" eb="29">
      <t>コト</t>
    </rPh>
    <rPh sb="31" eb="33">
      <t>キョドウ</t>
    </rPh>
    <phoneticPr fontId="1"/>
  </si>
  <si>
    <t>20-9</t>
    <phoneticPr fontId="1"/>
  </si>
  <si>
    <t>本人によるアクセス化の識別ができないため</t>
    <rPh sb="0" eb="2">
      <t>ホンニン</t>
    </rPh>
    <rPh sb="9" eb="10">
      <t>カ</t>
    </rPh>
    <rPh sb="11" eb="13">
      <t>シキベツ</t>
    </rPh>
    <phoneticPr fontId="1"/>
  </si>
  <si>
    <t>なりすましによるアクセスの場合、操作した人物とログに記録された利用者IDの利用者とは異なるため</t>
    <rPh sb="13" eb="15">
      <t>バアイ</t>
    </rPh>
    <rPh sb="16" eb="18">
      <t>ソウサ</t>
    </rPh>
    <rPh sb="20" eb="22">
      <t>ジンブツ</t>
    </rPh>
    <rPh sb="26" eb="28">
      <t>キロク</t>
    </rPh>
    <rPh sb="31" eb="34">
      <t>リヨウシャ</t>
    </rPh>
    <rPh sb="37" eb="40">
      <t>リヨウシャ</t>
    </rPh>
    <rPh sb="42" eb="43">
      <t>コト</t>
    </rPh>
    <phoneticPr fontId="1"/>
  </si>
  <si>
    <t>20-10</t>
    <phoneticPr fontId="1"/>
  </si>
  <si>
    <t>j:システムに登録されていないメールアドレスにパスワードを送ることができる</t>
    <rPh sb="7" eb="9">
      <t>トウロク</t>
    </rPh>
    <rPh sb="29" eb="30">
      <t>オク</t>
    </rPh>
    <phoneticPr fontId="1"/>
  </si>
  <si>
    <t>20-11</t>
    <phoneticPr fontId="1"/>
  </si>
  <si>
    <t>STは認証サーバーに送付されないため</t>
    <rPh sb="3" eb="5">
      <t>ニンショウ</t>
    </rPh>
    <rPh sb="10" eb="12">
      <t>ソウフ</t>
    </rPh>
    <phoneticPr fontId="1"/>
  </si>
  <si>
    <t>20-12</t>
    <phoneticPr fontId="1"/>
  </si>
  <si>
    <t>アクセスがあった時間、当該の利用者は社内LANからのアクセスができない状態にあったため</t>
    <rPh sb="8" eb="10">
      <t>ジカン</t>
    </rPh>
    <rPh sb="11" eb="13">
      <t>トウガイ</t>
    </rPh>
    <rPh sb="14" eb="17">
      <t>リヨウシャ</t>
    </rPh>
    <rPh sb="18" eb="20">
      <t>シャナイ</t>
    </rPh>
    <rPh sb="35" eb="37">
      <t>ジョウタイ</t>
    </rPh>
    <phoneticPr fontId="1"/>
  </si>
  <si>
    <t>20-13</t>
    <phoneticPr fontId="1"/>
  </si>
  <si>
    <t>MWは仮想マシンを検知</t>
    <rPh sb="3" eb="5">
      <t>カソウ</t>
    </rPh>
    <rPh sb="9" eb="11">
      <t>ケンチ</t>
    </rPh>
    <phoneticPr fontId="1"/>
  </si>
  <si>
    <t>仮想マシンではない実機マシン環境</t>
    <rPh sb="0" eb="2">
      <t>カソウ</t>
    </rPh>
    <rPh sb="9" eb="11">
      <t>ジッキ</t>
    </rPh>
    <rPh sb="14" eb="16">
      <t>カンキョウ</t>
    </rPh>
    <phoneticPr fontId="1"/>
  </si>
  <si>
    <t>20-14</t>
    <phoneticPr fontId="1"/>
  </si>
  <si>
    <t>HHTTPはDNSプロトコルを利用</t>
    <rPh sb="15" eb="17">
      <t>リヨウ</t>
    </rPh>
    <phoneticPr fontId="1"/>
  </si>
  <si>
    <t>グローバルIPアドレスMへのHTTP通信成功のログ</t>
    <rPh sb="18" eb="20">
      <t>ツウシン</t>
    </rPh>
    <rPh sb="20" eb="22">
      <t>セイコウ</t>
    </rPh>
    <phoneticPr fontId="1"/>
  </si>
  <si>
    <t>パブリックDNSサービスLへのDNS通信成功のログ</t>
    <rPh sb="18" eb="20">
      <t>ツウシン</t>
    </rPh>
    <rPh sb="20" eb="22">
      <t>セイコウ</t>
    </rPh>
    <phoneticPr fontId="1"/>
  </si>
  <si>
    <t>Q7</t>
    <phoneticPr fontId="1"/>
  </si>
  <si>
    <t>NTPによる時刻同期を行う</t>
    <rPh sb="6" eb="8">
      <t>ジコク</t>
    </rPh>
    <rPh sb="8" eb="10">
      <t>ドウキ</t>
    </rPh>
    <rPh sb="11" eb="12">
      <t>オコナ</t>
    </rPh>
    <phoneticPr fontId="1"/>
  </si>
  <si>
    <t>情報システム全体でID体系を統一する</t>
    <rPh sb="0" eb="2">
      <t>ジョウホウ</t>
    </rPh>
    <rPh sb="6" eb="8">
      <t>ゼンタイ</t>
    </rPh>
    <rPh sb="11" eb="13">
      <t>タイケイ</t>
    </rPh>
    <rPh sb="14" eb="16">
      <t>トウイツ</t>
    </rPh>
    <phoneticPr fontId="1"/>
  </si>
  <si>
    <t>20-15</t>
    <phoneticPr fontId="1"/>
  </si>
  <si>
    <t>h;ファイル圧縮</t>
    <rPh sb="6" eb="8">
      <t>アッシュク</t>
    </rPh>
    <phoneticPr fontId="1"/>
  </si>
  <si>
    <t>l:ファイル名</t>
    <rPh sb="6" eb="7">
      <t>メイ</t>
    </rPh>
    <phoneticPr fontId="1"/>
  </si>
  <si>
    <t>m:ファイルサイズ</t>
    <phoneticPr fontId="1"/>
  </si>
  <si>
    <t>21-1</t>
    <phoneticPr fontId="1"/>
  </si>
  <si>
    <t>ゼロデイ攻撃</t>
    <rPh sb="4" eb="6">
      <t>コウゲキ</t>
    </rPh>
    <phoneticPr fontId="1"/>
  </si>
  <si>
    <t>21-2</t>
    <phoneticPr fontId="1"/>
  </si>
  <si>
    <t>IPアドレスからわかる地理的位置について、過去ログインのものとの違いを確認する</t>
    <rPh sb="11" eb="14">
      <t>チリテキ</t>
    </rPh>
    <rPh sb="14" eb="16">
      <t>イチ</t>
    </rPh>
    <rPh sb="21" eb="23">
      <t>カコ</t>
    </rPh>
    <rPh sb="32" eb="33">
      <t>チガ</t>
    </rPh>
    <rPh sb="35" eb="37">
      <t>カクニン</t>
    </rPh>
    <phoneticPr fontId="1"/>
  </si>
  <si>
    <t>21-3</t>
    <phoneticPr fontId="1"/>
  </si>
  <si>
    <t>登録した実行ファイルがバージョンアップされた場合</t>
    <rPh sb="0" eb="2">
      <t>トウロク</t>
    </rPh>
    <rPh sb="4" eb="6">
      <t>ジッコウ</t>
    </rPh>
    <rPh sb="22" eb="24">
      <t>バアイ</t>
    </rPh>
    <phoneticPr fontId="1"/>
  </si>
  <si>
    <t>21-4</t>
    <phoneticPr fontId="1"/>
  </si>
  <si>
    <t>マクロとして実行されるファイル</t>
    <rPh sb="6" eb="8">
      <t>ジッコウ</t>
    </rPh>
    <phoneticPr fontId="1"/>
  </si>
  <si>
    <t>21-5</t>
    <phoneticPr fontId="1"/>
  </si>
  <si>
    <t>ネットワークトラフィック量と比較して異常を検知する</t>
    <rPh sb="12" eb="13">
      <t>リョウ</t>
    </rPh>
    <rPh sb="14" eb="16">
      <t>ヒカク</t>
    </rPh>
    <rPh sb="18" eb="20">
      <t>イジョウ</t>
    </rPh>
    <rPh sb="21" eb="23">
      <t>ケンチ</t>
    </rPh>
    <phoneticPr fontId="1"/>
  </si>
  <si>
    <t>21-6</t>
    <phoneticPr fontId="1"/>
  </si>
  <si>
    <t>スマホを盗まれた場合</t>
    <rPh sb="4" eb="5">
      <t>ヌス</t>
    </rPh>
    <rPh sb="8" eb="10">
      <t>バアイ</t>
    </rPh>
    <phoneticPr fontId="1"/>
  </si>
  <si>
    <t>21-7</t>
    <phoneticPr fontId="1"/>
  </si>
  <si>
    <t>A社公開webサーバーの名前解決が出来なくなる</t>
    <rPh sb="1" eb="2">
      <t>シャ</t>
    </rPh>
    <rPh sb="2" eb="4">
      <t>コウカイ</t>
    </rPh>
    <rPh sb="12" eb="14">
      <t>ナマエ</t>
    </rPh>
    <rPh sb="14" eb="16">
      <t>カイケツ</t>
    </rPh>
    <rPh sb="17" eb="19">
      <t>デキ</t>
    </rPh>
    <phoneticPr fontId="1"/>
  </si>
  <si>
    <t>21-8</t>
    <phoneticPr fontId="1"/>
  </si>
  <si>
    <t>容易に推測可能なPINコードを設定する</t>
    <rPh sb="0" eb="2">
      <t>ヨウイ</t>
    </rPh>
    <rPh sb="3" eb="7">
      <t>スイソクカノウ</t>
    </rPh>
    <rPh sb="15" eb="17">
      <t>セッテイ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</si>
</sst>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56" fontId="0" fillId="0" borderId="0" xfId="0" applyNumberFormat="1" applyAlignment="1">
      <alignmen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
  <sheetViews>
    <sheetView workbookViewId="0">
      <selection activeCell="G14" sqref="G14"/>
    </sheetView>
  </sheetViews>
  <sheetFormatPr defaultRowHeight="18.75"/>
  <cols>
    <col min="2" max="3" width="9" style="2"/>
  </cols>
  <sheetData>
    <row r="1" spans="1:6">
      <c r="A1" t="s">
        <v>11</v>
      </c>
      <c r="B1" s="2" t="s">
        <v>7</v>
      </c>
      <c r="C1" s="2" t="s">
        <v>8</v>
      </c>
      <c r="D1" t="s">
        <v>9</v>
      </c>
      <c r="E1" t="s">
        <v>5</v>
      </c>
      <c r="F1" t="s">
        <v>10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75"/>
  <cols>
    <col min="1" max="1" width="8.75" style="2"/>
    <col min="2" max="2" width="57.75" style="1" customWidth="1"/>
    <col min="3" max="3" width="9.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dimension ref="A1:H167"/>
  <sheetViews>
    <sheetView zoomScale="115" zoomScaleNormal="115" workbookViewId="0">
      <pane xSplit="1" ySplit="3" topLeftCell="B71"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3" style="1" customWidth="1"/>
    <col min="3" max="3" width="9.75" customWidth="1"/>
  </cols>
  <sheetData>
    <row r="1" spans="1:5">
      <c r="A1" s="2" t="s">
        <v>0</v>
      </c>
      <c r="B1" s="1" t="s">
        <v>35</v>
      </c>
    </row>
    <row r="2" spans="1:5">
      <c r="A2" s="2" t="s">
        <v>2</v>
      </c>
      <c r="B2" s="3" t="s">
        <v>36</v>
      </c>
      <c r="D2">
        <f>SUM(D4:D1000)</f>
        <v>82</v>
      </c>
      <c r="E2">
        <f>SUM(E4:E1000)</f>
        <v>89</v>
      </c>
    </row>
    <row r="3" spans="1:5">
      <c r="A3" s="2" t="s">
        <v>1</v>
      </c>
      <c r="B3" s="1" t="s">
        <v>3</v>
      </c>
      <c r="C3" t="s">
        <v>6</v>
      </c>
      <c r="D3" t="s">
        <v>4</v>
      </c>
      <c r="E3" t="s">
        <v>5</v>
      </c>
    </row>
    <row r="4" spans="1:5" ht="37.5">
      <c r="A4" s="2" t="s">
        <v>37</v>
      </c>
      <c r="B4" s="1" t="s">
        <v>38</v>
      </c>
      <c r="C4">
        <f>IF(B4&lt;&gt;"",LEN(B4),"")</f>
        <v>28</v>
      </c>
      <c r="D4">
        <v>1</v>
      </c>
      <c r="E4">
        <v>1</v>
      </c>
    </row>
    <row r="5" spans="1:5" ht="37.5">
      <c r="A5" s="2" t="s">
        <v>39</v>
      </c>
      <c r="B5" s="1" t="s">
        <v>40</v>
      </c>
      <c r="C5">
        <f t="shared" ref="C5:C68" si="0">IF(B5&lt;&gt;"",LEN(B5),"")</f>
        <v>46</v>
      </c>
      <c r="D5">
        <v>1</v>
      </c>
      <c r="E5">
        <v>1</v>
      </c>
    </row>
    <row r="6" spans="1:5" ht="56.25">
      <c r="A6" s="2" t="s">
        <v>41</v>
      </c>
      <c r="B6" s="1" t="s">
        <v>42</v>
      </c>
      <c r="C6">
        <f t="shared" si="0"/>
        <v>61</v>
      </c>
      <c r="D6">
        <v>1</v>
      </c>
      <c r="E6">
        <v>1</v>
      </c>
    </row>
    <row r="7" spans="1:5">
      <c r="A7" s="2" t="s">
        <v>43</v>
      </c>
      <c r="B7" s="1" t="s">
        <v>44</v>
      </c>
      <c r="C7">
        <f t="shared" si="0"/>
        <v>10</v>
      </c>
      <c r="D7">
        <v>1</v>
      </c>
      <c r="E7">
        <v>1</v>
      </c>
    </row>
    <row r="8" spans="1:5">
      <c r="A8" s="2" t="s">
        <v>45</v>
      </c>
      <c r="B8" s="1" t="s">
        <v>46</v>
      </c>
      <c r="C8">
        <f t="shared" si="0"/>
        <v>12</v>
      </c>
      <c r="D8">
        <v>1</v>
      </c>
      <c r="E8">
        <v>1</v>
      </c>
    </row>
    <row r="9" spans="1:5">
      <c r="B9" s="1" t="s">
        <v>47</v>
      </c>
      <c r="C9">
        <f t="shared" si="0"/>
        <v>19</v>
      </c>
      <c r="D9">
        <v>1</v>
      </c>
      <c r="E9">
        <v>1</v>
      </c>
    </row>
    <row r="10" spans="1:5" ht="37.5">
      <c r="B10" s="1" t="s">
        <v>48</v>
      </c>
      <c r="C10">
        <f t="shared" si="0"/>
        <v>43</v>
      </c>
      <c r="D10">
        <v>1</v>
      </c>
      <c r="E10">
        <v>1</v>
      </c>
    </row>
    <row r="11" spans="1:5" ht="37.5">
      <c r="A11" s="2" t="s">
        <v>49</v>
      </c>
      <c r="B11" s="1" t="s">
        <v>50</v>
      </c>
      <c r="C11">
        <f t="shared" si="0"/>
        <v>32</v>
      </c>
      <c r="D11">
        <v>1</v>
      </c>
      <c r="E11">
        <v>1</v>
      </c>
    </row>
    <row r="12" spans="1:5">
      <c r="A12" s="2" t="s">
        <v>53</v>
      </c>
      <c r="B12" s="1" t="s">
        <v>51</v>
      </c>
      <c r="C12">
        <f t="shared" si="0"/>
        <v>14</v>
      </c>
      <c r="D12">
        <v>1</v>
      </c>
      <c r="E12">
        <v>1</v>
      </c>
    </row>
    <row r="13" spans="1:5">
      <c r="A13" s="2" t="s">
        <v>52</v>
      </c>
      <c r="B13" s="1" t="s">
        <v>54</v>
      </c>
      <c r="C13">
        <f t="shared" si="0"/>
        <v>29</v>
      </c>
      <c r="D13">
        <v>1</v>
      </c>
      <c r="E13">
        <v>1</v>
      </c>
    </row>
    <row r="14" spans="1:5">
      <c r="B14" s="1" t="s">
        <v>55</v>
      </c>
      <c r="C14">
        <f t="shared" si="0"/>
        <v>19</v>
      </c>
      <c r="D14">
        <v>1</v>
      </c>
      <c r="E14">
        <v>1</v>
      </c>
    </row>
    <row r="15" spans="1:5">
      <c r="A15" s="2" t="s">
        <v>56</v>
      </c>
      <c r="B15" s="1" t="s">
        <v>57</v>
      </c>
      <c r="C15">
        <f t="shared" si="0"/>
        <v>18</v>
      </c>
      <c r="D15">
        <v>1</v>
      </c>
      <c r="E15">
        <v>1</v>
      </c>
    </row>
    <row r="16" spans="1:5">
      <c r="A16" s="2" t="s">
        <v>58</v>
      </c>
      <c r="B16" s="1" t="s">
        <v>59</v>
      </c>
      <c r="C16">
        <f t="shared" si="0"/>
        <v>10</v>
      </c>
      <c r="D16">
        <v>1</v>
      </c>
      <c r="E16">
        <v>1</v>
      </c>
    </row>
    <row r="17" spans="1:8">
      <c r="B17" s="1" t="s">
        <v>60</v>
      </c>
      <c r="C17">
        <f t="shared" si="0"/>
        <v>8</v>
      </c>
      <c r="D17">
        <v>1</v>
      </c>
      <c r="E17">
        <v>1</v>
      </c>
    </row>
    <row r="18" spans="1:8">
      <c r="A18" s="2" t="s">
        <v>61</v>
      </c>
      <c r="B18" s="1" t="s">
        <v>62</v>
      </c>
      <c r="C18">
        <f t="shared" si="0"/>
        <v>26</v>
      </c>
      <c r="D18">
        <v>1</v>
      </c>
      <c r="E18">
        <v>1</v>
      </c>
    </row>
    <row r="19" spans="1:8" ht="37.5">
      <c r="A19" s="2" t="s">
        <v>63</v>
      </c>
      <c r="B19" s="1" t="s">
        <v>64</v>
      </c>
      <c r="C19">
        <f t="shared" si="0"/>
        <v>35</v>
      </c>
      <c r="D19">
        <v>1</v>
      </c>
      <c r="E19">
        <v>1</v>
      </c>
    </row>
    <row r="20" spans="1:8">
      <c r="A20" s="2" t="s">
        <v>65</v>
      </c>
      <c r="B20" s="1" t="s">
        <v>66</v>
      </c>
      <c r="C20">
        <f t="shared" si="0"/>
        <v>17</v>
      </c>
      <c r="D20">
        <v>1</v>
      </c>
      <c r="E20">
        <v>1</v>
      </c>
    </row>
    <row r="21" spans="1:8">
      <c r="A21" s="2" t="s">
        <v>67</v>
      </c>
      <c r="B21" s="1" t="s">
        <v>68</v>
      </c>
      <c r="C21">
        <f t="shared" si="0"/>
        <v>8</v>
      </c>
      <c r="D21">
        <v>1</v>
      </c>
      <c r="E21">
        <v>1</v>
      </c>
    </row>
    <row r="22" spans="1:8">
      <c r="A22" s="2" t="s">
        <v>69</v>
      </c>
      <c r="B22" s="1" t="s">
        <v>70</v>
      </c>
      <c r="C22">
        <f t="shared" si="0"/>
        <v>21</v>
      </c>
      <c r="D22">
        <v>1</v>
      </c>
      <c r="E22">
        <v>1</v>
      </c>
    </row>
    <row r="23" spans="1:8">
      <c r="A23" s="2" t="s">
        <v>71</v>
      </c>
      <c r="B23" s="1" t="s">
        <v>72</v>
      </c>
      <c r="C23">
        <f t="shared" si="0"/>
        <v>23</v>
      </c>
      <c r="D23">
        <v>1</v>
      </c>
      <c r="E23">
        <v>1</v>
      </c>
    </row>
    <row r="24" spans="1:8">
      <c r="A24" s="2" t="s">
        <v>73</v>
      </c>
      <c r="B24" s="1" t="s">
        <v>74</v>
      </c>
      <c r="C24">
        <f t="shared" si="0"/>
        <v>14</v>
      </c>
      <c r="D24">
        <v>1</v>
      </c>
      <c r="E24">
        <v>1</v>
      </c>
    </row>
    <row r="25" spans="1:8">
      <c r="B25" s="1" t="s">
        <v>75</v>
      </c>
      <c r="C25">
        <f t="shared" si="0"/>
        <v>5</v>
      </c>
      <c r="D25">
        <v>1</v>
      </c>
      <c r="E25">
        <v>1</v>
      </c>
    </row>
    <row r="26" spans="1:8">
      <c r="A26" s="2" t="s">
        <v>76</v>
      </c>
      <c r="B26" s="1" t="s">
        <v>77</v>
      </c>
      <c r="C26">
        <f t="shared" si="0"/>
        <v>13</v>
      </c>
      <c r="D26">
        <v>1</v>
      </c>
      <c r="E26">
        <v>1</v>
      </c>
    </row>
    <row r="27" spans="1:8" ht="37.5">
      <c r="A27" s="2" t="s">
        <v>78</v>
      </c>
      <c r="B27" s="1" t="s">
        <v>79</v>
      </c>
      <c r="C27">
        <f t="shared" si="0"/>
        <v>48</v>
      </c>
      <c r="D27">
        <v>1</v>
      </c>
      <c r="E27">
        <v>1</v>
      </c>
      <c r="H27" t="s">
        <v>90</v>
      </c>
    </row>
    <row r="28" spans="1:8">
      <c r="A28" s="2" t="s">
        <v>80</v>
      </c>
      <c r="B28" s="1" t="s">
        <v>83</v>
      </c>
      <c r="C28">
        <f t="shared" si="0"/>
        <v>5</v>
      </c>
      <c r="D28">
        <v>1</v>
      </c>
      <c r="E28">
        <v>1</v>
      </c>
    </row>
    <row r="29" spans="1:8">
      <c r="B29" s="1" t="s">
        <v>81</v>
      </c>
      <c r="C29">
        <f t="shared" si="0"/>
        <v>20</v>
      </c>
      <c r="D29">
        <v>1</v>
      </c>
      <c r="E29">
        <v>1</v>
      </c>
    </row>
    <row r="30" spans="1:8">
      <c r="B30" s="1" t="s">
        <v>82</v>
      </c>
      <c r="C30">
        <f t="shared" si="0"/>
        <v>5</v>
      </c>
      <c r="D30">
        <v>1</v>
      </c>
      <c r="E30">
        <v>1</v>
      </c>
    </row>
    <row r="31" spans="1:8">
      <c r="B31" s="1" t="s">
        <v>84</v>
      </c>
      <c r="C31">
        <f t="shared" si="0"/>
        <v>22</v>
      </c>
      <c r="D31">
        <v>1</v>
      </c>
      <c r="E31">
        <v>1</v>
      </c>
    </row>
    <row r="32" spans="1:8" ht="37.5">
      <c r="A32" s="2" t="s">
        <v>85</v>
      </c>
      <c r="B32" s="1" t="s">
        <v>86</v>
      </c>
      <c r="C32">
        <f t="shared" si="0"/>
        <v>30</v>
      </c>
      <c r="D32">
        <v>1</v>
      </c>
      <c r="E32">
        <v>1</v>
      </c>
    </row>
    <row r="33" spans="1:5">
      <c r="A33" s="2" t="s">
        <v>87</v>
      </c>
      <c r="B33" s="1" t="s">
        <v>88</v>
      </c>
      <c r="C33">
        <f t="shared" si="0"/>
        <v>22</v>
      </c>
      <c r="D33">
        <v>1</v>
      </c>
      <c r="E33">
        <v>1</v>
      </c>
    </row>
    <row r="34" spans="1:5">
      <c r="A34" s="2" t="s">
        <v>89</v>
      </c>
      <c r="B34" s="1" t="s">
        <v>91</v>
      </c>
      <c r="C34">
        <f t="shared" si="0"/>
        <v>27</v>
      </c>
      <c r="E34">
        <v>1</v>
      </c>
    </row>
    <row r="35" spans="1:5" ht="37.5">
      <c r="A35" s="2" t="s">
        <v>92</v>
      </c>
      <c r="B35" s="1" t="s">
        <v>93</v>
      </c>
      <c r="C35">
        <f t="shared" si="0"/>
        <v>36</v>
      </c>
      <c r="D35">
        <v>1</v>
      </c>
      <c r="E35">
        <v>1</v>
      </c>
    </row>
    <row r="36" spans="1:5">
      <c r="A36" s="2" t="s">
        <v>94</v>
      </c>
      <c r="B36" s="1" t="s">
        <v>95</v>
      </c>
      <c r="C36">
        <f t="shared" si="0"/>
        <v>18</v>
      </c>
      <c r="D36">
        <v>1</v>
      </c>
      <c r="E36">
        <v>1</v>
      </c>
    </row>
    <row r="37" spans="1:5">
      <c r="A37" s="2" t="s">
        <v>96</v>
      </c>
      <c r="B37" s="1" t="s">
        <v>97</v>
      </c>
      <c r="C37">
        <f t="shared" si="0"/>
        <v>21</v>
      </c>
      <c r="D37">
        <v>1</v>
      </c>
      <c r="E37">
        <v>1</v>
      </c>
    </row>
    <row r="38" spans="1:5" ht="37.5">
      <c r="A38" s="2" t="s">
        <v>98</v>
      </c>
      <c r="B38" s="1" t="s">
        <v>99</v>
      </c>
      <c r="C38">
        <f t="shared" si="0"/>
        <v>42</v>
      </c>
      <c r="D38">
        <v>1</v>
      </c>
      <c r="E38">
        <v>1</v>
      </c>
    </row>
    <row r="39" spans="1:5">
      <c r="A39" s="2" t="s">
        <v>100</v>
      </c>
      <c r="B39" s="1">
        <v>6</v>
      </c>
      <c r="C39">
        <f t="shared" si="0"/>
        <v>1</v>
      </c>
      <c r="D39">
        <v>1</v>
      </c>
      <c r="E39">
        <v>1</v>
      </c>
    </row>
    <row r="40" spans="1:5">
      <c r="A40" s="2" t="s">
        <v>101</v>
      </c>
      <c r="B40" s="1" t="s">
        <v>102</v>
      </c>
      <c r="C40">
        <f t="shared" si="0"/>
        <v>8</v>
      </c>
      <c r="D40">
        <v>1</v>
      </c>
      <c r="E40">
        <v>1</v>
      </c>
    </row>
    <row r="41" spans="1:5" ht="37.5">
      <c r="B41" s="1" t="s">
        <v>103</v>
      </c>
      <c r="C41">
        <f t="shared" si="0"/>
        <v>40</v>
      </c>
      <c r="D41">
        <v>1</v>
      </c>
      <c r="E41">
        <v>1</v>
      </c>
    </row>
    <row r="42" spans="1:5">
      <c r="A42" s="2" t="s">
        <v>104</v>
      </c>
      <c r="B42" s="1" t="s">
        <v>105</v>
      </c>
      <c r="C42">
        <f t="shared" si="0"/>
        <v>8</v>
      </c>
      <c r="D42">
        <v>1</v>
      </c>
      <c r="E42">
        <v>1</v>
      </c>
    </row>
    <row r="43" spans="1:5" ht="37.5">
      <c r="A43" s="2" t="s">
        <v>106</v>
      </c>
      <c r="B43" s="1" t="s">
        <v>107</v>
      </c>
      <c r="C43">
        <f t="shared" si="0"/>
        <v>45</v>
      </c>
      <c r="D43">
        <v>1</v>
      </c>
      <c r="E43">
        <v>1</v>
      </c>
    </row>
    <row r="44" spans="1:5">
      <c r="A44" s="2" t="s">
        <v>108</v>
      </c>
      <c r="B44" s="1" t="s">
        <v>109</v>
      </c>
      <c r="C44">
        <f t="shared" si="0"/>
        <v>4</v>
      </c>
      <c r="D44">
        <v>1</v>
      </c>
      <c r="E44">
        <v>1</v>
      </c>
    </row>
    <row r="45" spans="1:5">
      <c r="A45" s="2" t="s">
        <v>110</v>
      </c>
      <c r="B45" s="1" t="s">
        <v>111</v>
      </c>
      <c r="C45">
        <f t="shared" si="0"/>
        <v>6</v>
      </c>
      <c r="D45">
        <v>1</v>
      </c>
      <c r="E45">
        <v>1</v>
      </c>
    </row>
    <row r="46" spans="1:5">
      <c r="B46" s="1" t="s">
        <v>112</v>
      </c>
      <c r="C46">
        <f t="shared" si="0"/>
        <v>8</v>
      </c>
      <c r="D46">
        <v>1</v>
      </c>
      <c r="E46">
        <v>1</v>
      </c>
    </row>
    <row r="47" spans="1:5">
      <c r="B47" s="1" t="s">
        <v>113</v>
      </c>
      <c r="C47">
        <f t="shared" si="0"/>
        <v>4</v>
      </c>
      <c r="D47">
        <v>1</v>
      </c>
      <c r="E47">
        <v>1</v>
      </c>
    </row>
    <row r="48" spans="1:5">
      <c r="A48" s="2" t="s">
        <v>114</v>
      </c>
      <c r="B48" s="1" t="s">
        <v>115</v>
      </c>
      <c r="C48">
        <f t="shared" si="0"/>
        <v>14</v>
      </c>
      <c r="D48">
        <v>1</v>
      </c>
      <c r="E48">
        <v>1</v>
      </c>
    </row>
    <row r="49" spans="1:5" ht="37.5">
      <c r="A49" s="2" t="s">
        <v>116</v>
      </c>
      <c r="B49" s="1" t="s">
        <v>117</v>
      </c>
      <c r="C49">
        <f t="shared" si="0"/>
        <v>34</v>
      </c>
      <c r="D49">
        <v>1</v>
      </c>
      <c r="E49">
        <v>1</v>
      </c>
    </row>
    <row r="50" spans="1:5">
      <c r="A50" s="2" t="s">
        <v>118</v>
      </c>
      <c r="B50" s="1" t="s">
        <v>119</v>
      </c>
      <c r="C50">
        <f t="shared" si="0"/>
        <v>6</v>
      </c>
      <c r="D50">
        <v>1</v>
      </c>
      <c r="E50">
        <v>1</v>
      </c>
    </row>
    <row r="51" spans="1:5" ht="37.5">
      <c r="A51" s="2" t="s">
        <v>120</v>
      </c>
      <c r="B51" s="1" t="s">
        <v>121</v>
      </c>
      <c r="C51">
        <f t="shared" si="0"/>
        <v>36</v>
      </c>
      <c r="D51">
        <v>0</v>
      </c>
      <c r="E51">
        <v>1</v>
      </c>
    </row>
    <row r="52" spans="1:5" ht="37.5">
      <c r="B52" s="1" t="s">
        <v>122</v>
      </c>
      <c r="C52">
        <f t="shared" si="0"/>
        <v>34</v>
      </c>
      <c r="D52">
        <v>1</v>
      </c>
      <c r="E52">
        <v>1</v>
      </c>
    </row>
    <row r="53" spans="1:5">
      <c r="A53" s="2" t="s">
        <v>123</v>
      </c>
      <c r="B53" s="1" t="s">
        <v>124</v>
      </c>
      <c r="C53">
        <f t="shared" si="0"/>
        <v>6</v>
      </c>
      <c r="D53">
        <v>1</v>
      </c>
      <c r="E53">
        <v>1</v>
      </c>
    </row>
    <row r="54" spans="1:5">
      <c r="B54" s="1" t="s">
        <v>125</v>
      </c>
      <c r="C54">
        <f t="shared" si="0"/>
        <v>23</v>
      </c>
      <c r="D54">
        <v>1</v>
      </c>
      <c r="E54">
        <v>1</v>
      </c>
    </row>
    <row r="55" spans="1:5">
      <c r="A55" s="2" t="s">
        <v>126</v>
      </c>
      <c r="B55" s="1" t="s">
        <v>127</v>
      </c>
      <c r="C55">
        <f t="shared" si="0"/>
        <v>14</v>
      </c>
      <c r="D55">
        <v>1</v>
      </c>
      <c r="E55">
        <v>1</v>
      </c>
    </row>
    <row r="56" spans="1:5">
      <c r="A56" s="2" t="s">
        <v>128</v>
      </c>
      <c r="B56" s="1" t="s">
        <v>129</v>
      </c>
      <c r="C56">
        <f t="shared" si="0"/>
        <v>26</v>
      </c>
      <c r="D56">
        <v>1</v>
      </c>
      <c r="E56">
        <v>1</v>
      </c>
    </row>
    <row r="57" spans="1:5">
      <c r="A57" s="2" t="s">
        <v>130</v>
      </c>
      <c r="B57" s="1" t="s">
        <v>131</v>
      </c>
      <c r="C57">
        <f t="shared" si="0"/>
        <v>2</v>
      </c>
      <c r="D57">
        <v>1</v>
      </c>
      <c r="E57">
        <v>1</v>
      </c>
    </row>
    <row r="58" spans="1:5">
      <c r="A58" s="2" t="s">
        <v>132</v>
      </c>
      <c r="B58" s="1" t="s">
        <v>133</v>
      </c>
      <c r="C58">
        <f t="shared" si="0"/>
        <v>7</v>
      </c>
      <c r="D58">
        <v>0</v>
      </c>
      <c r="E58">
        <v>1</v>
      </c>
    </row>
    <row r="59" spans="1:5">
      <c r="A59" s="2" t="s">
        <v>134</v>
      </c>
      <c r="B59" s="1" t="s">
        <v>135</v>
      </c>
      <c r="C59">
        <f t="shared" si="0"/>
        <v>24</v>
      </c>
      <c r="D59">
        <v>1</v>
      </c>
      <c r="E59">
        <v>1</v>
      </c>
    </row>
    <row r="60" spans="1:5" ht="37.5">
      <c r="A60" s="2" t="s">
        <v>136</v>
      </c>
      <c r="B60" s="1" t="s">
        <v>137</v>
      </c>
      <c r="C60">
        <f t="shared" si="0"/>
        <v>28</v>
      </c>
      <c r="D60">
        <v>0</v>
      </c>
      <c r="E60">
        <v>1</v>
      </c>
    </row>
    <row r="61" spans="1:5">
      <c r="A61" s="2" t="s">
        <v>138</v>
      </c>
      <c r="B61" s="1" t="s">
        <v>139</v>
      </c>
      <c r="C61">
        <f t="shared" si="0"/>
        <v>22</v>
      </c>
      <c r="D61">
        <v>1</v>
      </c>
      <c r="E61">
        <v>1</v>
      </c>
    </row>
    <row r="62" spans="1:5" ht="37.5">
      <c r="A62" s="2" t="s">
        <v>140</v>
      </c>
      <c r="B62" s="1" t="s">
        <v>141</v>
      </c>
      <c r="C62">
        <f t="shared" si="0"/>
        <v>45</v>
      </c>
      <c r="D62">
        <v>1</v>
      </c>
      <c r="E62">
        <v>1</v>
      </c>
    </row>
    <row r="63" spans="1:5">
      <c r="A63" s="2" t="s">
        <v>142</v>
      </c>
      <c r="B63" s="1" t="s">
        <v>143</v>
      </c>
      <c r="C63">
        <f t="shared" si="0"/>
        <v>12</v>
      </c>
      <c r="D63">
        <v>1</v>
      </c>
      <c r="E63">
        <v>1</v>
      </c>
    </row>
    <row r="64" spans="1:5">
      <c r="A64" s="2" t="s">
        <v>144</v>
      </c>
      <c r="B64" s="1" t="s">
        <v>145</v>
      </c>
      <c r="C64">
        <f t="shared" si="0"/>
        <v>10</v>
      </c>
      <c r="D64">
        <v>1</v>
      </c>
      <c r="E64">
        <v>1</v>
      </c>
    </row>
    <row r="65" spans="1:5">
      <c r="B65" s="1" t="s">
        <v>146</v>
      </c>
      <c r="C65">
        <f t="shared" si="0"/>
        <v>5</v>
      </c>
      <c r="D65">
        <v>1</v>
      </c>
      <c r="E65">
        <v>1</v>
      </c>
    </row>
    <row r="66" spans="1:5">
      <c r="B66" s="1" t="s">
        <v>147</v>
      </c>
      <c r="C66">
        <f t="shared" si="0"/>
        <v>5</v>
      </c>
      <c r="D66">
        <v>1</v>
      </c>
      <c r="E66">
        <v>1</v>
      </c>
    </row>
    <row r="67" spans="1:5" ht="37.5">
      <c r="A67" s="2" t="s">
        <v>148</v>
      </c>
      <c r="B67" s="1" t="s">
        <v>149</v>
      </c>
      <c r="C67">
        <f t="shared" si="0"/>
        <v>40</v>
      </c>
      <c r="D67">
        <v>1</v>
      </c>
      <c r="E67">
        <v>1</v>
      </c>
    </row>
    <row r="68" spans="1:5" ht="37.5">
      <c r="A68" s="2" t="s">
        <v>150</v>
      </c>
      <c r="B68" s="1" t="s">
        <v>151</v>
      </c>
      <c r="C68">
        <f t="shared" si="0"/>
        <v>34</v>
      </c>
      <c r="D68">
        <v>0</v>
      </c>
      <c r="E68">
        <v>1</v>
      </c>
    </row>
    <row r="69" spans="1:5">
      <c r="A69" s="2" t="s">
        <v>152</v>
      </c>
      <c r="B69" s="1" t="s">
        <v>153</v>
      </c>
      <c r="C69">
        <f t="shared" ref="C69:C132" si="1">IF(B69&lt;&gt;"",LEN(B69),"")</f>
        <v>7</v>
      </c>
      <c r="D69">
        <v>1</v>
      </c>
      <c r="E69">
        <v>1</v>
      </c>
    </row>
    <row r="70" spans="1:5">
      <c r="A70" s="2" t="s">
        <v>154</v>
      </c>
      <c r="B70" s="1" t="s">
        <v>155</v>
      </c>
      <c r="C70">
        <f t="shared" si="1"/>
        <v>7</v>
      </c>
      <c r="D70">
        <v>1</v>
      </c>
      <c r="E70">
        <v>1</v>
      </c>
    </row>
    <row r="71" spans="1:5">
      <c r="A71" s="2" t="s">
        <v>156</v>
      </c>
      <c r="B71" s="1" t="s">
        <v>157</v>
      </c>
      <c r="C71">
        <f t="shared" si="1"/>
        <v>8</v>
      </c>
      <c r="D71">
        <v>1</v>
      </c>
      <c r="E71">
        <v>1</v>
      </c>
    </row>
    <row r="72" spans="1:5">
      <c r="A72" s="2" t="s">
        <v>158</v>
      </c>
      <c r="B72" s="1" t="s">
        <v>159</v>
      </c>
      <c r="C72">
        <f t="shared" si="1"/>
        <v>4</v>
      </c>
      <c r="D72">
        <v>1</v>
      </c>
      <c r="E72">
        <v>1</v>
      </c>
    </row>
    <row r="73" spans="1:5">
      <c r="A73" s="2" t="s">
        <v>160</v>
      </c>
      <c r="B73" s="1" t="s">
        <v>161</v>
      </c>
      <c r="C73">
        <f t="shared" si="1"/>
        <v>5</v>
      </c>
      <c r="D73">
        <v>1</v>
      </c>
      <c r="E73">
        <v>1</v>
      </c>
    </row>
    <row r="74" spans="1:5">
      <c r="A74" s="2" t="s">
        <v>162</v>
      </c>
      <c r="B74" s="1" t="s">
        <v>163</v>
      </c>
      <c r="C74">
        <f t="shared" si="1"/>
        <v>26</v>
      </c>
      <c r="D74">
        <v>1</v>
      </c>
      <c r="E74">
        <v>1</v>
      </c>
    </row>
    <row r="75" spans="1:5">
      <c r="A75" s="2" t="s">
        <v>164</v>
      </c>
      <c r="B75" s="1" t="s">
        <v>165</v>
      </c>
      <c r="C75">
        <f t="shared" si="1"/>
        <v>16</v>
      </c>
      <c r="D75">
        <v>1</v>
      </c>
      <c r="E75">
        <v>1</v>
      </c>
    </row>
    <row r="76" spans="1:5">
      <c r="A76" s="2" t="s">
        <v>166</v>
      </c>
      <c r="B76" s="1" t="s">
        <v>167</v>
      </c>
      <c r="C76">
        <f t="shared" si="1"/>
        <v>6</v>
      </c>
      <c r="D76">
        <v>1</v>
      </c>
      <c r="E76">
        <v>1</v>
      </c>
    </row>
    <row r="77" spans="1:5">
      <c r="A77" s="2" t="s">
        <v>168</v>
      </c>
      <c r="B77" s="1" t="s">
        <v>169</v>
      </c>
      <c r="C77">
        <f t="shared" si="1"/>
        <v>8</v>
      </c>
      <c r="D77">
        <v>1</v>
      </c>
      <c r="E77">
        <v>1</v>
      </c>
    </row>
    <row r="78" spans="1:5">
      <c r="A78" s="2" t="s">
        <v>170</v>
      </c>
      <c r="B78" s="1" t="s">
        <v>171</v>
      </c>
      <c r="C78">
        <f t="shared" si="1"/>
        <v>9</v>
      </c>
      <c r="D78">
        <v>1</v>
      </c>
      <c r="E78">
        <v>1</v>
      </c>
    </row>
    <row r="79" spans="1:5">
      <c r="B79" s="1" t="s">
        <v>172</v>
      </c>
      <c r="C79">
        <f t="shared" si="1"/>
        <v>5</v>
      </c>
      <c r="D79">
        <v>1</v>
      </c>
      <c r="E79">
        <v>1</v>
      </c>
    </row>
    <row r="80" spans="1:5">
      <c r="A80" s="2" t="s">
        <v>173</v>
      </c>
      <c r="B80" s="1" t="s">
        <v>174</v>
      </c>
      <c r="C80">
        <f t="shared" si="1"/>
        <v>9</v>
      </c>
      <c r="D80">
        <v>1</v>
      </c>
      <c r="E80">
        <v>1</v>
      </c>
    </row>
    <row r="81" spans="1:5">
      <c r="B81" s="1" t="s">
        <v>175</v>
      </c>
      <c r="C81">
        <f t="shared" si="1"/>
        <v>4</v>
      </c>
      <c r="D81">
        <v>1</v>
      </c>
      <c r="E81">
        <v>1</v>
      </c>
    </row>
    <row r="82" spans="1:5">
      <c r="A82" s="2" t="s">
        <v>176</v>
      </c>
      <c r="B82" s="1" t="s">
        <v>177</v>
      </c>
      <c r="C82">
        <f t="shared" si="1"/>
        <v>24</v>
      </c>
      <c r="D82">
        <v>1</v>
      </c>
      <c r="E82">
        <v>1</v>
      </c>
    </row>
    <row r="83" spans="1:5">
      <c r="A83" s="2" t="s">
        <v>178</v>
      </c>
      <c r="B83" s="1" t="s">
        <v>179</v>
      </c>
      <c r="C83">
        <f t="shared" si="1"/>
        <v>11</v>
      </c>
      <c r="D83">
        <v>1</v>
      </c>
      <c r="E83">
        <v>1</v>
      </c>
    </row>
    <row r="84" spans="1:5">
      <c r="A84" s="2" t="s">
        <v>181</v>
      </c>
      <c r="B84" s="1" t="s">
        <v>182</v>
      </c>
      <c r="C84">
        <f t="shared" si="1"/>
        <v>5</v>
      </c>
      <c r="D84">
        <v>1</v>
      </c>
      <c r="E84">
        <v>1</v>
      </c>
    </row>
    <row r="85" spans="1:5">
      <c r="A85" s="2" t="s">
        <v>180</v>
      </c>
      <c r="B85" s="1" t="s">
        <v>183</v>
      </c>
      <c r="C85">
        <f t="shared" si="1"/>
        <v>7</v>
      </c>
      <c r="D85">
        <v>1</v>
      </c>
      <c r="E85">
        <v>1</v>
      </c>
    </row>
    <row r="86" spans="1:5">
      <c r="A86" s="2" t="s">
        <v>184</v>
      </c>
      <c r="B86" s="1" t="s">
        <v>185</v>
      </c>
      <c r="C86">
        <f t="shared" si="1"/>
        <v>9</v>
      </c>
      <c r="D86">
        <v>0</v>
      </c>
      <c r="E86">
        <v>1</v>
      </c>
    </row>
    <row r="87" spans="1:5">
      <c r="B87" s="1" t="s">
        <v>186</v>
      </c>
      <c r="C87">
        <f t="shared" si="1"/>
        <v>7</v>
      </c>
      <c r="D87">
        <v>1</v>
      </c>
      <c r="E87">
        <v>1</v>
      </c>
    </row>
    <row r="88" spans="1:5">
      <c r="A88" s="2" t="s">
        <v>187</v>
      </c>
      <c r="B88" s="1" t="s">
        <v>188</v>
      </c>
      <c r="C88">
        <f t="shared" si="1"/>
        <v>21</v>
      </c>
      <c r="D88">
        <v>1</v>
      </c>
      <c r="E88">
        <v>1</v>
      </c>
    </row>
    <row r="89" spans="1:5">
      <c r="A89" s="2" t="s">
        <v>189</v>
      </c>
      <c r="B89" s="1" t="s">
        <v>190</v>
      </c>
      <c r="C89">
        <f t="shared" si="1"/>
        <v>14</v>
      </c>
      <c r="D89">
        <v>1</v>
      </c>
      <c r="E89">
        <v>1</v>
      </c>
    </row>
    <row r="90" spans="1:5">
      <c r="A90" s="2" t="s">
        <v>191</v>
      </c>
      <c r="B90" s="1" t="s">
        <v>192</v>
      </c>
      <c r="C90">
        <f t="shared" si="1"/>
        <v>5</v>
      </c>
      <c r="D90">
        <v>1</v>
      </c>
      <c r="E90">
        <v>1</v>
      </c>
    </row>
    <row r="91" spans="1:5">
      <c r="A91" s="2" t="s">
        <v>193</v>
      </c>
      <c r="B91" s="1" t="s">
        <v>194</v>
      </c>
      <c r="C91">
        <f t="shared" si="1"/>
        <v>12</v>
      </c>
      <c r="D91">
        <v>0</v>
      </c>
      <c r="E91">
        <v>1</v>
      </c>
    </row>
    <row r="92" spans="1:5">
      <c r="A92" s="2" t="s">
        <v>195</v>
      </c>
      <c r="B92" s="1" t="s">
        <v>196</v>
      </c>
      <c r="C92">
        <f t="shared" si="1"/>
        <v>16</v>
      </c>
      <c r="D92">
        <v>1</v>
      </c>
      <c r="E92">
        <v>1</v>
      </c>
    </row>
    <row r="93" spans="1:5">
      <c r="C93" t="str">
        <f t="shared" si="1"/>
        <v/>
      </c>
    </row>
    <row r="94" spans="1:5">
      <c r="C94" t="str">
        <f t="shared" si="1"/>
        <v/>
      </c>
    </row>
    <row r="95" spans="1:5">
      <c r="C95" t="str">
        <f t="shared" si="1"/>
        <v/>
      </c>
    </row>
    <row r="96" spans="1:5">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AC8E-F575-4C55-99A1-3944D46CB282}">
  <sheetPr codeName="Sheet6"/>
  <dimension ref="A1:I167"/>
  <sheetViews>
    <sheetView tabSelected="1" zoomScale="115" zoomScaleNormal="115" workbookViewId="0">
      <pane xSplit="1" ySplit="3" topLeftCell="B47" activePane="bottomRight" state="frozen"/>
      <selection pane="topRight" activeCell="B1" sqref="B1"/>
      <selection pane="bottomLeft" activeCell="A4" sqref="A4"/>
      <selection pane="bottomRight" activeCell="A62" sqref="A62"/>
    </sheetView>
  </sheetViews>
  <sheetFormatPr defaultRowHeight="18.75"/>
  <cols>
    <col min="1" max="1" width="8.75" style="2"/>
    <col min="2" max="2" width="50.5" style="1" customWidth="1"/>
    <col min="3" max="3" width="9.75" customWidth="1"/>
  </cols>
  <sheetData>
    <row r="1" spans="1:5">
      <c r="A1" s="2" t="s">
        <v>0</v>
      </c>
      <c r="B1" s="1" t="s">
        <v>35</v>
      </c>
    </row>
    <row r="2" spans="1:5">
      <c r="A2" s="2" t="s">
        <v>2</v>
      </c>
      <c r="B2" s="3" t="s">
        <v>197</v>
      </c>
      <c r="D2">
        <f>SUM(D4:D1000)</f>
        <v>40</v>
      </c>
      <c r="E2">
        <f>SUM(E4:E1000)</f>
        <v>48</v>
      </c>
    </row>
    <row r="3" spans="1:5">
      <c r="A3" s="2" t="s">
        <v>1</v>
      </c>
      <c r="B3" s="1" t="s">
        <v>3</v>
      </c>
      <c r="C3" t="s">
        <v>6</v>
      </c>
      <c r="D3" t="s">
        <v>4</v>
      </c>
      <c r="E3" t="s">
        <v>5</v>
      </c>
    </row>
    <row r="4" spans="1:5">
      <c r="A4" s="2" t="s">
        <v>198</v>
      </c>
      <c r="B4" s="1" t="s">
        <v>199</v>
      </c>
      <c r="C4">
        <f>IF(B4&lt;&gt;"",LEN(B4),"")</f>
        <v>20</v>
      </c>
      <c r="D4">
        <v>1</v>
      </c>
      <c r="E4">
        <v>1</v>
      </c>
    </row>
    <row r="5" spans="1:5" ht="37.5">
      <c r="A5" s="2" t="s">
        <v>200</v>
      </c>
      <c r="B5" s="1" t="s">
        <v>201</v>
      </c>
      <c r="C5">
        <f t="shared" ref="C5:C68" si="0">IF(B5&lt;&gt;"",LEN(B5),"")</f>
        <v>43</v>
      </c>
      <c r="D5">
        <v>1</v>
      </c>
      <c r="E5">
        <v>1</v>
      </c>
    </row>
    <row r="6" spans="1:5" ht="37.5">
      <c r="A6" s="2" t="s">
        <v>202</v>
      </c>
      <c r="B6" s="1" t="s">
        <v>203</v>
      </c>
      <c r="C6">
        <f t="shared" si="0"/>
        <v>46</v>
      </c>
      <c r="D6">
        <v>1</v>
      </c>
      <c r="E6">
        <v>1</v>
      </c>
    </row>
    <row r="7" spans="1:5" ht="37.5">
      <c r="A7" s="2" t="s">
        <v>204</v>
      </c>
      <c r="B7" s="1" t="s">
        <v>205</v>
      </c>
      <c r="C7">
        <f t="shared" si="0"/>
        <v>30</v>
      </c>
      <c r="D7">
        <v>1</v>
      </c>
      <c r="E7">
        <v>1</v>
      </c>
    </row>
    <row r="8" spans="1:5" ht="37.5">
      <c r="A8" s="2" t="s">
        <v>206</v>
      </c>
      <c r="B8" s="1" t="s">
        <v>207</v>
      </c>
      <c r="C8">
        <f t="shared" si="0"/>
        <v>34</v>
      </c>
      <c r="D8">
        <v>1</v>
      </c>
      <c r="E8">
        <v>1</v>
      </c>
    </row>
    <row r="9" spans="1:5" ht="56.25">
      <c r="A9" s="2" t="s">
        <v>208</v>
      </c>
      <c r="B9" s="1" t="s">
        <v>209</v>
      </c>
      <c r="C9">
        <f t="shared" si="0"/>
        <v>76</v>
      </c>
      <c r="D9">
        <v>1</v>
      </c>
      <c r="E9">
        <v>1</v>
      </c>
    </row>
    <row r="10" spans="1:5">
      <c r="A10" s="2" t="s">
        <v>210</v>
      </c>
      <c r="B10" s="1" t="s">
        <v>211</v>
      </c>
      <c r="C10">
        <f t="shared" si="0"/>
        <v>5</v>
      </c>
      <c r="D10">
        <v>0</v>
      </c>
      <c r="E10">
        <v>1</v>
      </c>
    </row>
    <row r="11" spans="1:5">
      <c r="B11" s="1" t="s">
        <v>212</v>
      </c>
      <c r="C11">
        <f t="shared" si="0"/>
        <v>5</v>
      </c>
      <c r="D11">
        <v>0</v>
      </c>
      <c r="E11">
        <v>1</v>
      </c>
    </row>
    <row r="12" spans="1:5" ht="37.5">
      <c r="A12" s="2" t="s">
        <v>213</v>
      </c>
      <c r="B12" s="1" t="s">
        <v>214</v>
      </c>
      <c r="C12">
        <f t="shared" si="0"/>
        <v>44</v>
      </c>
      <c r="D12">
        <v>0</v>
      </c>
      <c r="E12">
        <v>1</v>
      </c>
    </row>
    <row r="13" spans="1:5">
      <c r="A13" s="2" t="s">
        <v>215</v>
      </c>
      <c r="B13" s="1" t="s">
        <v>216</v>
      </c>
      <c r="C13">
        <f t="shared" si="0"/>
        <v>4</v>
      </c>
      <c r="D13">
        <v>1</v>
      </c>
      <c r="E13">
        <v>1</v>
      </c>
    </row>
    <row r="14" spans="1:5">
      <c r="B14" s="1" t="s">
        <v>217</v>
      </c>
      <c r="C14">
        <f t="shared" si="0"/>
        <v>4</v>
      </c>
      <c r="D14">
        <v>1</v>
      </c>
      <c r="E14">
        <v>1</v>
      </c>
    </row>
    <row r="15" spans="1:5">
      <c r="A15" s="2" t="s">
        <v>218</v>
      </c>
      <c r="B15" s="1" t="s">
        <v>219</v>
      </c>
      <c r="C15">
        <f t="shared" si="0"/>
        <v>29</v>
      </c>
      <c r="D15">
        <v>1</v>
      </c>
      <c r="E15">
        <v>1</v>
      </c>
    </row>
    <row r="16" spans="1:5">
      <c r="B16" s="1" t="s">
        <v>220</v>
      </c>
      <c r="C16">
        <f t="shared" si="0"/>
        <v>16</v>
      </c>
      <c r="D16">
        <v>1</v>
      </c>
      <c r="E16">
        <v>1</v>
      </c>
    </row>
    <row r="17" spans="1:5">
      <c r="B17" s="1" t="s">
        <v>221</v>
      </c>
      <c r="C17">
        <f t="shared" si="0"/>
        <v>18</v>
      </c>
      <c r="D17">
        <v>1</v>
      </c>
      <c r="E17">
        <v>1</v>
      </c>
    </row>
    <row r="18" spans="1:5">
      <c r="A18" s="2" t="s">
        <v>222</v>
      </c>
      <c r="B18" s="1" t="s">
        <v>223</v>
      </c>
      <c r="C18">
        <f t="shared" si="0"/>
        <v>13</v>
      </c>
      <c r="D18">
        <v>1</v>
      </c>
      <c r="E18">
        <v>1</v>
      </c>
    </row>
    <row r="19" spans="1:5" ht="37.5">
      <c r="A19" s="2" t="s">
        <v>224</v>
      </c>
      <c r="B19" s="1" t="s">
        <v>225</v>
      </c>
      <c r="C19">
        <f t="shared" si="0"/>
        <v>29</v>
      </c>
      <c r="D19">
        <v>1</v>
      </c>
      <c r="E19">
        <v>1</v>
      </c>
    </row>
    <row r="20" spans="1:5">
      <c r="A20" s="2" t="s">
        <v>226</v>
      </c>
      <c r="B20" s="1" t="s">
        <v>227</v>
      </c>
      <c r="C20">
        <f t="shared" si="0"/>
        <v>17</v>
      </c>
      <c r="D20">
        <v>1</v>
      </c>
      <c r="E20">
        <v>1</v>
      </c>
    </row>
    <row r="21" spans="1:5">
      <c r="A21" s="2" t="s">
        <v>228</v>
      </c>
      <c r="B21" s="1" t="s">
        <v>229</v>
      </c>
      <c r="C21">
        <f t="shared" si="0"/>
        <v>6</v>
      </c>
      <c r="D21">
        <v>1</v>
      </c>
      <c r="E21">
        <v>1</v>
      </c>
    </row>
    <row r="22" spans="1:5">
      <c r="A22" s="2" t="s">
        <v>230</v>
      </c>
      <c r="B22" s="1" t="s">
        <v>231</v>
      </c>
      <c r="C22">
        <f t="shared" si="0"/>
        <v>7</v>
      </c>
      <c r="D22">
        <v>1</v>
      </c>
      <c r="E22">
        <v>1</v>
      </c>
    </row>
    <row r="23" spans="1:5">
      <c r="B23" s="1" t="s">
        <v>232</v>
      </c>
      <c r="C23">
        <f t="shared" si="0"/>
        <v>10</v>
      </c>
      <c r="D23">
        <v>1</v>
      </c>
      <c r="E23">
        <v>1</v>
      </c>
    </row>
    <row r="24" spans="1:5" ht="37.5">
      <c r="A24" s="2" t="s">
        <v>233</v>
      </c>
      <c r="B24" s="1" t="s">
        <v>234</v>
      </c>
      <c r="C24">
        <f t="shared" si="0"/>
        <v>41</v>
      </c>
      <c r="D24">
        <v>1</v>
      </c>
      <c r="E24">
        <v>1</v>
      </c>
    </row>
    <row r="25" spans="1:5">
      <c r="A25" s="2" t="s">
        <v>235</v>
      </c>
      <c r="B25" s="1" t="s">
        <v>236</v>
      </c>
      <c r="C25">
        <f t="shared" si="0"/>
        <v>3</v>
      </c>
      <c r="D25">
        <v>1</v>
      </c>
      <c r="E25">
        <v>1</v>
      </c>
    </row>
    <row r="26" spans="1:5">
      <c r="B26" s="1" t="s">
        <v>237</v>
      </c>
      <c r="C26">
        <f t="shared" si="0"/>
        <v>24</v>
      </c>
      <c r="D26">
        <v>1</v>
      </c>
      <c r="E26">
        <v>1</v>
      </c>
    </row>
    <row r="27" spans="1:5" ht="37.5">
      <c r="A27" s="2" t="s">
        <v>238</v>
      </c>
      <c r="B27" s="1" t="s">
        <v>239</v>
      </c>
      <c r="C27">
        <f t="shared" si="0"/>
        <v>40</v>
      </c>
      <c r="D27">
        <v>1</v>
      </c>
      <c r="E27">
        <v>1</v>
      </c>
    </row>
    <row r="28" spans="1:5">
      <c r="A28" s="2" t="s">
        <v>240</v>
      </c>
      <c r="B28" s="1" t="s">
        <v>241</v>
      </c>
      <c r="C28">
        <f t="shared" si="0"/>
        <v>21</v>
      </c>
      <c r="D28">
        <v>1</v>
      </c>
      <c r="E28">
        <v>1</v>
      </c>
    </row>
    <row r="29" spans="1:5">
      <c r="A29" s="2" t="s">
        <v>39</v>
      </c>
      <c r="B29" s="1" t="s">
        <v>242</v>
      </c>
      <c r="C29">
        <f t="shared" si="0"/>
        <v>15</v>
      </c>
      <c r="D29">
        <v>1</v>
      </c>
      <c r="E29">
        <v>1</v>
      </c>
    </row>
    <row r="30" spans="1:5" ht="37.5">
      <c r="A30" s="2" t="s">
        <v>243</v>
      </c>
      <c r="B30" s="1" t="s">
        <v>244</v>
      </c>
      <c r="C30">
        <f t="shared" si="0"/>
        <v>31</v>
      </c>
      <c r="D30">
        <v>1</v>
      </c>
      <c r="E30">
        <v>1</v>
      </c>
    </row>
    <row r="31" spans="1:5">
      <c r="A31" s="2" t="s">
        <v>245</v>
      </c>
      <c r="B31" s="1" t="s">
        <v>246</v>
      </c>
      <c r="C31">
        <f t="shared" si="0"/>
        <v>18</v>
      </c>
      <c r="D31">
        <v>1</v>
      </c>
      <c r="E31">
        <v>1</v>
      </c>
    </row>
    <row r="32" spans="1:5">
      <c r="B32" s="1" t="s">
        <v>247</v>
      </c>
      <c r="C32">
        <f t="shared" si="0"/>
        <v>26</v>
      </c>
      <c r="D32">
        <v>1</v>
      </c>
      <c r="E32">
        <v>1</v>
      </c>
    </row>
    <row r="33" spans="1:9">
      <c r="A33" s="2" t="s">
        <v>248</v>
      </c>
      <c r="B33" s="1" t="s">
        <v>249</v>
      </c>
      <c r="C33">
        <f t="shared" si="0"/>
        <v>16</v>
      </c>
      <c r="D33">
        <v>1</v>
      </c>
      <c r="E33">
        <v>1</v>
      </c>
    </row>
    <row r="34" spans="1:9">
      <c r="A34" s="2" t="s">
        <v>250</v>
      </c>
      <c r="B34" s="1" t="s">
        <v>251</v>
      </c>
      <c r="C34">
        <f t="shared" si="0"/>
        <v>19</v>
      </c>
    </row>
    <row r="35" spans="1:9" ht="37.5">
      <c r="B35" s="1" t="s">
        <v>252</v>
      </c>
      <c r="C35">
        <f t="shared" si="0"/>
        <v>33</v>
      </c>
      <c r="D35">
        <v>0</v>
      </c>
      <c r="E35">
        <v>1</v>
      </c>
      <c r="I35" t="s">
        <v>272</v>
      </c>
    </row>
    <row r="36" spans="1:9">
      <c r="A36" s="2" t="s">
        <v>253</v>
      </c>
      <c r="B36" s="1" t="s">
        <v>254</v>
      </c>
      <c r="C36">
        <f t="shared" si="0"/>
        <v>20</v>
      </c>
      <c r="D36">
        <v>1</v>
      </c>
      <c r="E36">
        <v>1</v>
      </c>
      <c r="H36" t="s">
        <v>275</v>
      </c>
    </row>
    <row r="37" spans="1:9">
      <c r="A37" s="2" t="s">
        <v>255</v>
      </c>
      <c r="B37" s="1" t="s">
        <v>256</v>
      </c>
      <c r="C37">
        <f t="shared" si="0"/>
        <v>19</v>
      </c>
      <c r="D37">
        <v>1</v>
      </c>
      <c r="E37">
        <v>1</v>
      </c>
    </row>
    <row r="38" spans="1:9">
      <c r="A38" s="2" t="s">
        <v>257</v>
      </c>
      <c r="B38" s="4">
        <v>45852</v>
      </c>
      <c r="C38">
        <f t="shared" si="0"/>
        <v>5</v>
      </c>
      <c r="D38">
        <v>1</v>
      </c>
      <c r="E38">
        <v>1</v>
      </c>
    </row>
    <row r="39" spans="1:9">
      <c r="A39" s="2" t="s">
        <v>258</v>
      </c>
      <c r="B39" s="1" t="s">
        <v>259</v>
      </c>
      <c r="C39">
        <f t="shared" si="0"/>
        <v>22</v>
      </c>
      <c r="D39">
        <v>1</v>
      </c>
      <c r="E39">
        <v>1</v>
      </c>
    </row>
    <row r="40" spans="1:9" ht="37.5">
      <c r="A40" s="2" t="s">
        <v>260</v>
      </c>
      <c r="B40" s="1" t="s">
        <v>261</v>
      </c>
      <c r="C40">
        <f t="shared" si="0"/>
        <v>33</v>
      </c>
      <c r="D40">
        <v>1</v>
      </c>
      <c r="E40">
        <v>1</v>
      </c>
    </row>
    <row r="41" spans="1:9">
      <c r="A41" s="2" t="s">
        <v>262</v>
      </c>
      <c r="B41" s="1" t="s">
        <v>263</v>
      </c>
      <c r="C41">
        <f t="shared" si="0"/>
        <v>20</v>
      </c>
      <c r="D41">
        <v>0</v>
      </c>
      <c r="E41">
        <v>1</v>
      </c>
    </row>
    <row r="42" spans="1:9" ht="37.5">
      <c r="B42" s="1" t="s">
        <v>264</v>
      </c>
      <c r="C42">
        <f t="shared" si="0"/>
        <v>47</v>
      </c>
    </row>
    <row r="43" spans="1:9" ht="37.5">
      <c r="A43" s="2" t="s">
        <v>265</v>
      </c>
      <c r="B43" s="1" t="s">
        <v>266</v>
      </c>
      <c r="C43">
        <f t="shared" si="0"/>
        <v>37</v>
      </c>
      <c r="D43">
        <v>1</v>
      </c>
      <c r="E43">
        <v>1</v>
      </c>
    </row>
    <row r="44" spans="1:9">
      <c r="A44" s="2" t="s">
        <v>267</v>
      </c>
      <c r="B44" s="1" t="s">
        <v>268</v>
      </c>
      <c r="C44">
        <f t="shared" si="0"/>
        <v>18</v>
      </c>
      <c r="D44">
        <v>0</v>
      </c>
      <c r="E44">
        <v>1</v>
      </c>
    </row>
    <row r="45" spans="1:9" ht="37.5">
      <c r="A45" s="2" t="s">
        <v>269</v>
      </c>
      <c r="B45" s="1" t="s">
        <v>270</v>
      </c>
      <c r="C45">
        <f t="shared" si="0"/>
        <v>43</v>
      </c>
      <c r="D45">
        <v>1</v>
      </c>
      <c r="E45">
        <v>1</v>
      </c>
    </row>
    <row r="46" spans="1:9">
      <c r="A46" s="2" t="s">
        <v>271</v>
      </c>
      <c r="B46" s="1" t="s">
        <v>273</v>
      </c>
      <c r="C46">
        <f t="shared" si="0"/>
        <v>16</v>
      </c>
      <c r="D46">
        <v>1</v>
      </c>
      <c r="E46">
        <v>1</v>
      </c>
    </row>
    <row r="47" spans="1:9">
      <c r="A47" s="2" t="s">
        <v>274</v>
      </c>
      <c r="B47" s="1" t="s">
        <v>276</v>
      </c>
      <c r="C47">
        <f t="shared" si="0"/>
        <v>25</v>
      </c>
      <c r="D47">
        <v>0</v>
      </c>
      <c r="E47">
        <v>1</v>
      </c>
    </row>
    <row r="48" spans="1:9">
      <c r="B48" s="1" t="s">
        <v>277</v>
      </c>
      <c r="C48">
        <f t="shared" si="0"/>
        <v>25</v>
      </c>
      <c r="D48">
        <v>0</v>
      </c>
      <c r="E48">
        <v>1</v>
      </c>
    </row>
    <row r="49" spans="1:5">
      <c r="A49" s="2" t="s">
        <v>278</v>
      </c>
      <c r="B49" s="1" t="s">
        <v>279</v>
      </c>
      <c r="C49">
        <f t="shared" si="0"/>
        <v>13</v>
      </c>
      <c r="D49">
        <v>1</v>
      </c>
      <c r="E49">
        <v>1</v>
      </c>
    </row>
    <row r="50" spans="1:5">
      <c r="B50" s="1" t="s">
        <v>280</v>
      </c>
      <c r="C50">
        <f t="shared" si="0"/>
        <v>18</v>
      </c>
      <c r="D50">
        <v>1</v>
      </c>
      <c r="E50">
        <v>1</v>
      </c>
    </row>
    <row r="51" spans="1:5">
      <c r="A51" s="2" t="s">
        <v>281</v>
      </c>
      <c r="B51" s="1" t="s">
        <v>282</v>
      </c>
      <c r="C51">
        <f t="shared" si="0"/>
        <v>8</v>
      </c>
      <c r="D51">
        <v>1</v>
      </c>
      <c r="E51">
        <v>1</v>
      </c>
    </row>
    <row r="52" spans="1:5">
      <c r="B52" s="1" t="s">
        <v>283</v>
      </c>
      <c r="C52">
        <f t="shared" si="0"/>
        <v>7</v>
      </c>
      <c r="D52">
        <v>1</v>
      </c>
      <c r="E52">
        <v>1</v>
      </c>
    </row>
    <row r="53" spans="1:5">
      <c r="B53" s="1" t="s">
        <v>284</v>
      </c>
      <c r="C53">
        <f t="shared" si="0"/>
        <v>9</v>
      </c>
      <c r="D53">
        <v>1</v>
      </c>
      <c r="E53">
        <v>1</v>
      </c>
    </row>
    <row r="54" spans="1:5">
      <c r="A54" s="2" t="s">
        <v>285</v>
      </c>
      <c r="B54" s="1" t="s">
        <v>286</v>
      </c>
      <c r="C54">
        <f t="shared" si="0"/>
        <v>6</v>
      </c>
    </row>
    <row r="55" spans="1:5" ht="37.5">
      <c r="A55" s="2" t="s">
        <v>287</v>
      </c>
      <c r="B55" s="1" t="s">
        <v>288</v>
      </c>
      <c r="C55">
        <f t="shared" si="0"/>
        <v>39</v>
      </c>
    </row>
    <row r="56" spans="1:5">
      <c r="A56" s="2" t="s">
        <v>289</v>
      </c>
      <c r="B56" s="1" t="s">
        <v>290</v>
      </c>
      <c r="C56">
        <f t="shared" si="0"/>
        <v>24</v>
      </c>
    </row>
    <row r="57" spans="1:5">
      <c r="A57" s="2" t="s">
        <v>291</v>
      </c>
      <c r="B57" s="1" t="s">
        <v>292</v>
      </c>
      <c r="C57">
        <f t="shared" si="0"/>
        <v>15</v>
      </c>
    </row>
    <row r="58" spans="1:5">
      <c r="A58" s="2" t="s">
        <v>293</v>
      </c>
      <c r="B58" s="1" t="s">
        <v>294</v>
      </c>
      <c r="C58">
        <f t="shared" si="0"/>
        <v>25</v>
      </c>
    </row>
    <row r="59" spans="1:5">
      <c r="A59" s="2" t="s">
        <v>295</v>
      </c>
      <c r="B59" s="1" t="s">
        <v>296</v>
      </c>
      <c r="C59">
        <f t="shared" si="0"/>
        <v>10</v>
      </c>
    </row>
    <row r="60" spans="1:5">
      <c r="A60" s="2" t="s">
        <v>297</v>
      </c>
      <c r="B60" s="1" t="s">
        <v>298</v>
      </c>
      <c r="C60">
        <f t="shared" si="0"/>
        <v>23</v>
      </c>
    </row>
    <row r="61" spans="1:5">
      <c r="A61" s="2" t="s">
        <v>299</v>
      </c>
      <c r="B61" s="1" t="s">
        <v>300</v>
      </c>
      <c r="C61">
        <f t="shared" si="0"/>
        <v>19</v>
      </c>
    </row>
    <row r="62" spans="1:5">
      <c r="C62" t="str">
        <f t="shared" si="0"/>
        <v/>
      </c>
    </row>
    <row r="63" spans="1:5">
      <c r="C63" t="str">
        <f t="shared" si="0"/>
        <v/>
      </c>
    </row>
    <row r="64" spans="1:5">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レビュー</vt:lpstr>
      <vt:lpstr>format</vt:lpstr>
      <vt:lpstr>1</vt:lpstr>
      <vt:lpstr>午後sec1</vt:lpstr>
      <vt:lpstr>午後sec2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2025-03-10T21:32:19Z</dcterms:modified>
</cp:coreProperties>
</file>