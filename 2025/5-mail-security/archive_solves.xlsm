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DC05BD20-4804-7139-695A-D245BE01A29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oshinsh\Documents\python project\personal-trials\security_specialist\2025\5-mail-security\"/>
    </mc:Choice>
  </mc:AlternateContent>
  <xr:revisionPtr revIDLastSave="0" documentId="13_ncr:1_{443AC24C-4D03-4220-82E0-70673818B908}" xr6:coauthVersionLast="47" xr6:coauthVersionMax="47" xr10:uidLastSave="{00000000-0000-0000-0000-000000000000}"/>
  <bookViews>
    <workbookView xWindow="-108" yWindow="-108" windowWidth="23256" windowHeight="14856" xr2:uid="{00000000-000D-0000-FFFF-FFFF00000000}"/>
  </bookViews>
  <sheets>
    <sheet name="レビュー" sheetId="2" r:id="rId1"/>
    <sheet name="format" sheetId="4" r:id="rId2"/>
    <sheet name="1" sheetId="5" r:id="rId3"/>
    <sheet name="2" sheetId="6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67" i="6" l="1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E2" i="6"/>
  <c r="D2" i="6"/>
  <c r="C167" i="5"/>
  <c r="C166" i="5"/>
  <c r="C165" i="5"/>
  <c r="C164" i="5"/>
  <c r="C163" i="5"/>
  <c r="C162" i="5"/>
  <c r="C161" i="5"/>
  <c r="C160" i="5"/>
  <c r="C159" i="5"/>
  <c r="C158" i="5"/>
  <c r="C157" i="5"/>
  <c r="C156" i="5"/>
  <c r="C155" i="5"/>
  <c r="C154" i="5"/>
  <c r="C153" i="5"/>
  <c r="C152" i="5"/>
  <c r="C151" i="5"/>
  <c r="C150" i="5"/>
  <c r="C149" i="5"/>
  <c r="C148" i="5"/>
  <c r="C147" i="5"/>
  <c r="C146" i="5"/>
  <c r="C145" i="5"/>
  <c r="C144" i="5"/>
  <c r="C143" i="5"/>
  <c r="C142" i="5"/>
  <c r="C141" i="5"/>
  <c r="C140" i="5"/>
  <c r="C139" i="5"/>
  <c r="C138" i="5"/>
  <c r="C137" i="5"/>
  <c r="C136" i="5"/>
  <c r="C135" i="5"/>
  <c r="C134" i="5"/>
  <c r="C133" i="5"/>
  <c r="C132" i="5"/>
  <c r="C131" i="5"/>
  <c r="C130" i="5"/>
  <c r="C129" i="5"/>
  <c r="C128" i="5"/>
  <c r="C127" i="5"/>
  <c r="C126" i="5"/>
  <c r="C125" i="5"/>
  <c r="C124" i="5"/>
  <c r="C123" i="5"/>
  <c r="C122" i="5"/>
  <c r="C121" i="5"/>
  <c r="C120" i="5"/>
  <c r="C119" i="5"/>
  <c r="C118" i="5"/>
  <c r="C117" i="5"/>
  <c r="C116" i="5"/>
  <c r="C115" i="5"/>
  <c r="C114" i="5"/>
  <c r="C113" i="5"/>
  <c r="C112" i="5"/>
  <c r="C111" i="5"/>
  <c r="C110" i="5"/>
  <c r="C109" i="5"/>
  <c r="C108" i="5"/>
  <c r="C107" i="5"/>
  <c r="C106" i="5"/>
  <c r="C105" i="5"/>
  <c r="C104" i="5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E2" i="5"/>
  <c r="D2" i="5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E2" i="4"/>
  <c r="D2" i="4"/>
</calcChain>
</file>

<file path=xl/sharedStrings.xml><?xml version="1.0" encoding="utf-8"?>
<sst xmlns="http://schemas.openxmlformats.org/spreadsheetml/2006/main" count="88" uniqueCount="67">
  <si>
    <t>問題集</t>
    <rPh sb="0" eb="2">
      <t>モンダイ</t>
    </rPh>
    <rPh sb="2" eb="3">
      <t>アツ</t>
    </rPh>
    <phoneticPr fontId="1"/>
  </si>
  <si>
    <t>問題番号</t>
    <rPh sb="0" eb="2">
      <t>モンダイ</t>
    </rPh>
    <rPh sb="2" eb="4">
      <t>バンゴウ</t>
    </rPh>
    <phoneticPr fontId="1"/>
  </si>
  <si>
    <t>大問番号</t>
    <rPh sb="0" eb="2">
      <t>ダイモン</t>
    </rPh>
    <rPh sb="2" eb="4">
      <t>バンゴウ</t>
    </rPh>
    <phoneticPr fontId="1"/>
  </si>
  <si>
    <t>解答</t>
    <rPh sb="0" eb="2">
      <t>カイトウ</t>
    </rPh>
    <phoneticPr fontId="1"/>
  </si>
  <si>
    <t>採点</t>
    <rPh sb="0" eb="2">
      <t>サイテン</t>
    </rPh>
    <phoneticPr fontId="1"/>
  </si>
  <si>
    <t>配点</t>
    <rPh sb="0" eb="2">
      <t>ハイテン</t>
    </rPh>
    <phoneticPr fontId="1"/>
  </si>
  <si>
    <t>文字数</t>
    <rPh sb="0" eb="3">
      <t>モジスウ</t>
    </rPh>
    <phoneticPr fontId="1"/>
  </si>
  <si>
    <t>問題集</t>
    <rPh sb="0" eb="3">
      <t>モンダイシュウ</t>
    </rPh>
    <phoneticPr fontId="1"/>
  </si>
  <si>
    <t>大問</t>
    <rPh sb="0" eb="2">
      <t>ダイモン</t>
    </rPh>
    <phoneticPr fontId="1"/>
  </si>
  <si>
    <t>得点</t>
    <rPh sb="0" eb="2">
      <t>トクテン</t>
    </rPh>
    <phoneticPr fontId="1"/>
  </si>
  <si>
    <t>不正解の問題</t>
    <rPh sb="0" eb="3">
      <t>フセイカイ</t>
    </rPh>
    <rPh sb="4" eb="6">
      <t>モンダイ</t>
    </rPh>
    <phoneticPr fontId="1"/>
  </si>
  <si>
    <t>シート番号</t>
    <rPh sb="3" eb="5">
      <t>バンゴウ</t>
    </rPh>
    <phoneticPr fontId="1"/>
  </si>
  <si>
    <t>重点対策</t>
  </si>
  <si>
    <t>重点対策</t>
    <rPh sb="0" eb="2">
      <t>ジュウテン</t>
    </rPh>
    <rPh sb="2" eb="4">
      <t>タイサク</t>
    </rPh>
    <phoneticPr fontId="1"/>
  </si>
  <si>
    <t>5-1</t>
  </si>
  <si>
    <t>5-1</t>
    <phoneticPr fontId="1"/>
  </si>
  <si>
    <t>N社情報サービス事業</t>
    <rPh sb="1" eb="2">
      <t>シャ</t>
    </rPh>
    <rPh sb="2" eb="4">
      <t>ジョウホウ</t>
    </rPh>
    <rPh sb="8" eb="10">
      <t>ジギョウ</t>
    </rPh>
    <phoneticPr fontId="1"/>
  </si>
  <si>
    <t>脆弱性パッチが自動適用</t>
    <rPh sb="0" eb="3">
      <t>ゼイジャクセイ</t>
    </rPh>
    <rPh sb="7" eb="11">
      <t>ジドウテキヨウ</t>
    </rPh>
    <phoneticPr fontId="1"/>
  </si>
  <si>
    <t>スパムフィルタ</t>
    <phoneticPr fontId="1"/>
  </si>
  <si>
    <t>1</t>
    <phoneticPr fontId="1"/>
  </si>
  <si>
    <t>MAIL FROM</t>
    <phoneticPr fontId="1"/>
  </si>
  <si>
    <t>2-(1)</t>
    <phoneticPr fontId="1"/>
  </si>
  <si>
    <t>送信ドメイン認証</t>
    <rPh sb="0" eb="2">
      <t>ソウシン</t>
    </rPh>
    <rPh sb="6" eb="8">
      <t>ニンショウ</t>
    </rPh>
    <phoneticPr fontId="1"/>
  </si>
  <si>
    <t>SPF：送信者と、headerの送信者が同じか確認できる</t>
    <rPh sb="4" eb="7">
      <t>ソウシンシャ</t>
    </rPh>
    <rPh sb="16" eb="18">
      <t>ソウシン</t>
    </rPh>
    <rPh sb="18" eb="19">
      <t>シャ</t>
    </rPh>
    <rPh sb="20" eb="21">
      <t>オナ</t>
    </rPh>
    <rPh sb="23" eb="25">
      <t>カクニン</t>
    </rPh>
    <phoneticPr fontId="1"/>
  </si>
  <si>
    <t>b×</t>
    <phoneticPr fontId="1"/>
  </si>
  <si>
    <t>c×</t>
    <phoneticPr fontId="1"/>
  </si>
  <si>
    <t>d×</t>
    <phoneticPr fontId="1"/>
  </si>
  <si>
    <t>e×</t>
    <phoneticPr fontId="1"/>
  </si>
  <si>
    <t>g〇</t>
    <phoneticPr fontId="1"/>
  </si>
  <si>
    <t>f×</t>
    <phoneticPr fontId="1"/>
  </si>
  <si>
    <t>h×</t>
    <phoneticPr fontId="1"/>
  </si>
  <si>
    <t>i×</t>
    <phoneticPr fontId="1"/>
  </si>
  <si>
    <t>2-(2)</t>
    <phoneticPr fontId="1"/>
  </si>
  <si>
    <t>j:x1.y1.z1.1</t>
    <phoneticPr fontId="1"/>
  </si>
  <si>
    <t>2-(3)</t>
    <phoneticPr fontId="1"/>
  </si>
  <si>
    <t>送信者のIPアドレスと、送信側DNSサーバーに登録されているSPFレコードに記載されているIPアドレスが異なるため</t>
    <rPh sb="0" eb="3">
      <t>ソウシンシャ</t>
    </rPh>
    <rPh sb="12" eb="14">
      <t>ソウシン</t>
    </rPh>
    <rPh sb="14" eb="15">
      <t>ガワ</t>
    </rPh>
    <rPh sb="23" eb="25">
      <t>トウロク</t>
    </rPh>
    <rPh sb="38" eb="40">
      <t>キサイ</t>
    </rPh>
    <rPh sb="52" eb="53">
      <t>コト</t>
    </rPh>
    <phoneticPr fontId="1"/>
  </si>
  <si>
    <t>2-(4)</t>
    <phoneticPr fontId="1"/>
  </si>
  <si>
    <t>メールが改ざんされていないか</t>
    <rPh sb="4" eb="5">
      <t>カイ</t>
    </rPh>
    <phoneticPr fontId="1"/>
  </si>
  <si>
    <t>3</t>
    <phoneticPr fontId="1"/>
  </si>
  <si>
    <t>k:mail.x-sha.co.jp</t>
    <phoneticPr fontId="1"/>
  </si>
  <si>
    <t>l:x2.y2.z2.1</t>
    <phoneticPr fontId="1"/>
  </si>
  <si>
    <t>n:r</t>
    <phoneticPr fontId="1"/>
  </si>
  <si>
    <t>m:quarantine</t>
    <phoneticPr fontId="1"/>
  </si>
  <si>
    <t>4</t>
    <phoneticPr fontId="1"/>
  </si>
  <si>
    <t>N社の組織ドメインと同じ組織ドメイン名でSPF、DKIMによる送信ドメイン認証技術を実装する</t>
    <rPh sb="1" eb="2">
      <t>シャ</t>
    </rPh>
    <rPh sb="3" eb="5">
      <t>ソシキ</t>
    </rPh>
    <rPh sb="10" eb="11">
      <t>オナ</t>
    </rPh>
    <rPh sb="12" eb="14">
      <t>ソシキ</t>
    </rPh>
    <rPh sb="18" eb="19">
      <t>メイ</t>
    </rPh>
    <rPh sb="31" eb="33">
      <t>ソウシン</t>
    </rPh>
    <rPh sb="37" eb="41">
      <t>ニンショウギジュツ</t>
    </rPh>
    <rPh sb="42" eb="44">
      <t>ジッソウ</t>
    </rPh>
    <phoneticPr fontId="1"/>
  </si>
  <si>
    <t>送信側のDNSにせていされたIPアドレスとSMTP接続元のIPアドレスが一致しないため</t>
    <rPh sb="0" eb="3">
      <t>ソウシンガワ</t>
    </rPh>
    <rPh sb="25" eb="27">
      <t>セツゾク</t>
    </rPh>
    <rPh sb="27" eb="28">
      <t>モト</t>
    </rPh>
    <rPh sb="36" eb="38">
      <t>イッチ</t>
    </rPh>
    <phoneticPr fontId="1"/>
  </si>
  <si>
    <t>メール本文とメールヘッダの改ざんの有無</t>
    <rPh sb="3" eb="5">
      <t>ホンブン</t>
    </rPh>
    <rPh sb="13" eb="14">
      <t>カイ</t>
    </rPh>
    <rPh sb="17" eb="19">
      <t>ウム</t>
    </rPh>
    <phoneticPr fontId="1"/>
  </si>
  <si>
    <t>5-2</t>
  </si>
  <si>
    <t>5-2</t>
    <phoneticPr fontId="1"/>
  </si>
  <si>
    <t>R社</t>
    <rPh sb="1" eb="2">
      <t>シャ</t>
    </rPh>
    <phoneticPr fontId="1"/>
  </si>
  <si>
    <t>R社ドメイン</t>
    <rPh sb="1" eb="2">
      <t>シャ</t>
    </rPh>
    <phoneticPr fontId="1"/>
  </si>
  <si>
    <t>Fサービス</t>
    <phoneticPr fontId="1"/>
  </si>
  <si>
    <t>GサービスにおるMLサービス</t>
    <phoneticPr fontId="1"/>
  </si>
  <si>
    <t>1-(1)</t>
    <phoneticPr fontId="1"/>
  </si>
  <si>
    <t>a:LDAP</t>
    <phoneticPr fontId="1"/>
  </si>
  <si>
    <t>1-(2)</t>
    <phoneticPr fontId="1"/>
  </si>
  <si>
    <t>R社内にCA</t>
    <rPh sb="1" eb="3">
      <t>シャナイ</t>
    </rPh>
    <phoneticPr fontId="1"/>
  </si>
  <si>
    <t>b:OCSP</t>
    <phoneticPr fontId="1"/>
  </si>
  <si>
    <t>メールボックスに保管する際に復号されるため。</t>
    <rPh sb="8" eb="10">
      <t>ホカン</t>
    </rPh>
    <rPh sb="12" eb="13">
      <t>サイ</t>
    </rPh>
    <rPh sb="14" eb="16">
      <t>フクゴウ</t>
    </rPh>
    <phoneticPr fontId="1"/>
  </si>
  <si>
    <t>c:メールサーバー</t>
    <phoneticPr fontId="1"/>
  </si>
  <si>
    <t>復号化のための秘密鍵を削除してしまう</t>
    <rPh sb="0" eb="3">
      <t>フクゴウカ</t>
    </rPh>
    <rPh sb="7" eb="10">
      <t>ヒミツカギ</t>
    </rPh>
    <rPh sb="11" eb="13">
      <t>サクジョ</t>
    </rPh>
    <phoneticPr fontId="1"/>
  </si>
  <si>
    <t>SMTPover TLSの通信は内部MSVで終端→復号化される</t>
    <rPh sb="13" eb="15">
      <t>ツウシン</t>
    </rPh>
    <rPh sb="16" eb="18">
      <t>ナイブ</t>
    </rPh>
    <rPh sb="22" eb="24">
      <t>シュウタン</t>
    </rPh>
    <rPh sb="25" eb="28">
      <t>フクゴウカ</t>
    </rPh>
    <phoneticPr fontId="1"/>
  </si>
  <si>
    <t>MSV上では暗号化されていない状態になる</t>
    <rPh sb="3" eb="4">
      <t>ウエ</t>
    </rPh>
    <rPh sb="6" eb="9">
      <t>アンゴウカ</t>
    </rPh>
    <rPh sb="15" eb="17">
      <t>ジョウタイ</t>
    </rPh>
    <phoneticPr fontId="1"/>
  </si>
  <si>
    <t>d:デジタル署名</t>
    <rPh sb="6" eb="8">
      <t>ショメイ</t>
    </rPh>
    <phoneticPr fontId="1"/>
  </si>
  <si>
    <t>e:検証</t>
    <rPh sb="2" eb="4">
      <t>ケンショウ</t>
    </rPh>
    <phoneticPr fontId="1"/>
  </si>
  <si>
    <t>g:ML</t>
    <phoneticPr fontId="1"/>
  </si>
  <si>
    <t>f:MLの登録メンバー</t>
    <rPh sb="5" eb="7">
      <t>トウロク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</si>
</sst>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/>
    <xf numFmtId="49" fontId="0" fillId="0" borderId="0" xfId="0" applyNumberFormat="1" applyAlignment="1">
      <alignment wrapText="1"/>
    </xf>
    <xf numFmtId="0" fontId="0" fillId="2" borderId="0" xfId="0" applyFill="1" applyAlignment="1">
      <alignment wrapText="1"/>
    </xf>
    <xf numFmtId="0" fontId="0" fillId="2" borderId="0" xfId="0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144780</xdr:colOff>
          <xdr:row>1</xdr:row>
          <xdr:rowOff>38100</xdr:rowOff>
        </xdr:from>
        <xdr:to>
          <xdr:col>14</xdr:col>
          <xdr:colOff>594360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198120</xdr:colOff>
          <xdr:row>3</xdr:row>
          <xdr:rowOff>106680</xdr:rowOff>
        </xdr:from>
        <xdr:to>
          <xdr:col>14</xdr:col>
          <xdr:colOff>571500</xdr:colOff>
          <xdr:row>4</xdr:row>
          <xdr:rowOff>175260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8EC62-6D75-4E9D-B77E-7094BE41A7A1}">
  <sheetPr codeName="Sheet2"/>
  <dimension ref="A1:F3"/>
  <sheetViews>
    <sheetView tabSelected="1" workbookViewId="0">
      <selection activeCell="I13" sqref="I13"/>
    </sheetView>
  </sheetViews>
  <sheetFormatPr defaultRowHeight="18"/>
  <cols>
    <col min="2" max="3" width="9" style="2"/>
  </cols>
  <sheetData>
    <row r="1" spans="1:6">
      <c r="A1" t="s">
        <v>11</v>
      </c>
      <c r="B1" s="2" t="s">
        <v>7</v>
      </c>
      <c r="C1" s="2" t="s">
        <v>8</v>
      </c>
      <c r="D1" t="s">
        <v>9</v>
      </c>
      <c r="E1" t="s">
        <v>5</v>
      </c>
      <c r="F1" t="s">
        <v>10</v>
      </c>
    </row>
    <row r="2" spans="1:6">
      <c r="A2">
        <v>1</v>
      </c>
      <c r="B2" s="2" t="s">
        <v>12</v>
      </c>
      <c r="C2" s="2" t="s">
        <v>14</v>
      </c>
      <c r="D2">
        <v>44</v>
      </c>
      <c r="E2">
        <v>50</v>
      </c>
    </row>
    <row r="3" spans="1:6">
      <c r="A3">
        <v>2</v>
      </c>
      <c r="B3" s="2" t="s">
        <v>12</v>
      </c>
      <c r="C3" s="2" t="s">
        <v>47</v>
      </c>
      <c r="D3">
        <v>50</v>
      </c>
      <c r="E3">
        <v>50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ddSheetWithSerialNumber">
                <anchor moveWithCells="1" sizeWithCells="1">
                  <from>
                    <xdr:col>13</xdr:col>
                    <xdr:colOff>144780</xdr:colOff>
                    <xdr:row>1</xdr:row>
                    <xdr:rowOff>38100</xdr:rowOff>
                  </from>
                  <to>
                    <xdr:col>14</xdr:col>
                    <xdr:colOff>594360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InformationArchive">
                <anchor moveWithCells="1" sizeWithCells="1">
                  <from>
                    <xdr:col>13</xdr:col>
                    <xdr:colOff>198120</xdr:colOff>
                    <xdr:row>3</xdr:row>
                    <xdr:rowOff>106680</xdr:rowOff>
                  </from>
                  <to>
                    <xdr:col>14</xdr:col>
                    <xdr:colOff>571500</xdr:colOff>
                    <xdr:row>4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9978A-10F6-4DA3-9F55-46A14E19160E}">
  <sheetPr codeName="Sheet3"/>
  <dimension ref="A1:E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2" sqref="B12"/>
    </sheetView>
  </sheetViews>
  <sheetFormatPr defaultRowHeight="18"/>
  <cols>
    <col min="1" max="1" width="8.69921875" style="2"/>
    <col min="2" max="2" width="96.8984375" style="1" customWidth="1"/>
    <col min="3" max="3" width="9.69921875" customWidth="1"/>
  </cols>
  <sheetData>
    <row r="1" spans="1:5">
      <c r="A1" s="2" t="s">
        <v>0</v>
      </c>
    </row>
    <row r="2" spans="1:5">
      <c r="A2" s="2" t="s">
        <v>2</v>
      </c>
      <c r="B2" s="3"/>
      <c r="D2">
        <f>SUM(D4:D1000)</f>
        <v>0</v>
      </c>
      <c r="E2">
        <f>SUM(E4:E1000)</f>
        <v>0</v>
      </c>
    </row>
    <row r="3" spans="1: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5">
      <c r="C4" t="str">
        <f>IF(B4&lt;&gt;"",LEN(B4),"")</f>
        <v/>
      </c>
    </row>
    <row r="5" spans="1:5">
      <c r="C5" t="str">
        <f t="shared" ref="C5:C68" si="0">IF(B5&lt;&gt;"",LEN(B5),"")</f>
        <v/>
      </c>
    </row>
    <row r="6" spans="1:5">
      <c r="C6" t="str">
        <f t="shared" si="0"/>
        <v/>
      </c>
    </row>
    <row r="7" spans="1:5">
      <c r="C7" t="str">
        <f t="shared" si="0"/>
        <v/>
      </c>
    </row>
    <row r="8" spans="1:5">
      <c r="C8" t="str">
        <f t="shared" si="0"/>
        <v/>
      </c>
    </row>
    <row r="9" spans="1:5">
      <c r="C9" t="str">
        <f t="shared" si="0"/>
        <v/>
      </c>
    </row>
    <row r="10" spans="1:5">
      <c r="C10" t="str">
        <f t="shared" si="0"/>
        <v/>
      </c>
    </row>
    <row r="11" spans="1:5">
      <c r="C11" t="str">
        <f t="shared" si="0"/>
        <v/>
      </c>
    </row>
    <row r="12" spans="1:5">
      <c r="C12" t="str">
        <f t="shared" si="0"/>
        <v/>
      </c>
    </row>
    <row r="13" spans="1:5">
      <c r="C13" t="str">
        <f t="shared" si="0"/>
        <v/>
      </c>
    </row>
    <row r="14" spans="1:5">
      <c r="C14" t="str">
        <f t="shared" si="0"/>
        <v/>
      </c>
    </row>
    <row r="15" spans="1:5">
      <c r="C15" t="str">
        <f t="shared" si="0"/>
        <v/>
      </c>
    </row>
    <row r="16" spans="1:5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0DCF6D-9C9A-4169-B398-9797E5419391}">
  <sheetPr codeName="Sheet4"/>
  <dimension ref="A1:G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" sqref="B1"/>
    </sheetView>
  </sheetViews>
  <sheetFormatPr defaultRowHeight="18"/>
  <cols>
    <col min="1" max="1" width="8.796875" style="2"/>
    <col min="2" max="2" width="96.8984375" style="1" customWidth="1"/>
    <col min="3" max="3" width="9.69921875" customWidth="1"/>
  </cols>
  <sheetData>
    <row r="1" spans="1:7">
      <c r="A1" s="2" t="s">
        <v>0</v>
      </c>
      <c r="B1" s="1" t="s">
        <v>13</v>
      </c>
    </row>
    <row r="2" spans="1:7">
      <c r="A2" s="2" t="s">
        <v>2</v>
      </c>
      <c r="B2" s="3" t="s">
        <v>15</v>
      </c>
      <c r="D2">
        <f>SUM(D4:D1000)</f>
        <v>44</v>
      </c>
      <c r="E2">
        <f>SUM(E4:E1000)</f>
        <v>50</v>
      </c>
    </row>
    <row r="3" spans="1:7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7">
      <c r="A4" s="2" t="s">
        <v>19</v>
      </c>
      <c r="B4" s="1" t="s">
        <v>20</v>
      </c>
      <c r="C4">
        <f>IF(B4&lt;&gt;"",LEN(B4),"")</f>
        <v>9</v>
      </c>
      <c r="D4">
        <v>4</v>
      </c>
      <c r="E4">
        <v>4</v>
      </c>
    </row>
    <row r="5" spans="1:7">
      <c r="A5" s="2" t="s">
        <v>21</v>
      </c>
      <c r="B5" s="1" t="s">
        <v>24</v>
      </c>
      <c r="C5">
        <f t="shared" ref="C5:C68" si="0">IF(B5&lt;&gt;"",LEN(B5),"")</f>
        <v>2</v>
      </c>
      <c r="D5">
        <v>2</v>
      </c>
      <c r="E5">
        <v>2</v>
      </c>
      <c r="G5" t="s">
        <v>16</v>
      </c>
    </row>
    <row r="6" spans="1:7">
      <c r="B6" s="1" t="s">
        <v>25</v>
      </c>
      <c r="C6">
        <f t="shared" si="0"/>
        <v>2</v>
      </c>
      <c r="D6">
        <v>2</v>
      </c>
      <c r="E6">
        <v>2</v>
      </c>
      <c r="G6" t="s">
        <v>17</v>
      </c>
    </row>
    <row r="7" spans="1:7">
      <c r="B7" s="1" t="s">
        <v>26</v>
      </c>
      <c r="C7">
        <f t="shared" si="0"/>
        <v>2</v>
      </c>
      <c r="D7">
        <v>2</v>
      </c>
      <c r="E7">
        <v>2</v>
      </c>
    </row>
    <row r="8" spans="1:7">
      <c r="B8" s="1" t="s">
        <v>27</v>
      </c>
      <c r="C8">
        <f t="shared" si="0"/>
        <v>2</v>
      </c>
      <c r="D8">
        <v>2</v>
      </c>
      <c r="E8">
        <v>2</v>
      </c>
      <c r="G8" t="s">
        <v>18</v>
      </c>
    </row>
    <row r="9" spans="1:7">
      <c r="B9" s="1" t="s">
        <v>29</v>
      </c>
      <c r="C9">
        <f t="shared" si="0"/>
        <v>2</v>
      </c>
      <c r="D9">
        <v>2</v>
      </c>
      <c r="E9">
        <v>2</v>
      </c>
      <c r="G9" t="s">
        <v>22</v>
      </c>
    </row>
    <row r="10" spans="1:7">
      <c r="B10" s="1" t="s">
        <v>28</v>
      </c>
      <c r="C10">
        <f t="shared" si="0"/>
        <v>2</v>
      </c>
      <c r="D10">
        <v>2</v>
      </c>
      <c r="E10">
        <v>2</v>
      </c>
    </row>
    <row r="11" spans="1:7">
      <c r="B11" s="1" t="s">
        <v>30</v>
      </c>
      <c r="C11">
        <f t="shared" si="0"/>
        <v>2</v>
      </c>
      <c r="D11">
        <v>2</v>
      </c>
      <c r="E11">
        <v>2</v>
      </c>
      <c r="G11" t="s">
        <v>23</v>
      </c>
    </row>
    <row r="12" spans="1:7">
      <c r="B12" s="1" t="s">
        <v>31</v>
      </c>
      <c r="C12">
        <f t="shared" si="0"/>
        <v>2</v>
      </c>
      <c r="D12">
        <v>2</v>
      </c>
      <c r="E12">
        <v>2</v>
      </c>
    </row>
    <row r="13" spans="1:7">
      <c r="A13" s="2" t="s">
        <v>32</v>
      </c>
      <c r="B13" s="1" t="s">
        <v>33</v>
      </c>
      <c r="C13">
        <f t="shared" si="0"/>
        <v>12</v>
      </c>
      <c r="D13">
        <v>2</v>
      </c>
      <c r="E13">
        <v>2</v>
      </c>
    </row>
    <row r="14" spans="1:7" ht="43.2" customHeight="1">
      <c r="A14" s="2" t="s">
        <v>34</v>
      </c>
      <c r="B14" s="4" t="s">
        <v>35</v>
      </c>
      <c r="C14" s="5">
        <f t="shared" si="0"/>
        <v>57</v>
      </c>
      <c r="D14" s="5">
        <v>3</v>
      </c>
      <c r="E14" s="5">
        <v>6</v>
      </c>
    </row>
    <row r="15" spans="1:7">
      <c r="A15" s="2" t="s">
        <v>36</v>
      </c>
      <c r="B15" s="4" t="s">
        <v>37</v>
      </c>
      <c r="C15" s="5">
        <f t="shared" si="0"/>
        <v>14</v>
      </c>
      <c r="D15" s="5">
        <v>3</v>
      </c>
      <c r="E15" s="5">
        <v>6</v>
      </c>
    </row>
    <row r="16" spans="1:7">
      <c r="A16" s="2" t="s">
        <v>38</v>
      </c>
      <c r="B16" s="1" t="s">
        <v>39</v>
      </c>
      <c r="C16">
        <f t="shared" si="0"/>
        <v>18</v>
      </c>
      <c r="D16">
        <v>2</v>
      </c>
      <c r="E16">
        <v>2</v>
      </c>
    </row>
    <row r="17" spans="1:5">
      <c r="B17" s="1" t="s">
        <v>40</v>
      </c>
      <c r="C17">
        <f t="shared" si="0"/>
        <v>12</v>
      </c>
      <c r="D17">
        <v>2</v>
      </c>
      <c r="E17">
        <v>2</v>
      </c>
    </row>
    <row r="18" spans="1:5">
      <c r="B18" s="1" t="s">
        <v>42</v>
      </c>
      <c r="C18">
        <f t="shared" si="0"/>
        <v>12</v>
      </c>
      <c r="D18">
        <v>2</v>
      </c>
      <c r="E18">
        <v>2</v>
      </c>
    </row>
    <row r="19" spans="1:5">
      <c r="B19" s="1" t="s">
        <v>41</v>
      </c>
      <c r="C19">
        <f t="shared" si="0"/>
        <v>3</v>
      </c>
      <c r="D19">
        <v>2</v>
      </c>
      <c r="E19">
        <v>2</v>
      </c>
    </row>
    <row r="20" spans="1:5">
      <c r="A20" s="2" t="s">
        <v>43</v>
      </c>
      <c r="B20" s="1" t="s">
        <v>44</v>
      </c>
      <c r="C20">
        <f t="shared" si="0"/>
        <v>46</v>
      </c>
      <c r="D20">
        <v>8</v>
      </c>
      <c r="E20">
        <v>8</v>
      </c>
    </row>
    <row r="21" spans="1:5">
      <c r="C21" t="str">
        <f t="shared" si="0"/>
        <v/>
      </c>
    </row>
    <row r="22" spans="1:5">
      <c r="B22" s="1" t="s">
        <v>45</v>
      </c>
      <c r="C22">
        <f t="shared" si="0"/>
        <v>43</v>
      </c>
    </row>
    <row r="23" spans="1:5">
      <c r="B23" s="1" t="s">
        <v>46</v>
      </c>
      <c r="C23">
        <f t="shared" si="0"/>
        <v>19</v>
      </c>
    </row>
    <row r="24" spans="1:5">
      <c r="C24" t="str">
        <f t="shared" si="0"/>
        <v/>
      </c>
    </row>
    <row r="25" spans="1:5">
      <c r="C25" t="str">
        <f t="shared" si="0"/>
        <v/>
      </c>
    </row>
    <row r="26" spans="1:5">
      <c r="C26" t="str">
        <f t="shared" si="0"/>
        <v/>
      </c>
    </row>
    <row r="27" spans="1:5">
      <c r="C27" t="str">
        <f t="shared" si="0"/>
        <v/>
      </c>
    </row>
    <row r="28" spans="1:5">
      <c r="C28" t="str">
        <f t="shared" si="0"/>
        <v/>
      </c>
    </row>
    <row r="29" spans="1:5">
      <c r="C29" t="str">
        <f t="shared" si="0"/>
        <v/>
      </c>
    </row>
    <row r="30" spans="1:5">
      <c r="C30" t="str">
        <f t="shared" si="0"/>
        <v/>
      </c>
    </row>
    <row r="31" spans="1:5">
      <c r="C31" t="str">
        <f t="shared" si="0"/>
        <v/>
      </c>
    </row>
    <row r="32" spans="1:5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99A987-CA06-435E-B6E9-911BF9C733D4}">
  <sheetPr codeName="Sheet5"/>
  <dimension ref="A1:G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2" sqref="B12"/>
    </sheetView>
  </sheetViews>
  <sheetFormatPr defaultRowHeight="18"/>
  <cols>
    <col min="1" max="1" width="8.796875" style="2"/>
    <col min="2" max="2" width="96.8984375" style="1" customWidth="1"/>
    <col min="3" max="3" width="9.69921875" customWidth="1"/>
  </cols>
  <sheetData>
    <row r="1" spans="1:7">
      <c r="A1" s="2" t="s">
        <v>0</v>
      </c>
      <c r="B1" s="1" t="s">
        <v>13</v>
      </c>
    </row>
    <row r="2" spans="1:7">
      <c r="A2" s="2" t="s">
        <v>2</v>
      </c>
      <c r="B2" s="3" t="s">
        <v>48</v>
      </c>
      <c r="D2">
        <f>SUM(D4:D1000)</f>
        <v>50</v>
      </c>
      <c r="E2">
        <f>SUM(E4:E1000)</f>
        <v>50</v>
      </c>
    </row>
    <row r="3" spans="1:7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7">
      <c r="A4" s="2" t="s">
        <v>53</v>
      </c>
      <c r="B4" s="1" t="s">
        <v>54</v>
      </c>
      <c r="C4">
        <f>IF(B4&lt;&gt;"",LEN(B4),"")</f>
        <v>6</v>
      </c>
      <c r="D4">
        <v>4</v>
      </c>
      <c r="E4">
        <v>4</v>
      </c>
    </row>
    <row r="5" spans="1:7">
      <c r="A5" s="2" t="s">
        <v>55</v>
      </c>
      <c r="B5" s="1" t="s">
        <v>57</v>
      </c>
      <c r="C5">
        <f t="shared" ref="C5:C68" si="0">IF(B5&lt;&gt;"",LEN(B5),"")</f>
        <v>6</v>
      </c>
      <c r="D5">
        <v>4</v>
      </c>
      <c r="E5">
        <v>4</v>
      </c>
      <c r="G5" t="s">
        <v>49</v>
      </c>
    </row>
    <row r="6" spans="1:7">
      <c r="A6" s="2" t="s">
        <v>21</v>
      </c>
      <c r="B6" s="1" t="s">
        <v>58</v>
      </c>
      <c r="C6">
        <f t="shared" si="0"/>
        <v>22</v>
      </c>
      <c r="D6">
        <v>8</v>
      </c>
      <c r="E6">
        <v>8</v>
      </c>
      <c r="G6" t="s">
        <v>50</v>
      </c>
    </row>
    <row r="7" spans="1:7">
      <c r="A7" s="2" t="s">
        <v>32</v>
      </c>
      <c r="B7" s="1" t="s">
        <v>59</v>
      </c>
      <c r="C7">
        <f t="shared" si="0"/>
        <v>9</v>
      </c>
      <c r="D7">
        <v>6</v>
      </c>
      <c r="E7">
        <v>6</v>
      </c>
      <c r="G7" t="s">
        <v>51</v>
      </c>
    </row>
    <row r="8" spans="1:7">
      <c r="A8" s="2" t="s">
        <v>34</v>
      </c>
      <c r="B8" s="1" t="s">
        <v>60</v>
      </c>
      <c r="C8">
        <f t="shared" si="0"/>
        <v>18</v>
      </c>
      <c r="D8">
        <v>8</v>
      </c>
      <c r="E8">
        <v>8</v>
      </c>
      <c r="G8" t="s">
        <v>52</v>
      </c>
    </row>
    <row r="9" spans="1:7">
      <c r="A9" s="2" t="s">
        <v>38</v>
      </c>
      <c r="B9" s="1" t="s">
        <v>63</v>
      </c>
      <c r="C9">
        <f t="shared" si="0"/>
        <v>8</v>
      </c>
      <c r="D9">
        <v>5</v>
      </c>
      <c r="E9">
        <v>5</v>
      </c>
    </row>
    <row r="10" spans="1:7">
      <c r="B10" s="1" t="s">
        <v>64</v>
      </c>
      <c r="C10">
        <f t="shared" si="0"/>
        <v>4</v>
      </c>
      <c r="D10">
        <v>5</v>
      </c>
      <c r="E10">
        <v>5</v>
      </c>
      <c r="G10" t="s">
        <v>56</v>
      </c>
    </row>
    <row r="11" spans="1:7">
      <c r="B11" s="1" t="s">
        <v>66</v>
      </c>
      <c r="C11">
        <f t="shared" si="0"/>
        <v>11</v>
      </c>
      <c r="D11">
        <v>5</v>
      </c>
      <c r="E11">
        <v>5</v>
      </c>
    </row>
    <row r="12" spans="1:7">
      <c r="B12" s="1" t="s">
        <v>65</v>
      </c>
      <c r="C12">
        <f t="shared" si="0"/>
        <v>4</v>
      </c>
      <c r="D12">
        <v>5</v>
      </c>
      <c r="E12">
        <v>5</v>
      </c>
    </row>
    <row r="13" spans="1:7">
      <c r="C13" t="str">
        <f t="shared" si="0"/>
        <v/>
      </c>
    </row>
    <row r="14" spans="1:7">
      <c r="C14" t="str">
        <f t="shared" si="0"/>
        <v/>
      </c>
    </row>
    <row r="15" spans="1:7">
      <c r="C15" t="str">
        <f t="shared" si="0"/>
        <v/>
      </c>
    </row>
    <row r="16" spans="1:7">
      <c r="C16" t="str">
        <f t="shared" si="0"/>
        <v/>
      </c>
    </row>
    <row r="17" spans="2:3">
      <c r="C17" t="str">
        <f t="shared" si="0"/>
        <v/>
      </c>
    </row>
    <row r="18" spans="2:3">
      <c r="C18" t="str">
        <f t="shared" si="0"/>
        <v/>
      </c>
    </row>
    <row r="19" spans="2:3">
      <c r="C19" t="str">
        <f t="shared" si="0"/>
        <v/>
      </c>
    </row>
    <row r="20" spans="2:3">
      <c r="C20" t="str">
        <f t="shared" si="0"/>
        <v/>
      </c>
    </row>
    <row r="21" spans="2:3">
      <c r="C21" t="str">
        <f t="shared" si="0"/>
        <v/>
      </c>
    </row>
    <row r="22" spans="2:3">
      <c r="C22" t="str">
        <f t="shared" si="0"/>
        <v/>
      </c>
    </row>
    <row r="23" spans="2:3">
      <c r="B23" s="1" t="s">
        <v>61</v>
      </c>
      <c r="C23">
        <f t="shared" si="0"/>
        <v>31</v>
      </c>
    </row>
    <row r="24" spans="2:3">
      <c r="B24" s="1" t="s">
        <v>62</v>
      </c>
      <c r="C24">
        <f t="shared" si="0"/>
        <v>20</v>
      </c>
    </row>
    <row r="25" spans="2:3">
      <c r="C25" t="str">
        <f t="shared" si="0"/>
        <v/>
      </c>
    </row>
    <row r="26" spans="2:3">
      <c r="C26" t="str">
        <f t="shared" si="0"/>
        <v/>
      </c>
    </row>
    <row r="27" spans="2:3">
      <c r="C27" t="str">
        <f t="shared" si="0"/>
        <v/>
      </c>
    </row>
    <row r="28" spans="2:3">
      <c r="C28" t="str">
        <f t="shared" si="0"/>
        <v/>
      </c>
    </row>
    <row r="29" spans="2:3">
      <c r="C29" t="str">
        <f t="shared" si="0"/>
        <v/>
      </c>
    </row>
    <row r="30" spans="2:3">
      <c r="C30" t="str">
        <f t="shared" si="0"/>
        <v/>
      </c>
    </row>
    <row r="31" spans="2:3">
      <c r="C31" t="str">
        <f t="shared" si="0"/>
        <v/>
      </c>
    </row>
    <row r="32" spans="2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レビュー</vt:lpstr>
      <vt:lpstr>format</vt:lpstr>
      <vt:lpstr>1</vt:lpstr>
      <vt:lpstr>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yoshinaga</dc:creator>
  <cp:lastModifiedBy>Yoshinaga, Shinichi (BIL-NBS) 吉永 信一</cp:lastModifiedBy>
  <dcterms:created xsi:type="dcterms:W3CDTF">2015-06-05T18:19:34Z</dcterms:created>
  <dcterms:modified xsi:type="dcterms:W3CDTF">2025-01-04T03:50:56Z</dcterms:modified>
</cp:coreProperties>
</file>