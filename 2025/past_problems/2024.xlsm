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6ACD2D96-AF01-4C55-AFBB-A4F322D16A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5" l="1"/>
  <c r="D15" i="5"/>
  <c r="D14" i="5"/>
  <c r="D13" i="5"/>
  <c r="D12" i="5"/>
  <c r="D11" i="5"/>
  <c r="D10" i="5"/>
  <c r="D9" i="5"/>
  <c r="D2" i="5" s="1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<sst xmlns="http://schemas.openxmlformats.org/spreadsheetml/2006/main" count="67" uniqueCount="59">
  <si>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</si>
  <si>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</si>
  <si>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</si>
  <si>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</si>
  <si>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</si>
  <si>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</si>
  <si>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</si>
  <si>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</si>
  <si>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</si>
  <si>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</si>
  <si>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</si>
  <si>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</si>
  <si>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2024-春</t>
  </si>
  <si>
    <t>2024-春</t>
    <rPh sb="5" eb="6">
      <t>ハル</t>
    </rPh>
    <phoneticPr fontId="1"/>
  </si>
  <si>
    <t>PM-1</t>
  </si>
  <si>
    <t>PM-1</t>
    <phoneticPr fontId="1"/>
  </si>
  <si>
    <t>G社ヘルスケア</t>
    <rPh sb="1" eb="2">
      <t>シャ</t>
    </rPh>
    <phoneticPr fontId="1"/>
  </si>
  <si>
    <t>サービスY</t>
    <phoneticPr fontId="1"/>
  </si>
  <si>
    <t>サービスK→サービスL</t>
    <phoneticPr fontId="1"/>
  </si>
  <si>
    <t>1</t>
    <phoneticPr fontId="1"/>
  </si>
  <si>
    <t>セッション非管理</t>
    <rPh sb="5" eb="6">
      <t>ヒ</t>
    </rPh>
    <rPh sb="6" eb="8">
      <t>カンリ</t>
    </rPh>
    <phoneticPr fontId="1"/>
  </si>
  <si>
    <t>文字列Xで認証</t>
    <rPh sb="0" eb="3">
      <t>モジレツ</t>
    </rPh>
    <rPh sb="5" eb="7">
      <t>ニンショウ</t>
    </rPh>
    <phoneticPr fontId="1"/>
  </si>
  <si>
    <t>成功ならJWT</t>
    <rPh sb="0" eb="2">
      <t>セイコウ</t>
    </rPh>
    <phoneticPr fontId="1"/>
  </si>
  <si>
    <t>共通ライブラリPを利用</t>
    <rPh sb="0" eb="2">
      <t>キョウツウ</t>
    </rPh>
    <rPh sb="9" eb="11">
      <t>リヨウ</t>
    </rPh>
    <phoneticPr fontId="1"/>
  </si>
  <si>
    <t>サービスLとMで活用</t>
    <rPh sb="8" eb="10">
      <t>カツヨウ</t>
    </rPh>
    <phoneticPr fontId="1"/>
  </si>
  <si>
    <t>midで利用者</t>
    <rPh sb="4" eb="7">
      <t>リヨウシャ</t>
    </rPh>
    <phoneticPr fontId="1"/>
  </si>
  <si>
    <t>JWTライブラリを利用</t>
    <rPh sb="9" eb="11">
      <t>リヨウ</t>
    </rPh>
    <phoneticPr fontId="1"/>
  </si>
  <si>
    <t>JWTスキーム</t>
    <phoneticPr fontId="1"/>
  </si>
  <si>
    <t xml:space="preserve">gaibu </t>
    <phoneticPr fontId="1"/>
  </si>
  <si>
    <t xml:space="preserve">gakushuu </t>
    <phoneticPr fontId="1"/>
  </si>
  <si>
    <t xml:space="preserve">sa-bisu </t>
    <phoneticPr fontId="1"/>
  </si>
  <si>
    <t>脆弱性診断</t>
    <rPh sb="0" eb="3">
      <t>ゼイジャクセイ</t>
    </rPh>
    <rPh sb="3" eb="5">
      <t>シンダン</t>
    </rPh>
    <phoneticPr fontId="1"/>
  </si>
  <si>
    <t>2-1</t>
    <phoneticPr fontId="1"/>
  </si>
  <si>
    <t>RS256</t>
    <phoneticPr fontId="1"/>
  </si>
  <si>
    <t>2-2</t>
    <phoneticPr fontId="1"/>
  </si>
  <si>
    <t>ライブラリQ:JWT管理ライブラリ</t>
    <rPh sb="10" eb="12">
      <t>カンリ</t>
    </rPh>
    <phoneticPr fontId="1"/>
  </si>
  <si>
    <t>LDAPリクエストW</t>
    <phoneticPr fontId="1"/>
  </si>
  <si>
    <t>JWTに設定されたalgの値</t>
    <rPh sb="4" eb="6">
      <t>セッテイ</t>
    </rPh>
    <rPh sb="13" eb="14">
      <t>アタイ</t>
    </rPh>
    <phoneticPr fontId="1"/>
  </si>
  <si>
    <t>Noneでないことを確認する</t>
    <rPh sb="10" eb="12">
      <t>カクニン</t>
    </rPh>
    <phoneticPr fontId="1"/>
  </si>
  <si>
    <t>2-3</t>
    <phoneticPr fontId="1"/>
  </si>
  <si>
    <t>通信モジュールP</t>
    <rPh sb="0" eb="2">
      <t>ツウシン</t>
    </rPh>
    <phoneticPr fontId="1"/>
  </si>
  <si>
    <t>サービスLに定義</t>
    <rPh sb="6" eb="8">
      <t>テイギ</t>
    </rPh>
    <phoneticPr fontId="1"/>
  </si>
  <si>
    <t>サービスMをcall</t>
    <phoneticPr fontId="1"/>
  </si>
  <si>
    <t>JWTに含まれる利用者IDとmidが一致するかを確認する</t>
    <rPh sb="4" eb="5">
      <t>フク</t>
    </rPh>
    <rPh sb="8" eb="11">
      <t>リヨウシャ</t>
    </rPh>
    <rPh sb="18" eb="20">
      <t>イッチ</t>
    </rPh>
    <rPh sb="24" eb="26">
      <t>カクニン</t>
    </rPh>
    <phoneticPr fontId="1"/>
  </si>
  <si>
    <t>2-4</t>
    <phoneticPr fontId="1"/>
  </si>
  <si>
    <t>利用者API</t>
    <rPh sb="0" eb="3">
      <t>リヨウシャ</t>
    </rPh>
    <phoneticPr fontId="1"/>
  </si>
  <si>
    <t>2-5</t>
    <phoneticPr fontId="1"/>
  </si>
  <si>
    <t>連続で失敗した回数が閾値を超えたらロックアウトする機能</t>
    <rPh sb="0" eb="2">
      <t>レンゾク</t>
    </rPh>
    <rPh sb="3" eb="5">
      <t>シッパイ</t>
    </rPh>
    <rPh sb="7" eb="9">
      <t>カイスウ</t>
    </rPh>
    <rPh sb="10" eb="12">
      <t>シキイチ</t>
    </rPh>
    <rPh sb="13" eb="14">
      <t>コ</t>
    </rPh>
    <rPh sb="25" eb="27">
      <t>キノウ</t>
    </rPh>
    <phoneticPr fontId="1"/>
  </si>
  <si>
    <t>3-1</t>
    <phoneticPr fontId="1"/>
  </si>
  <si>
    <t>jndi</t>
    <phoneticPr fontId="1"/>
  </si>
  <si>
    <t>テストサーバーのindexファイルへのアクセスを記録する仕組み。</t>
    <rPh sb="24" eb="26">
      <t>キロク</t>
    </rPh>
    <rPh sb="28" eb="30">
      <t>シク</t>
    </rPh>
    <phoneticPr fontId="1"/>
  </si>
  <si>
    <t>3-2</t>
    <phoneticPr fontId="1"/>
  </si>
  <si>
    <t>c: ANY</t>
    <phoneticPr fontId="1"/>
  </si>
  <si>
    <t>d: ANY</t>
    <phoneticPr fontId="1"/>
  </si>
  <si>
    <t>3-3</t>
    <phoneticPr fontId="1"/>
  </si>
  <si>
    <t>\W[jJ][nN][dD][iI]\W</t>
    <phoneticPr fontId="1"/>
  </si>
  <si>
    <t>3-4</t>
    <phoneticPr fontId="1"/>
  </si>
  <si>
    <t>誤検知による遮断を防ぐことが出来る</t>
    <rPh sb="0" eb="3">
      <t>ゴケンチ</t>
    </rPh>
    <rPh sb="6" eb="8">
      <t>シャダン</t>
    </rPh>
    <rPh sb="9" eb="10">
      <t>フセ</t>
    </rPh>
    <rPh sb="14" eb="16">
      <t>デキ</t>
    </rPh>
    <phoneticPr fontId="1"/>
  </si>
  <si>
    <t>アラートが出た場合に、攻撃かを確認する</t>
    <rPh sb="5" eb="6">
      <t>デ</t>
    </rPh>
    <rPh sb="7" eb="9">
      <t>バアイ</t>
    </rPh>
    <rPh sb="11" eb="13">
      <t>コウゲキ</t>
    </rPh>
    <rPh sb="15" eb="17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</si>
</sst>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F6" sqref="F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38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17339-672A-4CD2-9C30-1F97D055E686}">
  <sheetPr codeName="Sheet4"/>
  <dimension ref="A1:O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0" sqref="D10"/>
    </sheetView>
  </sheetViews>
  <sheetFormatPr defaultRowHeight="18.75"/>
  <cols>
    <col min="1" max="1" width="9" style="2"/>
    <col min="2" max="2" width="51.5" style="1" customWidth="1"/>
    <col min="3" max="3" width="9.75" customWidth="1"/>
  </cols>
  <sheetData>
    <row r="1" spans="1:15">
      <c r="A1" s="2" t="s">
        <v>0</v>
      </c>
      <c r="B1" s="1" t="s">
        <v>13</v>
      </c>
      <c r="K1" t="s">
        <v>49</v>
      </c>
    </row>
    <row r="2" spans="1:15">
      <c r="A2" s="2" t="s">
        <v>2</v>
      </c>
      <c r="B2" s="3" t="s">
        <v>15</v>
      </c>
      <c r="D2">
        <f>SUM(D4:D1000)</f>
        <v>38</v>
      </c>
      <c r="E2">
        <f>SUM(E4:E1000)</f>
        <v>50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19</v>
      </c>
      <c r="B4" s="1" t="s">
        <v>20</v>
      </c>
      <c r="C4">
        <f>IF(B4&lt;&gt;"",LEN(B4),"")</f>
        <v>8</v>
      </c>
      <c r="D4">
        <f>E4*F4</f>
        <v>0</v>
      </c>
      <c r="E4">
        <v>3</v>
      </c>
      <c r="F4">
        <v>0</v>
      </c>
      <c r="G4" t="s">
        <v>16</v>
      </c>
      <c r="I4" t="s">
        <v>21</v>
      </c>
      <c r="K4" t="s">
        <v>26</v>
      </c>
      <c r="M4" t="s">
        <v>31</v>
      </c>
      <c r="O4" t="s">
        <v>40</v>
      </c>
    </row>
    <row r="5" spans="1:15">
      <c r="A5" s="2" t="s">
        <v>32</v>
      </c>
      <c r="B5" s="1">
        <v>500</v>
      </c>
      <c r="C5">
        <f t="shared" ref="C5:C68" si="0">IF(B5&lt;&gt;"",LEN(B5),"")</f>
        <v>3</v>
      </c>
      <c r="D5">
        <f t="shared" ref="D5:D16" si="1">E5*F5</f>
        <v>3</v>
      </c>
      <c r="E5">
        <v>3</v>
      </c>
      <c r="F5">
        <v>1</v>
      </c>
      <c r="G5" t="s">
        <v>17</v>
      </c>
      <c r="I5" t="s">
        <v>22</v>
      </c>
      <c r="K5" t="s">
        <v>27</v>
      </c>
      <c r="M5" t="s">
        <v>33</v>
      </c>
      <c r="O5" t="s">
        <v>41</v>
      </c>
    </row>
    <row r="6" spans="1:15">
      <c r="A6" s="2" t="s">
        <v>34</v>
      </c>
      <c r="B6" s="1" t="s">
        <v>37</v>
      </c>
      <c r="C6">
        <f t="shared" si="0"/>
        <v>14</v>
      </c>
      <c r="D6">
        <f t="shared" si="1"/>
        <v>2</v>
      </c>
      <c r="E6">
        <v>2</v>
      </c>
      <c r="F6">
        <v>1</v>
      </c>
      <c r="G6" t="s">
        <v>18</v>
      </c>
      <c r="I6" t="s">
        <v>23</v>
      </c>
      <c r="K6" t="s">
        <v>28</v>
      </c>
      <c r="M6" t="s">
        <v>35</v>
      </c>
      <c r="O6" t="s">
        <v>42</v>
      </c>
    </row>
    <row r="7" spans="1:15">
      <c r="B7" s="1" t="s">
        <v>38</v>
      </c>
      <c r="C7">
        <f t="shared" si="0"/>
        <v>14</v>
      </c>
      <c r="D7">
        <f t="shared" si="1"/>
        <v>3</v>
      </c>
      <c r="E7">
        <v>3</v>
      </c>
      <c r="F7">
        <v>1</v>
      </c>
      <c r="I7" t="s">
        <v>24</v>
      </c>
      <c r="K7" t="s">
        <v>29</v>
      </c>
      <c r="M7" t="s">
        <v>36</v>
      </c>
    </row>
    <row r="8" spans="1:15">
      <c r="A8" s="2" t="s">
        <v>39</v>
      </c>
      <c r="B8" s="1" t="s">
        <v>43</v>
      </c>
      <c r="C8">
        <f t="shared" si="0"/>
        <v>28</v>
      </c>
      <c r="D8">
        <f t="shared" si="1"/>
        <v>5</v>
      </c>
      <c r="E8">
        <v>5</v>
      </c>
      <c r="F8">
        <v>1</v>
      </c>
      <c r="I8" t="s">
        <v>25</v>
      </c>
      <c r="K8" t="s">
        <v>30</v>
      </c>
    </row>
    <row r="9" spans="1:15">
      <c r="A9" s="2" t="s">
        <v>44</v>
      </c>
      <c r="B9" s="1" t="s">
        <v>45</v>
      </c>
      <c r="C9">
        <f t="shared" si="0"/>
        <v>6</v>
      </c>
      <c r="D9">
        <f t="shared" si="1"/>
        <v>0</v>
      </c>
      <c r="E9">
        <v>3</v>
      </c>
      <c r="F9">
        <v>0</v>
      </c>
    </row>
    <row r="10" spans="1:15">
      <c r="A10" s="2" t="s">
        <v>46</v>
      </c>
      <c r="B10" s="1" t="s">
        <v>47</v>
      </c>
      <c r="C10">
        <f t="shared" si="0"/>
        <v>27</v>
      </c>
      <c r="D10">
        <f t="shared" si="1"/>
        <v>5</v>
      </c>
      <c r="E10">
        <v>5</v>
      </c>
      <c r="F10">
        <v>1</v>
      </c>
    </row>
    <row r="11" spans="1:15" ht="37.5">
      <c r="A11" s="2" t="s">
        <v>48</v>
      </c>
      <c r="B11" s="1" t="s">
        <v>50</v>
      </c>
      <c r="C11">
        <f t="shared" si="0"/>
        <v>32</v>
      </c>
      <c r="D11">
        <f t="shared" si="1"/>
        <v>5</v>
      </c>
      <c r="E11">
        <v>5</v>
      </c>
      <c r="F11">
        <v>1</v>
      </c>
    </row>
    <row r="12" spans="1:15">
      <c r="A12" s="2" t="s">
        <v>51</v>
      </c>
      <c r="B12" s="1" t="s">
        <v>52</v>
      </c>
      <c r="C12">
        <f t="shared" si="0"/>
        <v>6</v>
      </c>
      <c r="D12">
        <f t="shared" si="1"/>
        <v>0</v>
      </c>
      <c r="E12">
        <v>3</v>
      </c>
      <c r="F12">
        <v>0</v>
      </c>
    </row>
    <row r="13" spans="1:15">
      <c r="B13" s="1" t="s">
        <v>53</v>
      </c>
      <c r="C13">
        <f t="shared" si="0"/>
        <v>6</v>
      </c>
      <c r="D13">
        <f t="shared" si="1"/>
        <v>0</v>
      </c>
      <c r="E13">
        <v>3</v>
      </c>
      <c r="F13">
        <v>0</v>
      </c>
    </row>
    <row r="14" spans="1:15">
      <c r="A14" s="2" t="s">
        <v>54</v>
      </c>
      <c r="B14" s="1" t="s">
        <v>55</v>
      </c>
      <c r="C14">
        <f t="shared" si="0"/>
        <v>20</v>
      </c>
      <c r="D14">
        <f t="shared" si="1"/>
        <v>5</v>
      </c>
      <c r="E14">
        <v>5</v>
      </c>
      <c r="F14">
        <v>1</v>
      </c>
    </row>
    <row r="15" spans="1:15">
      <c r="A15" s="2" t="s">
        <v>56</v>
      </c>
      <c r="B15" s="1" t="s">
        <v>57</v>
      </c>
      <c r="C15">
        <f t="shared" si="0"/>
        <v>17</v>
      </c>
      <c r="D15">
        <f t="shared" si="1"/>
        <v>5</v>
      </c>
      <c r="E15">
        <v>5</v>
      </c>
      <c r="F15">
        <v>1</v>
      </c>
    </row>
    <row r="16" spans="1:15">
      <c r="B16" s="1" t="s">
        <v>58</v>
      </c>
      <c r="C16">
        <f t="shared" si="0"/>
        <v>19</v>
      </c>
      <c r="D16">
        <f t="shared" si="1"/>
        <v>5</v>
      </c>
      <c r="E16">
        <v>5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2025-03-29T03:31:35Z</dcterms:modified>
</cp:coreProperties>
</file>