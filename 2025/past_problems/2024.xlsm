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aga\Documents\Python Scripts\security_specialist\2025\past_problems\"/>
    </mc:Choice>
  </mc:AlternateContent>
  <xr:revisionPtr revIDLastSave="0" documentId="13_ncr:1_{BC1B2D39-1273-49C4-8C78-CE37220040D7}" xr6:coauthVersionLast="47" xr6:coauthVersionMax="47" xr10:uidLastSave="{00000000-0000-0000-0000-000000000000}"/>
  <bookViews>
    <workbookView xWindow="-120" yWindow="-120" windowWidth="29040" windowHeight="15720" activeTab="11" xr2:uid="{00000000-000D-0000-FFFF-FFFF00000000}"/>
  </bookViews>
  <sheets>
    <sheet name="レビュー" sheetId="2" r:id="rId1"/>
    <sheet name="format" sheetId="4" r:id="rId2"/>
    <sheet name="1" sheetId="5" r:id="rId3"/>
    <sheet name="2" sheetId="6" r:id="rId4"/>
    <sheet name="3" sheetId="7" r:id="rId5"/>
    <sheet name="4" sheetId="8" r:id="rId6"/>
    <sheet name="5" sheetId="9" r:id="rId7"/>
    <sheet name="6" sheetId="10" r:id="rId8"/>
    <sheet name="7" sheetId="11" r:id="rId9"/>
    <sheet name="8" sheetId="12" r:id="rId10"/>
    <sheet name="9" sheetId="13" r:id="rId11"/>
    <sheet name="10" sheetId="14" r:id="rId12"/>
  </sheets>
  <functionGroups builtInGroupCount="19"/>
  <definedNames>
    <definedName name="_xlnm._FilterDatabase" localSheetId="2" hidden="1">'1'!$A$3:$O$167</definedName>
    <definedName name="_xlnm._FilterDatabase" localSheetId="3" hidden="1">'2'!$A$3:$O$167</definedName>
    <definedName name="_xlnm._FilterDatabase" localSheetId="4" hidden="1">'3'!$A$3:$M$167</definedName>
    <definedName name="_xlnm._FilterDatabase" localSheetId="5" hidden="1">'4'!$A$3:$M$167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13" l="1"/>
  <c r="D14" i="14"/>
  <c r="D13" i="14"/>
  <c r="D12" i="14"/>
  <c r="D11" i="14"/>
  <c r="D10" i="14"/>
  <c r="D9" i="14"/>
  <c r="D8" i="14"/>
  <c r="D7" i="14"/>
  <c r="D6" i="14"/>
  <c r="D5" i="14"/>
  <c r="D2" i="14" s="1"/>
  <c r="D4" i="14"/>
  <c r="C167" i="14"/>
  <c r="C166" i="14"/>
  <c r="C165" i="14"/>
  <c r="C164" i="14"/>
  <c r="C163" i="14"/>
  <c r="C162" i="14"/>
  <c r="C161" i="14"/>
  <c r="C160" i="14"/>
  <c r="C159" i="14"/>
  <c r="C158" i="14"/>
  <c r="C157" i="14"/>
  <c r="C156" i="14"/>
  <c r="C155" i="14"/>
  <c r="C154" i="14"/>
  <c r="C153" i="14"/>
  <c r="C152" i="14"/>
  <c r="C151" i="14"/>
  <c r="C150" i="14"/>
  <c r="C149" i="14"/>
  <c r="C148" i="14"/>
  <c r="C147" i="14"/>
  <c r="C146" i="14"/>
  <c r="C145" i="14"/>
  <c r="C144" i="14"/>
  <c r="C143" i="14"/>
  <c r="C142" i="14"/>
  <c r="C141" i="14"/>
  <c r="C140" i="14"/>
  <c r="C139" i="14"/>
  <c r="C138" i="14"/>
  <c r="C137" i="14"/>
  <c r="C136" i="14"/>
  <c r="C135" i="14"/>
  <c r="C134" i="14"/>
  <c r="C133" i="14"/>
  <c r="C132" i="14"/>
  <c r="C131" i="14"/>
  <c r="C130" i="14"/>
  <c r="C129" i="14"/>
  <c r="C128" i="14"/>
  <c r="C127" i="14"/>
  <c r="C126" i="14"/>
  <c r="C125" i="14"/>
  <c r="C124" i="14"/>
  <c r="C123" i="14"/>
  <c r="C122" i="14"/>
  <c r="C121" i="14"/>
  <c r="C120" i="14"/>
  <c r="C119" i="14"/>
  <c r="C118" i="14"/>
  <c r="C117" i="14"/>
  <c r="C116" i="14"/>
  <c r="C115" i="14"/>
  <c r="C114" i="14"/>
  <c r="C113" i="14"/>
  <c r="C112" i="14"/>
  <c r="C111" i="14"/>
  <c r="C110" i="14"/>
  <c r="C109" i="14"/>
  <c r="C108" i="14"/>
  <c r="C107" i="14"/>
  <c r="C106" i="14"/>
  <c r="C105" i="14"/>
  <c r="C104" i="14"/>
  <c r="C103" i="14"/>
  <c r="C102" i="14"/>
  <c r="C101" i="14"/>
  <c r="C100" i="14"/>
  <c r="C99" i="14"/>
  <c r="C98" i="14"/>
  <c r="C97" i="14"/>
  <c r="C96" i="14"/>
  <c r="C95" i="14"/>
  <c r="C94" i="14"/>
  <c r="C93" i="14"/>
  <c r="C92" i="14"/>
  <c r="C91" i="14"/>
  <c r="C90" i="14"/>
  <c r="C89" i="14"/>
  <c r="C88" i="14"/>
  <c r="C87" i="14"/>
  <c r="C86" i="14"/>
  <c r="C85" i="14"/>
  <c r="C84" i="14"/>
  <c r="C83" i="14"/>
  <c r="C82" i="14"/>
  <c r="C81" i="14"/>
  <c r="C80" i="14"/>
  <c r="C79" i="14"/>
  <c r="C78" i="14"/>
  <c r="C77" i="14"/>
  <c r="C76" i="14"/>
  <c r="C75" i="14"/>
  <c r="C74" i="14"/>
  <c r="C73" i="14"/>
  <c r="C72" i="14"/>
  <c r="C71" i="14"/>
  <c r="C70" i="14"/>
  <c r="C69" i="14"/>
  <c r="C68" i="14"/>
  <c r="C67" i="14"/>
  <c r="C66" i="14"/>
  <c r="C65" i="14"/>
  <c r="C64" i="14"/>
  <c r="C63" i="14"/>
  <c r="C62" i="14"/>
  <c r="C61" i="14"/>
  <c r="C60" i="14"/>
  <c r="C59" i="14"/>
  <c r="C58" i="14"/>
  <c r="C57" i="14"/>
  <c r="C56" i="14"/>
  <c r="C55" i="14"/>
  <c r="C54" i="14"/>
  <c r="C53" i="14"/>
  <c r="C52" i="14"/>
  <c r="C51" i="14"/>
  <c r="C50" i="14"/>
  <c r="C49" i="14"/>
  <c r="C48" i="14"/>
  <c r="C47" i="14"/>
  <c r="C46" i="14"/>
  <c r="C45" i="14"/>
  <c r="C44" i="14"/>
  <c r="C43" i="14"/>
  <c r="C42" i="14"/>
  <c r="C41" i="14"/>
  <c r="C40" i="14"/>
  <c r="C39" i="14"/>
  <c r="C38" i="14"/>
  <c r="C37" i="14"/>
  <c r="C36" i="14"/>
  <c r="C35" i="14"/>
  <c r="C34" i="14"/>
  <c r="C33" i="14"/>
  <c r="C32" i="14"/>
  <c r="C31" i="14"/>
  <c r="C30" i="14"/>
  <c r="C29" i="14"/>
  <c r="C28" i="14"/>
  <c r="C27" i="14"/>
  <c r="C26" i="14"/>
  <c r="C25" i="14"/>
  <c r="C24" i="14"/>
  <c r="C23" i="14"/>
  <c r="C22" i="14"/>
  <c r="C21" i="14"/>
  <c r="C20" i="14"/>
  <c r="C19" i="14"/>
  <c r="C18" i="14"/>
  <c r="C17" i="14"/>
  <c r="C16" i="14"/>
  <c r="C15" i="14"/>
  <c r="C14" i="14"/>
  <c r="C13" i="14"/>
  <c r="C12" i="14"/>
  <c r="C11" i="14"/>
  <c r="C10" i="14"/>
  <c r="C9" i="14"/>
  <c r="C8" i="14"/>
  <c r="C7" i="14"/>
  <c r="C6" i="14"/>
  <c r="C5" i="14"/>
  <c r="C4" i="14"/>
  <c r="E2" i="14"/>
  <c r="D16" i="13"/>
  <c r="D15" i="13"/>
  <c r="D14" i="13"/>
  <c r="D13" i="13"/>
  <c r="D12" i="13"/>
  <c r="D11" i="13"/>
  <c r="D10" i="13"/>
  <c r="D9" i="13"/>
  <c r="D8" i="13"/>
  <c r="D7" i="13"/>
  <c r="D6" i="13"/>
  <c r="D5" i="13"/>
  <c r="D4" i="13"/>
  <c r="C167" i="13"/>
  <c r="C166" i="13"/>
  <c r="C165" i="13"/>
  <c r="C164" i="13"/>
  <c r="C163" i="13"/>
  <c r="C162" i="13"/>
  <c r="C161" i="13"/>
  <c r="C160" i="13"/>
  <c r="C159" i="13"/>
  <c r="C158" i="13"/>
  <c r="C157" i="13"/>
  <c r="C156" i="13"/>
  <c r="C155" i="13"/>
  <c r="C154" i="13"/>
  <c r="C153" i="13"/>
  <c r="C152" i="13"/>
  <c r="C151" i="13"/>
  <c r="C150" i="13"/>
  <c r="C149" i="13"/>
  <c r="C148" i="13"/>
  <c r="C147" i="13"/>
  <c r="C146" i="13"/>
  <c r="C145" i="13"/>
  <c r="C144" i="13"/>
  <c r="C143" i="13"/>
  <c r="C142" i="13"/>
  <c r="C141" i="13"/>
  <c r="C140" i="13"/>
  <c r="C139" i="13"/>
  <c r="C138" i="13"/>
  <c r="C137" i="13"/>
  <c r="C136" i="13"/>
  <c r="C135" i="13"/>
  <c r="C134" i="13"/>
  <c r="C133" i="13"/>
  <c r="C132" i="13"/>
  <c r="C131" i="13"/>
  <c r="C130" i="13"/>
  <c r="C129" i="13"/>
  <c r="C128" i="13"/>
  <c r="C127" i="13"/>
  <c r="C126" i="13"/>
  <c r="C125" i="13"/>
  <c r="C124" i="13"/>
  <c r="C123" i="13"/>
  <c r="C122" i="13"/>
  <c r="C121" i="13"/>
  <c r="C120" i="13"/>
  <c r="C119" i="13"/>
  <c r="C118" i="13"/>
  <c r="C117" i="13"/>
  <c r="C116" i="13"/>
  <c r="C115" i="13"/>
  <c r="C114" i="13"/>
  <c r="C113" i="13"/>
  <c r="C112" i="13"/>
  <c r="C111" i="13"/>
  <c r="C110" i="13"/>
  <c r="C109" i="13"/>
  <c r="C108" i="13"/>
  <c r="C107" i="13"/>
  <c r="C106" i="13"/>
  <c r="C105" i="13"/>
  <c r="C104" i="13"/>
  <c r="C103" i="13"/>
  <c r="C102" i="13"/>
  <c r="C101" i="13"/>
  <c r="C100" i="13"/>
  <c r="C99" i="13"/>
  <c r="C98" i="13"/>
  <c r="C97" i="13"/>
  <c r="C96" i="13"/>
  <c r="C95" i="13"/>
  <c r="C94" i="13"/>
  <c r="C93" i="13"/>
  <c r="C92" i="13"/>
  <c r="C91" i="13"/>
  <c r="C90" i="13"/>
  <c r="C89" i="13"/>
  <c r="C88" i="13"/>
  <c r="C87" i="13"/>
  <c r="C86" i="13"/>
  <c r="C85" i="13"/>
  <c r="C84" i="13"/>
  <c r="C83" i="13"/>
  <c r="C82" i="13"/>
  <c r="C81" i="13"/>
  <c r="C80" i="13"/>
  <c r="C79" i="13"/>
  <c r="C78" i="13"/>
  <c r="C77" i="13"/>
  <c r="C76" i="13"/>
  <c r="C75" i="13"/>
  <c r="C74" i="13"/>
  <c r="C73" i="13"/>
  <c r="C72" i="13"/>
  <c r="C71" i="13"/>
  <c r="C70" i="13"/>
  <c r="C69" i="13"/>
  <c r="C68" i="13"/>
  <c r="C67" i="13"/>
  <c r="C66" i="13"/>
  <c r="C65" i="13"/>
  <c r="C64" i="13"/>
  <c r="C63" i="13"/>
  <c r="C62" i="13"/>
  <c r="C61" i="13"/>
  <c r="C60" i="13"/>
  <c r="C59" i="13"/>
  <c r="C58" i="13"/>
  <c r="C57" i="13"/>
  <c r="C56" i="13"/>
  <c r="C55" i="13"/>
  <c r="C54" i="13"/>
  <c r="C53" i="13"/>
  <c r="C52" i="13"/>
  <c r="C51" i="13"/>
  <c r="C50" i="13"/>
  <c r="C49" i="13"/>
  <c r="C48" i="13"/>
  <c r="C47" i="13"/>
  <c r="C46" i="13"/>
  <c r="C45" i="13"/>
  <c r="C44" i="13"/>
  <c r="C43" i="13"/>
  <c r="C42" i="13"/>
  <c r="C41" i="13"/>
  <c r="C40" i="13"/>
  <c r="C39" i="13"/>
  <c r="C38" i="13"/>
  <c r="C37" i="13"/>
  <c r="C36" i="13"/>
  <c r="C35" i="13"/>
  <c r="C34" i="13"/>
  <c r="C33" i="13"/>
  <c r="C32" i="13"/>
  <c r="C31" i="13"/>
  <c r="C30" i="13"/>
  <c r="C29" i="13"/>
  <c r="C28" i="13"/>
  <c r="C27" i="13"/>
  <c r="C26" i="13"/>
  <c r="C25" i="13"/>
  <c r="C24" i="13"/>
  <c r="C23" i="13"/>
  <c r="C22" i="13"/>
  <c r="C21" i="13"/>
  <c r="C20" i="13"/>
  <c r="C19" i="13"/>
  <c r="C18" i="13"/>
  <c r="C17" i="13"/>
  <c r="C16" i="13"/>
  <c r="C15" i="13"/>
  <c r="C14" i="13"/>
  <c r="C13" i="13"/>
  <c r="C12" i="13"/>
  <c r="C11" i="13"/>
  <c r="C10" i="13"/>
  <c r="C9" i="13"/>
  <c r="C8" i="13"/>
  <c r="C7" i="13"/>
  <c r="C6" i="13"/>
  <c r="C5" i="13"/>
  <c r="C4" i="13"/>
  <c r="E2" i="13"/>
  <c r="D14" i="12"/>
  <c r="D13" i="12"/>
  <c r="D12" i="12"/>
  <c r="D11" i="12"/>
  <c r="D10" i="12"/>
  <c r="D9" i="12"/>
  <c r="D8" i="12"/>
  <c r="D7" i="12"/>
  <c r="D6" i="12"/>
  <c r="D5" i="12"/>
  <c r="D2" i="12" s="1"/>
  <c r="D4" i="12"/>
  <c r="C167" i="12"/>
  <c r="C166" i="12"/>
  <c r="C165" i="12"/>
  <c r="C164" i="12"/>
  <c r="C163" i="12"/>
  <c r="C162" i="12"/>
  <c r="C161" i="12"/>
  <c r="C160" i="12"/>
  <c r="C159" i="12"/>
  <c r="C158" i="12"/>
  <c r="C157" i="12"/>
  <c r="C156" i="12"/>
  <c r="C155" i="12"/>
  <c r="C154" i="12"/>
  <c r="C153" i="12"/>
  <c r="C152" i="12"/>
  <c r="C151" i="12"/>
  <c r="C150" i="12"/>
  <c r="C149" i="12"/>
  <c r="C148" i="12"/>
  <c r="C147" i="12"/>
  <c r="C146" i="12"/>
  <c r="C145" i="12"/>
  <c r="C144" i="12"/>
  <c r="C143" i="12"/>
  <c r="C142" i="12"/>
  <c r="C141" i="12"/>
  <c r="C140" i="12"/>
  <c r="C139" i="12"/>
  <c r="C138" i="12"/>
  <c r="C137" i="12"/>
  <c r="C136" i="12"/>
  <c r="C135" i="12"/>
  <c r="C134" i="12"/>
  <c r="C133" i="12"/>
  <c r="C132" i="12"/>
  <c r="C131" i="12"/>
  <c r="C130" i="12"/>
  <c r="C129" i="12"/>
  <c r="C128" i="12"/>
  <c r="C127" i="12"/>
  <c r="C126" i="12"/>
  <c r="C125" i="12"/>
  <c r="C124" i="12"/>
  <c r="C123" i="12"/>
  <c r="C122" i="12"/>
  <c r="C121" i="12"/>
  <c r="C120" i="12"/>
  <c r="C119" i="12"/>
  <c r="C118" i="12"/>
  <c r="C117" i="12"/>
  <c r="C116" i="12"/>
  <c r="C115" i="12"/>
  <c r="C114" i="12"/>
  <c r="C113" i="12"/>
  <c r="C112" i="12"/>
  <c r="C111" i="12"/>
  <c r="C110" i="12"/>
  <c r="C109" i="12"/>
  <c r="C108" i="12"/>
  <c r="C107" i="12"/>
  <c r="C106" i="12"/>
  <c r="C105" i="12"/>
  <c r="C104" i="12"/>
  <c r="C103" i="12"/>
  <c r="C102" i="12"/>
  <c r="C101" i="12"/>
  <c r="C100" i="12"/>
  <c r="C99" i="12"/>
  <c r="C98" i="12"/>
  <c r="C97" i="12"/>
  <c r="C96" i="12"/>
  <c r="C95" i="12"/>
  <c r="C94" i="12"/>
  <c r="C93" i="12"/>
  <c r="C92" i="12"/>
  <c r="C91" i="12"/>
  <c r="C90" i="12"/>
  <c r="C89" i="12"/>
  <c r="C88" i="12"/>
  <c r="C87" i="12"/>
  <c r="C86" i="12"/>
  <c r="C85" i="12"/>
  <c r="C84" i="12"/>
  <c r="C83" i="12"/>
  <c r="C82" i="12"/>
  <c r="C81" i="12"/>
  <c r="C80" i="12"/>
  <c r="C79" i="12"/>
  <c r="C78" i="12"/>
  <c r="C77" i="12"/>
  <c r="C76" i="12"/>
  <c r="C75" i="12"/>
  <c r="C74" i="12"/>
  <c r="C73" i="12"/>
  <c r="C72" i="12"/>
  <c r="C71" i="12"/>
  <c r="C70" i="12"/>
  <c r="C69" i="12"/>
  <c r="C68" i="12"/>
  <c r="C67" i="12"/>
  <c r="C66" i="12"/>
  <c r="C65" i="12"/>
  <c r="C64" i="12"/>
  <c r="C63" i="12"/>
  <c r="C62" i="12"/>
  <c r="C61" i="12"/>
  <c r="C60" i="12"/>
  <c r="C59" i="12"/>
  <c r="C58" i="12"/>
  <c r="C57" i="12"/>
  <c r="C56" i="12"/>
  <c r="C55" i="12"/>
  <c r="C54" i="12"/>
  <c r="C53" i="12"/>
  <c r="C52" i="12"/>
  <c r="C51" i="12"/>
  <c r="C50" i="12"/>
  <c r="C49" i="12"/>
  <c r="C48" i="12"/>
  <c r="C47" i="12"/>
  <c r="C46" i="12"/>
  <c r="C45" i="12"/>
  <c r="C44" i="12"/>
  <c r="C43" i="12"/>
  <c r="C42" i="12"/>
  <c r="C41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C20" i="12"/>
  <c r="C19" i="12"/>
  <c r="C18" i="12"/>
  <c r="C17" i="12"/>
  <c r="C16" i="12"/>
  <c r="C15" i="12"/>
  <c r="C14" i="12"/>
  <c r="C13" i="12"/>
  <c r="C12" i="12"/>
  <c r="C11" i="12"/>
  <c r="C10" i="12"/>
  <c r="C9" i="12"/>
  <c r="C8" i="12"/>
  <c r="C7" i="12"/>
  <c r="C6" i="12"/>
  <c r="C5" i="12"/>
  <c r="C4" i="12"/>
  <c r="E2" i="12"/>
  <c r="D20" i="11"/>
  <c r="D19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4" i="11"/>
  <c r="C167" i="11"/>
  <c r="C166" i="11"/>
  <c r="C165" i="11"/>
  <c r="C164" i="11"/>
  <c r="C163" i="11"/>
  <c r="C162" i="11"/>
  <c r="C161" i="11"/>
  <c r="C160" i="11"/>
  <c r="C159" i="11"/>
  <c r="C158" i="11"/>
  <c r="C157" i="11"/>
  <c r="C156" i="11"/>
  <c r="C155" i="11"/>
  <c r="C154" i="11"/>
  <c r="C153" i="11"/>
  <c r="C152" i="11"/>
  <c r="C151" i="11"/>
  <c r="C150" i="11"/>
  <c r="C149" i="11"/>
  <c r="C148" i="11"/>
  <c r="C147" i="11"/>
  <c r="C146" i="11"/>
  <c r="C145" i="11"/>
  <c r="C144" i="11"/>
  <c r="C143" i="11"/>
  <c r="C142" i="11"/>
  <c r="C141" i="11"/>
  <c r="C140" i="11"/>
  <c r="C139" i="11"/>
  <c r="C138" i="11"/>
  <c r="C137" i="11"/>
  <c r="C136" i="11"/>
  <c r="C135" i="11"/>
  <c r="C134" i="11"/>
  <c r="C133" i="11"/>
  <c r="C132" i="11"/>
  <c r="C131" i="11"/>
  <c r="C130" i="11"/>
  <c r="C129" i="11"/>
  <c r="C128" i="11"/>
  <c r="C127" i="11"/>
  <c r="C126" i="11"/>
  <c r="C125" i="11"/>
  <c r="C124" i="11"/>
  <c r="C123" i="11"/>
  <c r="C122" i="11"/>
  <c r="C121" i="11"/>
  <c r="C120" i="11"/>
  <c r="C119" i="11"/>
  <c r="C118" i="11"/>
  <c r="C117" i="11"/>
  <c r="C116" i="11"/>
  <c r="C115" i="11"/>
  <c r="C114" i="11"/>
  <c r="C113" i="11"/>
  <c r="C112" i="11"/>
  <c r="C111" i="11"/>
  <c r="C110" i="11"/>
  <c r="C109" i="11"/>
  <c r="C108" i="11"/>
  <c r="C107" i="11"/>
  <c r="C106" i="11"/>
  <c r="C105" i="11"/>
  <c r="C104" i="11"/>
  <c r="C103" i="11"/>
  <c r="C102" i="11"/>
  <c r="C101" i="11"/>
  <c r="C100" i="11"/>
  <c r="C99" i="11"/>
  <c r="C98" i="11"/>
  <c r="C97" i="11"/>
  <c r="C96" i="11"/>
  <c r="C95" i="11"/>
  <c r="C94" i="11"/>
  <c r="C93" i="11"/>
  <c r="C92" i="11"/>
  <c r="C91" i="11"/>
  <c r="C90" i="11"/>
  <c r="C89" i="11"/>
  <c r="C88" i="11"/>
  <c r="C87" i="11"/>
  <c r="C86" i="11"/>
  <c r="C85" i="11"/>
  <c r="C84" i="11"/>
  <c r="C83" i="11"/>
  <c r="C82" i="11"/>
  <c r="C81" i="11"/>
  <c r="C80" i="11"/>
  <c r="C79" i="11"/>
  <c r="C78" i="11"/>
  <c r="C77" i="11"/>
  <c r="C76" i="11"/>
  <c r="C75" i="11"/>
  <c r="C74" i="11"/>
  <c r="C73" i="11"/>
  <c r="C72" i="11"/>
  <c r="C71" i="11"/>
  <c r="C70" i="11"/>
  <c r="C69" i="11"/>
  <c r="C68" i="11"/>
  <c r="C67" i="11"/>
  <c r="C66" i="11"/>
  <c r="C65" i="11"/>
  <c r="C64" i="11"/>
  <c r="C63" i="11"/>
  <c r="C62" i="11"/>
  <c r="C61" i="11"/>
  <c r="C60" i="11"/>
  <c r="C59" i="11"/>
  <c r="C58" i="11"/>
  <c r="C57" i="11"/>
  <c r="C56" i="11"/>
  <c r="C55" i="11"/>
  <c r="C54" i="11"/>
  <c r="C53" i="11"/>
  <c r="C52" i="11"/>
  <c r="C51" i="11"/>
  <c r="C50" i="11"/>
  <c r="C49" i="11"/>
  <c r="C48" i="11"/>
  <c r="C47" i="11"/>
  <c r="C46" i="11"/>
  <c r="C45" i="11"/>
  <c r="C44" i="11"/>
  <c r="C43" i="11"/>
  <c r="C42" i="11"/>
  <c r="C41" i="11"/>
  <c r="C40" i="11"/>
  <c r="C39" i="11"/>
  <c r="C38" i="11"/>
  <c r="C37" i="11"/>
  <c r="C36" i="11"/>
  <c r="C35" i="11"/>
  <c r="C34" i="11"/>
  <c r="C33" i="11"/>
  <c r="C32" i="11"/>
  <c r="C31" i="11"/>
  <c r="C30" i="11"/>
  <c r="C29" i="11"/>
  <c r="C28" i="11"/>
  <c r="C27" i="11"/>
  <c r="C26" i="11"/>
  <c r="C25" i="11"/>
  <c r="C24" i="11"/>
  <c r="C23" i="11"/>
  <c r="C22" i="11"/>
  <c r="C21" i="11"/>
  <c r="C20" i="11"/>
  <c r="C19" i="11"/>
  <c r="C18" i="11"/>
  <c r="C17" i="11"/>
  <c r="C16" i="11"/>
  <c r="C15" i="11"/>
  <c r="C14" i="11"/>
  <c r="C13" i="11"/>
  <c r="C12" i="11"/>
  <c r="C11" i="11"/>
  <c r="C10" i="11"/>
  <c r="C9" i="11"/>
  <c r="C8" i="11"/>
  <c r="C7" i="11"/>
  <c r="C6" i="11"/>
  <c r="C5" i="11"/>
  <c r="C4" i="11"/>
  <c r="E2" i="11"/>
  <c r="D14" i="10"/>
  <c r="D13" i="10"/>
  <c r="D12" i="10"/>
  <c r="D11" i="10"/>
  <c r="D10" i="10"/>
  <c r="D9" i="10"/>
  <c r="D8" i="10"/>
  <c r="D7" i="10"/>
  <c r="D6" i="10"/>
  <c r="D5" i="10"/>
  <c r="D4" i="10"/>
  <c r="C167" i="10"/>
  <c r="C166" i="10"/>
  <c r="C165" i="10"/>
  <c r="C164" i="10"/>
  <c r="C163" i="10"/>
  <c r="C162" i="10"/>
  <c r="C161" i="10"/>
  <c r="C160" i="10"/>
  <c r="C159" i="10"/>
  <c r="C158" i="10"/>
  <c r="C157" i="10"/>
  <c r="C156" i="10"/>
  <c r="C155" i="10"/>
  <c r="C154" i="10"/>
  <c r="C153" i="10"/>
  <c r="C152" i="10"/>
  <c r="C151" i="10"/>
  <c r="C150" i="10"/>
  <c r="C149" i="10"/>
  <c r="C148" i="10"/>
  <c r="C147" i="10"/>
  <c r="C146" i="10"/>
  <c r="C145" i="10"/>
  <c r="C144" i="10"/>
  <c r="C143" i="10"/>
  <c r="C142" i="10"/>
  <c r="C141" i="10"/>
  <c r="C140" i="10"/>
  <c r="C139" i="10"/>
  <c r="C138" i="10"/>
  <c r="C137" i="10"/>
  <c r="C136" i="10"/>
  <c r="C135" i="10"/>
  <c r="C134" i="10"/>
  <c r="C133" i="10"/>
  <c r="C132" i="10"/>
  <c r="C131" i="10"/>
  <c r="C130" i="10"/>
  <c r="C129" i="10"/>
  <c r="C128" i="10"/>
  <c r="C127" i="10"/>
  <c r="C126" i="10"/>
  <c r="C125" i="10"/>
  <c r="C124" i="10"/>
  <c r="C123" i="10"/>
  <c r="C122" i="10"/>
  <c r="C121" i="10"/>
  <c r="C120" i="10"/>
  <c r="C119" i="10"/>
  <c r="C118" i="10"/>
  <c r="C117" i="10"/>
  <c r="C116" i="10"/>
  <c r="C115" i="10"/>
  <c r="C114" i="10"/>
  <c r="C113" i="10"/>
  <c r="C112" i="10"/>
  <c r="C111" i="10"/>
  <c r="C110" i="10"/>
  <c r="C109" i="10"/>
  <c r="C108" i="10"/>
  <c r="C107" i="10"/>
  <c r="C106" i="10"/>
  <c r="C105" i="10"/>
  <c r="C104" i="10"/>
  <c r="C103" i="10"/>
  <c r="C102" i="10"/>
  <c r="C101" i="10"/>
  <c r="C100" i="10"/>
  <c r="C99" i="10"/>
  <c r="C98" i="10"/>
  <c r="C97" i="10"/>
  <c r="C96" i="10"/>
  <c r="C95" i="10"/>
  <c r="C94" i="10"/>
  <c r="C93" i="10"/>
  <c r="C92" i="10"/>
  <c r="C91" i="10"/>
  <c r="C90" i="10"/>
  <c r="C89" i="10"/>
  <c r="C88" i="10"/>
  <c r="C87" i="10"/>
  <c r="C86" i="10"/>
  <c r="C85" i="10"/>
  <c r="C84" i="10"/>
  <c r="C83" i="10"/>
  <c r="C82" i="10"/>
  <c r="C81" i="10"/>
  <c r="C80" i="10"/>
  <c r="C79" i="10"/>
  <c r="C78" i="10"/>
  <c r="C77" i="10"/>
  <c r="C76" i="10"/>
  <c r="C75" i="10"/>
  <c r="C74" i="10"/>
  <c r="C73" i="10"/>
  <c r="C72" i="10"/>
  <c r="C71" i="10"/>
  <c r="C70" i="10"/>
  <c r="C69" i="10"/>
  <c r="C68" i="10"/>
  <c r="C67" i="10"/>
  <c r="C66" i="10"/>
  <c r="C65" i="10"/>
  <c r="C64" i="10"/>
  <c r="C63" i="10"/>
  <c r="C62" i="10"/>
  <c r="C61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E2" i="10"/>
  <c r="D16" i="9"/>
  <c r="D15" i="9"/>
  <c r="D14" i="9"/>
  <c r="D13" i="9"/>
  <c r="D12" i="9"/>
  <c r="D11" i="9"/>
  <c r="D10" i="9"/>
  <c r="D9" i="9"/>
  <c r="D8" i="9"/>
  <c r="D7" i="9"/>
  <c r="D6" i="9"/>
  <c r="D5" i="9"/>
  <c r="D4" i="9"/>
  <c r="C167" i="9"/>
  <c r="C166" i="9"/>
  <c r="C165" i="9"/>
  <c r="C164" i="9"/>
  <c r="C163" i="9"/>
  <c r="C162" i="9"/>
  <c r="C161" i="9"/>
  <c r="C160" i="9"/>
  <c r="C159" i="9"/>
  <c r="C158" i="9"/>
  <c r="C157" i="9"/>
  <c r="C156" i="9"/>
  <c r="C155" i="9"/>
  <c r="C154" i="9"/>
  <c r="C153" i="9"/>
  <c r="C152" i="9"/>
  <c r="C151" i="9"/>
  <c r="C150" i="9"/>
  <c r="C149" i="9"/>
  <c r="C148" i="9"/>
  <c r="C147" i="9"/>
  <c r="C146" i="9"/>
  <c r="C145" i="9"/>
  <c r="C144" i="9"/>
  <c r="C143" i="9"/>
  <c r="C142" i="9"/>
  <c r="C141" i="9"/>
  <c r="C140" i="9"/>
  <c r="C139" i="9"/>
  <c r="C138" i="9"/>
  <c r="C137" i="9"/>
  <c r="C136" i="9"/>
  <c r="C135" i="9"/>
  <c r="C134" i="9"/>
  <c r="C133" i="9"/>
  <c r="C132" i="9"/>
  <c r="C131" i="9"/>
  <c r="C130" i="9"/>
  <c r="C129" i="9"/>
  <c r="C128" i="9"/>
  <c r="C127" i="9"/>
  <c r="C126" i="9"/>
  <c r="C125" i="9"/>
  <c r="C124" i="9"/>
  <c r="C123" i="9"/>
  <c r="C122" i="9"/>
  <c r="C121" i="9"/>
  <c r="C120" i="9"/>
  <c r="C119" i="9"/>
  <c r="C118" i="9"/>
  <c r="C117" i="9"/>
  <c r="C116" i="9"/>
  <c r="C115" i="9"/>
  <c r="C114" i="9"/>
  <c r="C113" i="9"/>
  <c r="C112" i="9"/>
  <c r="C111" i="9"/>
  <c r="C110" i="9"/>
  <c r="C109" i="9"/>
  <c r="C108" i="9"/>
  <c r="C107" i="9"/>
  <c r="C106" i="9"/>
  <c r="C105" i="9"/>
  <c r="C104" i="9"/>
  <c r="C103" i="9"/>
  <c r="C102" i="9"/>
  <c r="C101" i="9"/>
  <c r="C100" i="9"/>
  <c r="C99" i="9"/>
  <c r="C98" i="9"/>
  <c r="C97" i="9"/>
  <c r="C96" i="9"/>
  <c r="C95" i="9"/>
  <c r="C94" i="9"/>
  <c r="C93" i="9"/>
  <c r="C92" i="9"/>
  <c r="C91" i="9"/>
  <c r="C90" i="9"/>
  <c r="C89" i="9"/>
  <c r="C88" i="9"/>
  <c r="C87" i="9"/>
  <c r="C86" i="9"/>
  <c r="C85" i="9"/>
  <c r="C84" i="9"/>
  <c r="C83" i="9"/>
  <c r="C82" i="9"/>
  <c r="C81" i="9"/>
  <c r="C80" i="9"/>
  <c r="C79" i="9"/>
  <c r="C78" i="9"/>
  <c r="C77" i="9"/>
  <c r="C76" i="9"/>
  <c r="C75" i="9"/>
  <c r="C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4" i="9"/>
  <c r="E2" i="9"/>
  <c r="D15" i="8"/>
  <c r="D14" i="8"/>
  <c r="D13" i="8"/>
  <c r="D12" i="8"/>
  <c r="D11" i="8"/>
  <c r="D10" i="8"/>
  <c r="D9" i="8"/>
  <c r="D8" i="8"/>
  <c r="D7" i="8"/>
  <c r="D6" i="8"/>
  <c r="D5" i="8"/>
  <c r="D4" i="8"/>
  <c r="C167" i="8"/>
  <c r="C166" i="8"/>
  <c r="C165" i="8"/>
  <c r="C164" i="8"/>
  <c r="C163" i="8"/>
  <c r="C162" i="8"/>
  <c r="C161" i="8"/>
  <c r="C160" i="8"/>
  <c r="C159" i="8"/>
  <c r="C158" i="8"/>
  <c r="C157" i="8"/>
  <c r="C156" i="8"/>
  <c r="C155" i="8"/>
  <c r="C154" i="8"/>
  <c r="C153" i="8"/>
  <c r="C152" i="8"/>
  <c r="C151" i="8"/>
  <c r="C150" i="8"/>
  <c r="C149" i="8"/>
  <c r="C148" i="8"/>
  <c r="C147" i="8"/>
  <c r="C146" i="8"/>
  <c r="C145" i="8"/>
  <c r="C144" i="8"/>
  <c r="C143" i="8"/>
  <c r="C142" i="8"/>
  <c r="C141" i="8"/>
  <c r="C140" i="8"/>
  <c r="C139" i="8"/>
  <c r="C138" i="8"/>
  <c r="C137" i="8"/>
  <c r="C136" i="8"/>
  <c r="C135" i="8"/>
  <c r="C134" i="8"/>
  <c r="C133" i="8"/>
  <c r="C132" i="8"/>
  <c r="C131" i="8"/>
  <c r="C130" i="8"/>
  <c r="C129" i="8"/>
  <c r="C128" i="8"/>
  <c r="C127" i="8"/>
  <c r="C126" i="8"/>
  <c r="C125" i="8"/>
  <c r="C124" i="8"/>
  <c r="C123" i="8"/>
  <c r="C122" i="8"/>
  <c r="C121" i="8"/>
  <c r="C120" i="8"/>
  <c r="C119" i="8"/>
  <c r="C118" i="8"/>
  <c r="C117" i="8"/>
  <c r="C116" i="8"/>
  <c r="C115" i="8"/>
  <c r="C114" i="8"/>
  <c r="C113" i="8"/>
  <c r="C112" i="8"/>
  <c r="C111" i="8"/>
  <c r="C110" i="8"/>
  <c r="C109" i="8"/>
  <c r="C108" i="8"/>
  <c r="C107" i="8"/>
  <c r="C106" i="8"/>
  <c r="C105" i="8"/>
  <c r="C104" i="8"/>
  <c r="C103" i="8"/>
  <c r="C102" i="8"/>
  <c r="C101" i="8"/>
  <c r="C100" i="8"/>
  <c r="C99" i="8"/>
  <c r="C98" i="8"/>
  <c r="C97" i="8"/>
  <c r="C96" i="8"/>
  <c r="C95" i="8"/>
  <c r="C94" i="8"/>
  <c r="C93" i="8"/>
  <c r="C92" i="8"/>
  <c r="C91" i="8"/>
  <c r="C90" i="8"/>
  <c r="C89" i="8"/>
  <c r="C88" i="8"/>
  <c r="C87" i="8"/>
  <c r="C86" i="8"/>
  <c r="C85" i="8"/>
  <c r="C84" i="8"/>
  <c r="C83" i="8"/>
  <c r="C82" i="8"/>
  <c r="C81" i="8"/>
  <c r="C80" i="8"/>
  <c r="C79" i="8"/>
  <c r="C78" i="8"/>
  <c r="C77" i="8"/>
  <c r="C76" i="8"/>
  <c r="C75" i="8"/>
  <c r="C74" i="8"/>
  <c r="C73" i="8"/>
  <c r="C72" i="8"/>
  <c r="C71" i="8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56" i="8"/>
  <c r="C55" i="8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4" i="8"/>
  <c r="E2" i="8"/>
  <c r="D14" i="7"/>
  <c r="D12" i="7"/>
  <c r="D11" i="7"/>
  <c r="D10" i="7"/>
  <c r="D9" i="7"/>
  <c r="D8" i="7"/>
  <c r="D7" i="7"/>
  <c r="D6" i="7"/>
  <c r="D5" i="7"/>
  <c r="D4" i="7"/>
  <c r="C167" i="7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6" i="7"/>
  <c r="C5" i="7"/>
  <c r="C4" i="7"/>
  <c r="E2" i="7"/>
  <c r="D14" i="6"/>
  <c r="D13" i="6"/>
  <c r="D12" i="6"/>
  <c r="D11" i="6"/>
  <c r="D10" i="6"/>
  <c r="D9" i="6"/>
  <c r="D8" i="6"/>
  <c r="D7" i="6"/>
  <c r="D6" i="6"/>
  <c r="D5" i="6"/>
  <c r="D4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E2" i="6"/>
  <c r="D16" i="5"/>
  <c r="D15" i="5"/>
  <c r="D14" i="5"/>
  <c r="D13" i="5"/>
  <c r="D12" i="5"/>
  <c r="D11" i="5"/>
  <c r="D10" i="5"/>
  <c r="D9" i="5"/>
  <c r="D8" i="5"/>
  <c r="D7" i="5"/>
  <c r="D6" i="5"/>
  <c r="D5" i="5"/>
  <c r="D4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  <c r="D2" i="10" l="1"/>
  <c r="D2" i="9"/>
  <c r="D2" i="11"/>
  <c r="D2" i="8"/>
  <c r="D2" i="7"/>
  <c r="D2" i="6"/>
  <c r="D2" i="5"/>
</calcChain>
</file>

<file path=xl/sharedStrings.xml><?xml version="1.0" encoding="utf-8"?>
<sst xmlns="http://schemas.openxmlformats.org/spreadsheetml/2006/main" count="602" uniqueCount="406">
  <si>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</si>
  <si>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</si>
  <si>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</si>
  <si>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</si>
  <si>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</si>
  <si>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</si>
  <si>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</si>
  <si>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</si>
  <si>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</si>
  <si>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</si>
  <si>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</si>
  <si>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</si>
  <si>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2024-春</t>
  </si>
  <si>
    <t>2024-春</t>
    <rPh sb="5" eb="6">
      <t>ハル</t>
    </rPh>
    <phoneticPr fontId="1"/>
  </si>
  <si>
    <t>PM-1</t>
  </si>
  <si>
    <t>PM-1</t>
    <phoneticPr fontId="1"/>
  </si>
  <si>
    <t>G社ヘルスケア</t>
    <rPh sb="1" eb="2">
      <t>シャ</t>
    </rPh>
    <phoneticPr fontId="1"/>
  </si>
  <si>
    <t>サービスY</t>
    <phoneticPr fontId="1"/>
  </si>
  <si>
    <t>サービスK→サービスL</t>
    <phoneticPr fontId="1"/>
  </si>
  <si>
    <t>1</t>
    <phoneticPr fontId="1"/>
  </si>
  <si>
    <t>セッション非管理</t>
    <rPh sb="5" eb="6">
      <t>ヒ</t>
    </rPh>
    <rPh sb="6" eb="8">
      <t>カンリ</t>
    </rPh>
    <phoneticPr fontId="1"/>
  </si>
  <si>
    <t>文字列Xで認証</t>
    <rPh sb="0" eb="3">
      <t>モジレツ</t>
    </rPh>
    <rPh sb="5" eb="7">
      <t>ニンショウ</t>
    </rPh>
    <phoneticPr fontId="1"/>
  </si>
  <si>
    <t>成功ならJWT</t>
    <rPh sb="0" eb="2">
      <t>セイコウ</t>
    </rPh>
    <phoneticPr fontId="1"/>
  </si>
  <si>
    <t>共通ライブラリPを利用</t>
    <rPh sb="0" eb="2">
      <t>キョウツウ</t>
    </rPh>
    <rPh sb="9" eb="11">
      <t>リヨウ</t>
    </rPh>
    <phoneticPr fontId="1"/>
  </si>
  <si>
    <t>サービスLとMで活用</t>
    <rPh sb="8" eb="10">
      <t>カツヨウ</t>
    </rPh>
    <phoneticPr fontId="1"/>
  </si>
  <si>
    <t>midで利用者</t>
    <rPh sb="4" eb="7">
      <t>リヨウシャ</t>
    </rPh>
    <phoneticPr fontId="1"/>
  </si>
  <si>
    <t>JWTライブラリを利用</t>
    <rPh sb="9" eb="11">
      <t>リヨウ</t>
    </rPh>
    <phoneticPr fontId="1"/>
  </si>
  <si>
    <t>JWTスキーム</t>
    <phoneticPr fontId="1"/>
  </si>
  <si>
    <t xml:space="preserve">gaibu </t>
    <phoneticPr fontId="1"/>
  </si>
  <si>
    <t xml:space="preserve">gakushuu </t>
    <phoneticPr fontId="1"/>
  </si>
  <si>
    <t xml:space="preserve">sa-bisu </t>
    <phoneticPr fontId="1"/>
  </si>
  <si>
    <t>脆弱性診断</t>
    <rPh sb="0" eb="3">
      <t>ゼイジャクセイ</t>
    </rPh>
    <rPh sb="3" eb="5">
      <t>シンダン</t>
    </rPh>
    <phoneticPr fontId="1"/>
  </si>
  <si>
    <t>2-1</t>
    <phoneticPr fontId="1"/>
  </si>
  <si>
    <t>RS256</t>
    <phoneticPr fontId="1"/>
  </si>
  <si>
    <t>2-2</t>
    <phoneticPr fontId="1"/>
  </si>
  <si>
    <t>ライブラリQ:JWT管理ライブラリ</t>
    <rPh sb="10" eb="12">
      <t>カンリ</t>
    </rPh>
    <phoneticPr fontId="1"/>
  </si>
  <si>
    <t>LDAPリクエストW</t>
    <phoneticPr fontId="1"/>
  </si>
  <si>
    <t>JWTに設定されたalgの値</t>
    <rPh sb="4" eb="6">
      <t>セッテイ</t>
    </rPh>
    <rPh sb="13" eb="14">
      <t>アタイ</t>
    </rPh>
    <phoneticPr fontId="1"/>
  </si>
  <si>
    <t>Noneでないことを確認する</t>
    <rPh sb="10" eb="12">
      <t>カクニン</t>
    </rPh>
    <phoneticPr fontId="1"/>
  </si>
  <si>
    <t>2-3</t>
    <phoneticPr fontId="1"/>
  </si>
  <si>
    <t>通信モジュールP</t>
    <rPh sb="0" eb="2">
      <t>ツウシン</t>
    </rPh>
    <phoneticPr fontId="1"/>
  </si>
  <si>
    <t>サービスLに定義</t>
    <rPh sb="6" eb="8">
      <t>テイギ</t>
    </rPh>
    <phoneticPr fontId="1"/>
  </si>
  <si>
    <t>サービスMをcall</t>
    <phoneticPr fontId="1"/>
  </si>
  <si>
    <t>JWTに含まれる利用者IDとmidが一致するかを確認する</t>
    <rPh sb="4" eb="5">
      <t>フク</t>
    </rPh>
    <rPh sb="8" eb="11">
      <t>リヨウシャ</t>
    </rPh>
    <rPh sb="18" eb="20">
      <t>イッチ</t>
    </rPh>
    <rPh sb="24" eb="26">
      <t>カクニン</t>
    </rPh>
    <phoneticPr fontId="1"/>
  </si>
  <si>
    <t>2-4</t>
    <phoneticPr fontId="1"/>
  </si>
  <si>
    <t>利用者API</t>
    <rPh sb="0" eb="3">
      <t>リヨウシャ</t>
    </rPh>
    <phoneticPr fontId="1"/>
  </si>
  <si>
    <t>2-5</t>
    <phoneticPr fontId="1"/>
  </si>
  <si>
    <t>連続で失敗した回数が閾値を超えたらロックアウトする機能</t>
    <rPh sb="0" eb="2">
      <t>レンゾク</t>
    </rPh>
    <rPh sb="3" eb="5">
      <t>シッパイ</t>
    </rPh>
    <rPh sb="7" eb="9">
      <t>カイスウ</t>
    </rPh>
    <rPh sb="10" eb="12">
      <t>シキイチ</t>
    </rPh>
    <rPh sb="13" eb="14">
      <t>コ</t>
    </rPh>
    <rPh sb="25" eb="27">
      <t>キノウ</t>
    </rPh>
    <phoneticPr fontId="1"/>
  </si>
  <si>
    <t>3-1</t>
    <phoneticPr fontId="1"/>
  </si>
  <si>
    <t>jndi</t>
    <phoneticPr fontId="1"/>
  </si>
  <si>
    <t>テストサーバーのindexファイルへのアクセスを記録する仕組み。</t>
    <rPh sb="24" eb="26">
      <t>キロク</t>
    </rPh>
    <rPh sb="28" eb="30">
      <t>シク</t>
    </rPh>
    <phoneticPr fontId="1"/>
  </si>
  <si>
    <t>3-2</t>
    <phoneticPr fontId="1"/>
  </si>
  <si>
    <t>c: ANY</t>
    <phoneticPr fontId="1"/>
  </si>
  <si>
    <t>d: ANY</t>
    <phoneticPr fontId="1"/>
  </si>
  <si>
    <t>3-3</t>
    <phoneticPr fontId="1"/>
  </si>
  <si>
    <t>\W[jJ][nN][dD][iI]\W</t>
    <phoneticPr fontId="1"/>
  </si>
  <si>
    <t>3-4</t>
    <phoneticPr fontId="1"/>
  </si>
  <si>
    <t>誤検知による遮断を防ぐことが出来る</t>
    <rPh sb="0" eb="3">
      <t>ゴケンチ</t>
    </rPh>
    <rPh sb="6" eb="8">
      <t>シャダン</t>
    </rPh>
    <rPh sb="9" eb="10">
      <t>フセ</t>
    </rPh>
    <rPh sb="14" eb="16">
      <t>デキ</t>
    </rPh>
    <phoneticPr fontId="1"/>
  </si>
  <si>
    <t>アラートが出た場合に、攻撃かを確認する</t>
    <rPh sb="5" eb="6">
      <t>デ</t>
    </rPh>
    <rPh sb="7" eb="9">
      <t>バアイ</t>
    </rPh>
    <rPh sb="11" eb="13">
      <t>コウゲキ</t>
    </rPh>
    <rPh sb="15" eb="17">
      <t>カクニン</t>
    </rPh>
    <phoneticPr fontId="1"/>
  </si>
  <si>
    <t>PM-2</t>
  </si>
  <si>
    <t>PM-2</t>
    <phoneticPr fontId="1"/>
  </si>
  <si>
    <t>H社</t>
    <rPh sb="1" eb="2">
      <t>シャ</t>
    </rPh>
    <phoneticPr fontId="1"/>
  </si>
  <si>
    <t>HTTPSでアクセス</t>
    <phoneticPr fontId="1"/>
  </si>
  <si>
    <t>ID＋PWでログイン</t>
    <phoneticPr fontId="1"/>
  </si>
  <si>
    <t>H-PC</t>
    <phoneticPr fontId="1"/>
  </si>
  <si>
    <t>リモート接続用PC</t>
    <rPh sb="4" eb="7">
      <t>セツゾクヨウ</t>
    </rPh>
    <phoneticPr fontId="1"/>
  </si>
  <si>
    <t>VPN-GW</t>
    <phoneticPr fontId="1"/>
  </si>
  <si>
    <t>VPN-N</t>
    <phoneticPr fontId="1"/>
  </si>
  <si>
    <t>FW機能</t>
    <rPh sb="2" eb="4">
      <t>キノウ</t>
    </rPh>
    <phoneticPr fontId="1"/>
  </si>
  <si>
    <t>IPとポート</t>
    <phoneticPr fontId="1"/>
  </si>
  <si>
    <t>IPS機能アノマリとシグネチャ</t>
    <rPh sb="3" eb="5">
      <t>キノウ</t>
    </rPh>
    <phoneticPr fontId="1"/>
  </si>
  <si>
    <t>VPNダイアログ</t>
    <phoneticPr fontId="1"/>
  </si>
  <si>
    <t>多要素認証</t>
    <rPh sb="0" eb="5">
      <t>タヨウソニンショウ</t>
    </rPh>
    <phoneticPr fontId="1"/>
  </si>
  <si>
    <t>DDoS攻撃の被害</t>
    <rPh sb="4" eb="6">
      <t>コウゲキ</t>
    </rPh>
    <rPh sb="7" eb="9">
      <t>ヒガイ</t>
    </rPh>
    <phoneticPr fontId="1"/>
  </si>
  <si>
    <t>脆弱性を利用する</t>
    <rPh sb="0" eb="3">
      <t>ゼイジャクセイ</t>
    </rPh>
    <rPh sb="4" eb="6">
      <t>リヨウ</t>
    </rPh>
    <phoneticPr fontId="1"/>
  </si>
  <si>
    <t>ステルス</t>
    <phoneticPr fontId="1"/>
  </si>
  <si>
    <t>VPN-Hへのアクセスは多要素認証</t>
    <rPh sb="12" eb="15">
      <t>タヨウソ</t>
    </rPh>
    <rPh sb="15" eb="17">
      <t>ニンショウ</t>
    </rPh>
    <phoneticPr fontId="1"/>
  </si>
  <si>
    <t>1-1</t>
    <phoneticPr fontId="1"/>
  </si>
  <si>
    <t>公開webサーバーに対して、大量のHTTP GETリクエストを大量に送信する</t>
    <rPh sb="0" eb="2">
      <t>コウカイ</t>
    </rPh>
    <rPh sb="10" eb="11">
      <t>タイ</t>
    </rPh>
    <rPh sb="14" eb="16">
      <t>タイリョウ</t>
    </rPh>
    <rPh sb="31" eb="33">
      <t>タイリョウ</t>
    </rPh>
    <rPh sb="34" eb="36">
      <t>ソウシン</t>
    </rPh>
    <phoneticPr fontId="1"/>
  </si>
  <si>
    <t>1-2</t>
    <phoneticPr fontId="1"/>
  </si>
  <si>
    <t>正常の通信のみの場合でも、攻撃と誤検知してしまう。</t>
    <rPh sb="0" eb="2">
      <t>セイジョウ</t>
    </rPh>
    <rPh sb="3" eb="5">
      <t>ツウシン</t>
    </rPh>
    <rPh sb="8" eb="10">
      <t>バアイ</t>
    </rPh>
    <rPh sb="13" eb="15">
      <t>コウゲキ</t>
    </rPh>
    <rPh sb="16" eb="19">
      <t>ゴケンチ</t>
    </rPh>
    <phoneticPr fontId="1"/>
  </si>
  <si>
    <t>1-3</t>
    <phoneticPr fontId="1"/>
  </si>
  <si>
    <t>DNS-K:権威</t>
    <rPh sb="6" eb="8">
      <t>ケンイ</t>
    </rPh>
    <phoneticPr fontId="1"/>
  </si>
  <si>
    <t>DNS-F：リゾルバ</t>
    <phoneticPr fontId="1"/>
  </si>
  <si>
    <t>b: DNS-K</t>
    <phoneticPr fontId="1"/>
  </si>
  <si>
    <t>c: DNS-F</t>
    <phoneticPr fontId="1"/>
  </si>
  <si>
    <t>d: 攻撃者が、利用者の入力した情報を正規のwebサイトに入力する。正規利用者のデバイスにセキュリティコードが送付される。</t>
    <rPh sb="3" eb="6">
      <t>コウゲキシャ</t>
    </rPh>
    <rPh sb="8" eb="11">
      <t>リヨウシャ</t>
    </rPh>
    <rPh sb="12" eb="14">
      <t>ニュウリョク</t>
    </rPh>
    <rPh sb="16" eb="18">
      <t>ジョウホウ</t>
    </rPh>
    <rPh sb="19" eb="21">
      <t>セイキ</t>
    </rPh>
    <rPh sb="29" eb="31">
      <t>ニュウリョク</t>
    </rPh>
    <rPh sb="34" eb="39">
      <t>セイキリヨウシャ</t>
    </rPh>
    <rPh sb="55" eb="57">
      <t>ソウフ</t>
    </rPh>
    <phoneticPr fontId="1"/>
  </si>
  <si>
    <t>e: 偽のセキュリティコード入力の画面を表示して、正規利用者にセキュリティコードを入力する。攻撃者は入力値を、正規のセキュリティコード入力画面に入力する。</t>
    <rPh sb="3" eb="4">
      <t>ニセ</t>
    </rPh>
    <rPh sb="14" eb="16">
      <t>ニュウリョク</t>
    </rPh>
    <rPh sb="17" eb="19">
      <t>ガメン</t>
    </rPh>
    <rPh sb="20" eb="22">
      <t>ヒョウジ</t>
    </rPh>
    <rPh sb="25" eb="30">
      <t>セイキリヨウシャ</t>
    </rPh>
    <rPh sb="41" eb="43">
      <t>ニュウリョク</t>
    </rPh>
    <rPh sb="46" eb="49">
      <t>コウゲキシャ</t>
    </rPh>
    <rPh sb="50" eb="52">
      <t>ニュウリョク</t>
    </rPh>
    <rPh sb="52" eb="53">
      <t>アタイ</t>
    </rPh>
    <rPh sb="55" eb="57">
      <t>セイキ</t>
    </rPh>
    <rPh sb="67" eb="69">
      <t>ニュウリョク</t>
    </rPh>
    <rPh sb="69" eb="71">
      <t>ガメン</t>
    </rPh>
    <rPh sb="72" eb="74">
      <t>ニュウリョク</t>
    </rPh>
    <phoneticPr fontId="1"/>
  </si>
  <si>
    <t>認証情報の入力は、VPNクライアントソフトの画面のみに入力し、webブラウザの画面に対しては行わない。</t>
    <rPh sb="0" eb="2">
      <t>ニンショウ</t>
    </rPh>
    <rPh sb="2" eb="4">
      <t>ジョウホウ</t>
    </rPh>
    <rPh sb="5" eb="7">
      <t>ニュウリョク</t>
    </rPh>
    <rPh sb="22" eb="24">
      <t>ガメン</t>
    </rPh>
    <rPh sb="27" eb="29">
      <t>ニュウリョク</t>
    </rPh>
    <rPh sb="39" eb="41">
      <t>ガメン</t>
    </rPh>
    <rPh sb="42" eb="43">
      <t>タイ</t>
    </rPh>
    <rPh sb="46" eb="47">
      <t>オコナ</t>
    </rPh>
    <phoneticPr fontId="1"/>
  </si>
  <si>
    <t>取得したパケットの順番通りに、通信要求を送信する</t>
    <rPh sb="0" eb="2">
      <t>シュトク</t>
    </rPh>
    <rPh sb="9" eb="11">
      <t>ジュンバン</t>
    </rPh>
    <rPh sb="11" eb="12">
      <t>トオ</t>
    </rPh>
    <rPh sb="15" eb="17">
      <t>ツウシン</t>
    </rPh>
    <rPh sb="17" eb="19">
      <t>ヨウキュウ</t>
    </rPh>
    <rPh sb="20" eb="22">
      <t>ソウシン</t>
    </rPh>
    <phoneticPr fontId="1"/>
  </si>
  <si>
    <t>先行するランダム値をそのまま利用すると、パケットが破棄されるため。</t>
    <rPh sb="0" eb="2">
      <t>センコウ</t>
    </rPh>
    <rPh sb="8" eb="9">
      <t>アタイ</t>
    </rPh>
    <rPh sb="14" eb="16">
      <t>リヨウ</t>
    </rPh>
    <rPh sb="25" eb="27">
      <t>ハキ</t>
    </rPh>
    <phoneticPr fontId="1"/>
  </si>
  <si>
    <t>4-1</t>
    <phoneticPr fontId="1"/>
  </si>
  <si>
    <t>DDoS対策をゆするCDNサービス</t>
    <rPh sb="4" eb="6">
      <t>タイサク</t>
    </rPh>
    <phoneticPr fontId="1"/>
  </si>
  <si>
    <t>4-2</t>
    <phoneticPr fontId="1"/>
  </si>
  <si>
    <t>VPN経由でない通信をすべてUTMにて拒否することが出来るため</t>
    <rPh sb="3" eb="5">
      <t>ケイユ</t>
    </rPh>
    <rPh sb="8" eb="10">
      <t>ツウシン</t>
    </rPh>
    <rPh sb="19" eb="21">
      <t>キョヒ</t>
    </rPh>
    <rPh sb="26" eb="28">
      <t>デキ</t>
    </rPh>
    <phoneticPr fontId="1"/>
  </si>
  <si>
    <t>UTMの設定変更によって、ボットネットからの通信が遮断されるため</t>
    <rPh sb="4" eb="6">
      <t>セッテイ</t>
    </rPh>
    <rPh sb="6" eb="8">
      <t>ヘンコウ</t>
    </rPh>
    <rPh sb="22" eb="24">
      <t>ツウシン</t>
    </rPh>
    <rPh sb="25" eb="27">
      <t>シャダン</t>
    </rPh>
    <phoneticPr fontId="1"/>
  </si>
  <si>
    <t>S</t>
    <phoneticPr fontId="1"/>
  </si>
  <si>
    <t>ステートレス</t>
    <phoneticPr fontId="1"/>
  </si>
  <si>
    <t>共通モジュールP</t>
    <rPh sb="0" eb="2">
      <t>キョウツウ</t>
    </rPh>
    <phoneticPr fontId="1"/>
  </si>
  <si>
    <t>テストサーバーのindex.htmlにアクセスされたかを確認する</t>
    <rPh sb="28" eb="30">
      <t>カクニン</t>
    </rPh>
    <phoneticPr fontId="1"/>
  </si>
  <si>
    <t>e: Header</t>
    <phoneticPr fontId="1"/>
  </si>
  <si>
    <t>f: Header</t>
    <phoneticPr fontId="1"/>
  </si>
  <si>
    <t>認証用の情報はwebアプリには入力せず、VPNクライアントソフトのみに入力する。</t>
    <rPh sb="0" eb="2">
      <t>ニンショウ</t>
    </rPh>
    <rPh sb="2" eb="3">
      <t>ヨウ</t>
    </rPh>
    <rPh sb="4" eb="6">
      <t>ジョウホウ</t>
    </rPh>
    <rPh sb="15" eb="17">
      <t>ニュウリョク</t>
    </rPh>
    <rPh sb="35" eb="37">
      <t>ニュウリョク</t>
    </rPh>
    <phoneticPr fontId="1"/>
  </si>
  <si>
    <t>受信したパケットをそのまま転送しても、パケットが破棄されるため</t>
    <rPh sb="0" eb="2">
      <t>ジュシン</t>
    </rPh>
    <rPh sb="13" eb="15">
      <t>テンソウ</t>
    </rPh>
    <rPh sb="24" eb="26">
      <t>ハキ</t>
    </rPh>
    <phoneticPr fontId="1"/>
  </si>
  <si>
    <t>Ddos対策を行っているＣＤＮサービス</t>
    <rPh sb="4" eb="6">
      <t>タイサク</t>
    </rPh>
    <rPh sb="7" eb="8">
      <t>オコナ</t>
    </rPh>
    <phoneticPr fontId="1"/>
  </si>
  <si>
    <t>2024-秋</t>
  </si>
  <si>
    <t>2024-秋</t>
    <rPh sb="5" eb="6">
      <t>アキ</t>
    </rPh>
    <phoneticPr fontId="1"/>
  </si>
  <si>
    <t>Lはソフト</t>
    <phoneticPr fontId="1"/>
  </si>
  <si>
    <t>E社SaaS</t>
    <rPh sb="1" eb="2">
      <t>シャ</t>
    </rPh>
    <phoneticPr fontId="1"/>
  </si>
  <si>
    <t>ドメインサーバ</t>
    <phoneticPr fontId="1"/>
  </si>
  <si>
    <t>IDとPW</t>
    <phoneticPr fontId="1"/>
  </si>
  <si>
    <t>Qプログラム</t>
    <phoneticPr fontId="1"/>
  </si>
  <si>
    <t>L社内ホストよりInet</t>
    <rPh sb="1" eb="3">
      <t>シャナイ</t>
    </rPh>
    <phoneticPr fontId="1"/>
  </si>
  <si>
    <t>フィルタリング</t>
    <phoneticPr fontId="1"/>
  </si>
  <si>
    <t>URLフィルタリングでアクセス許可</t>
    <rPh sb="15" eb="17">
      <t>キョカ</t>
    </rPh>
    <phoneticPr fontId="1"/>
  </si>
  <si>
    <t>ドメインユーザーごと</t>
    <phoneticPr fontId="1"/>
  </si>
  <si>
    <t>ベンダ拒否リスト</t>
    <rPh sb="3" eb="5">
      <t>キョヒ</t>
    </rPh>
    <phoneticPr fontId="1"/>
  </si>
  <si>
    <t>◎ウェソフト</t>
    <phoneticPr fontId="1"/>
  </si>
  <si>
    <t>シンクライアントPCよりRDP</t>
    <phoneticPr fontId="1"/>
  </si>
  <si>
    <t>ローカルアドミニストレータ</t>
    <phoneticPr fontId="1"/>
  </si>
  <si>
    <t>PC-xはホスト名を持つ</t>
    <rPh sb="8" eb="9">
      <t>メイ</t>
    </rPh>
    <rPh sb="10" eb="11">
      <t>モ</t>
    </rPh>
    <phoneticPr fontId="1"/>
  </si>
  <si>
    <t>Fツールの開発</t>
    <rPh sb="5" eb="7">
      <t>カイハツ</t>
    </rPh>
    <phoneticPr fontId="1"/>
  </si>
  <si>
    <t>ログ、レジストリの証拠データを収集</t>
    <rPh sb="9" eb="11">
      <t>ショウコ</t>
    </rPh>
    <rPh sb="15" eb="17">
      <t>シュウシュウ</t>
    </rPh>
    <phoneticPr fontId="1"/>
  </si>
  <si>
    <t>ディスクイメージ</t>
    <phoneticPr fontId="1"/>
  </si>
  <si>
    <t>PC-A</t>
    <phoneticPr fontId="1"/>
  </si>
  <si>
    <t>プロキシサービスの通信ログ調査</t>
    <rPh sb="9" eb="11">
      <t>ツウシン</t>
    </rPh>
    <rPh sb="13" eb="15">
      <t>チョウサ</t>
    </rPh>
    <phoneticPr fontId="1"/>
  </si>
  <si>
    <t>PC-C</t>
    <phoneticPr fontId="1"/>
  </si>
  <si>
    <t>filesv</t>
    <phoneticPr fontId="1"/>
  </si>
  <si>
    <t>ad01\user019</t>
    <phoneticPr fontId="1"/>
  </si>
  <si>
    <t>1-4</t>
    <phoneticPr fontId="1"/>
  </si>
  <si>
    <t>無効化</t>
    <rPh sb="0" eb="3">
      <t>ムコウカ</t>
    </rPh>
    <phoneticPr fontId="1"/>
  </si>
  <si>
    <t>1-5</t>
    <phoneticPr fontId="1"/>
  </si>
  <si>
    <t>管理者拒否リストに、すべてのドメインユーザーに対して、https://△△.△.com.、https://〇〇.〇.com.、https://□.□.□.com.を登録する。</t>
    <rPh sb="0" eb="3">
      <t>カンリシャ</t>
    </rPh>
    <rPh sb="3" eb="5">
      <t>キョヒ</t>
    </rPh>
    <rPh sb="23" eb="24">
      <t>タイ</t>
    </rPh>
    <rPh sb="82" eb="84">
      <t>トウロク</t>
    </rPh>
    <phoneticPr fontId="1"/>
  </si>
  <si>
    <t>1-6</t>
    <phoneticPr fontId="1"/>
  </si>
  <si>
    <t>https://△△.△.com/へ接続を試みたPCがほかにないかをtime.csvより確認する。</t>
    <rPh sb="18" eb="20">
      <t>セツゾク</t>
    </rPh>
    <rPh sb="21" eb="22">
      <t>ココロ</t>
    </rPh>
    <rPh sb="44" eb="46">
      <t>カクニン</t>
    </rPh>
    <phoneticPr fontId="1"/>
  </si>
  <si>
    <t>1-7</t>
    <phoneticPr fontId="1"/>
  </si>
  <si>
    <t>i.ps1の動作</t>
    <rPh sb="6" eb="8">
      <t>ドウサ</t>
    </rPh>
    <phoneticPr fontId="1"/>
  </si>
  <si>
    <t>１２・６niDL</t>
    <phoneticPr fontId="1"/>
  </si>
  <si>
    <t>pingでホストを探索</t>
    <rPh sb="9" eb="11">
      <t>タンサク</t>
    </rPh>
    <phoneticPr fontId="1"/>
  </si>
  <si>
    <t>PC-A以外に、他ホストPCに対して、RDPを試みているPCがないか</t>
    <rPh sb="4" eb="6">
      <t>イガイ</t>
    </rPh>
    <rPh sb="8" eb="9">
      <t>ホカ</t>
    </rPh>
    <rPh sb="15" eb="16">
      <t>タイ</t>
    </rPh>
    <rPh sb="23" eb="24">
      <t>ココロ</t>
    </rPh>
    <phoneticPr fontId="1"/>
  </si>
  <si>
    <t>1-8</t>
    <phoneticPr fontId="1"/>
  </si>
  <si>
    <t>・マルウェア対策ソフトが停止されたホストPCがないかを検出する。</t>
    <rPh sb="6" eb="8">
      <t>タイサク</t>
    </rPh>
    <rPh sb="12" eb="14">
      <t>テイシ</t>
    </rPh>
    <rPh sb="27" eb="29">
      <t>ケンシュツ</t>
    </rPh>
    <phoneticPr fontId="1"/>
  </si>
  <si>
    <t>・他PCに対してRDP接続を繰り替えてしているホストPCがないかを検出する。</t>
    <rPh sb="1" eb="2">
      <t>ホカ</t>
    </rPh>
    <rPh sb="5" eb="6">
      <t>タイ</t>
    </rPh>
    <rPh sb="11" eb="13">
      <t>セツゾク</t>
    </rPh>
    <rPh sb="14" eb="15">
      <t>ク</t>
    </rPh>
    <rPh sb="16" eb="17">
      <t>カ</t>
    </rPh>
    <rPh sb="33" eb="35">
      <t>ケンシュツ</t>
    </rPh>
    <phoneticPr fontId="1"/>
  </si>
  <si>
    <t>2</t>
    <phoneticPr fontId="1"/>
  </si>
  <si>
    <t>マルウェア感染への対策以外に技術的対策</t>
    <rPh sb="5" eb="7">
      <t>カンセン</t>
    </rPh>
    <rPh sb="9" eb="11">
      <t>タイサク</t>
    </rPh>
    <rPh sb="11" eb="13">
      <t>イガイ</t>
    </rPh>
    <rPh sb="14" eb="17">
      <t>ギジュツテキ</t>
    </rPh>
    <rPh sb="17" eb="19">
      <t>タイサク</t>
    </rPh>
    <phoneticPr fontId="1"/>
  </si>
  <si>
    <t>他PCに対するRDP接続する際に、接続元の制限を行う</t>
    <rPh sb="0" eb="1">
      <t>ホカ</t>
    </rPh>
    <rPh sb="4" eb="5">
      <t>タイ</t>
    </rPh>
    <rPh sb="10" eb="12">
      <t>セツゾク</t>
    </rPh>
    <rPh sb="14" eb="15">
      <t>サイ</t>
    </rPh>
    <rPh sb="17" eb="20">
      <t>セツゾクモト</t>
    </rPh>
    <rPh sb="21" eb="23">
      <t>セイゲン</t>
    </rPh>
    <rPh sb="24" eb="25">
      <t>オコナ</t>
    </rPh>
    <phoneticPr fontId="1"/>
  </si>
  <si>
    <t>社外に対して、容量の大きいファイルのアップロードに通信制限をかける。</t>
    <rPh sb="0" eb="2">
      <t>シャガイ</t>
    </rPh>
    <rPh sb="3" eb="4">
      <t>タイ</t>
    </rPh>
    <rPh sb="7" eb="9">
      <t>ヨウリョウ</t>
    </rPh>
    <rPh sb="10" eb="11">
      <t>オオ</t>
    </rPh>
    <rPh sb="25" eb="27">
      <t>ツウシン</t>
    </rPh>
    <rPh sb="27" eb="29">
      <t>セイゲン</t>
    </rPh>
    <phoneticPr fontId="1"/>
  </si>
  <si>
    <t>DLPによりファイル持ち出しを制限する</t>
    <rPh sb="10" eb="11">
      <t>モ</t>
    </rPh>
    <rPh sb="12" eb="13">
      <t>ダ</t>
    </rPh>
    <rPh sb="15" eb="17">
      <t>セイゲン</t>
    </rPh>
    <phoneticPr fontId="1"/>
  </si>
  <si>
    <t>ドメイン名変更</t>
    <rPh sb="4" eb="5">
      <t>メイ</t>
    </rPh>
    <rPh sb="5" eb="7">
      <t>ヘンコウ</t>
    </rPh>
    <phoneticPr fontId="1"/>
  </si>
  <si>
    <t>工作機械</t>
    <rPh sb="0" eb="4">
      <t>コウサクキカイ</t>
    </rPh>
    <phoneticPr fontId="1"/>
  </si>
  <si>
    <t>IRとリンク</t>
    <phoneticPr fontId="1"/>
  </si>
  <si>
    <t>ソフトを提供</t>
    <rPh sb="4" eb="6">
      <t>テイキョウ</t>
    </rPh>
    <phoneticPr fontId="1"/>
  </si>
  <si>
    <t>電子メール</t>
    <rPh sb="0" eb="2">
      <t>デンシ</t>
    </rPh>
    <phoneticPr fontId="1"/>
  </si>
  <si>
    <t>A社メールが送られている</t>
    <rPh sb="1" eb="2">
      <t>シャ</t>
    </rPh>
    <rPh sb="6" eb="7">
      <t>オク</t>
    </rPh>
    <phoneticPr fontId="1"/>
  </si>
  <si>
    <t>S社サービス</t>
    <rPh sb="1" eb="2">
      <t>シャ</t>
    </rPh>
    <phoneticPr fontId="1"/>
  </si>
  <si>
    <t>A社ドメイン名</t>
    <rPh sb="1" eb="2">
      <t>シャ</t>
    </rPh>
    <rPh sb="6" eb="7">
      <t>メイ</t>
    </rPh>
    <phoneticPr fontId="1"/>
  </si>
  <si>
    <t>周囲の記載法もしっかりと見よう</t>
    <rPh sb="0" eb="2">
      <t>シュウイ</t>
    </rPh>
    <rPh sb="3" eb="6">
      <t>キサイホウ</t>
    </rPh>
    <rPh sb="12" eb="13">
      <t>ミ</t>
    </rPh>
    <phoneticPr fontId="1"/>
  </si>
  <si>
    <t>DNSサービスは外部</t>
    <rPh sb="8" eb="10">
      <t>ガイブ</t>
    </rPh>
    <phoneticPr fontId="1"/>
  </si>
  <si>
    <t>すべて</t>
    <phoneticPr fontId="1"/>
  </si>
  <si>
    <t>社名変更</t>
    <rPh sb="0" eb="2">
      <t>シャメイ</t>
    </rPh>
    <rPh sb="2" eb="4">
      <t>ヘンコウ</t>
    </rPh>
    <phoneticPr fontId="1"/>
  </si>
  <si>
    <t>Zドメインサイトを立ち上げる</t>
    <rPh sb="9" eb="10">
      <t>タ</t>
    </rPh>
    <rPh sb="11" eb="12">
      <t>ア</t>
    </rPh>
    <phoneticPr fontId="1"/>
  </si>
  <si>
    <t>DKIM署名を追加</t>
    <rPh sb="4" eb="6">
      <t>ショメイ</t>
    </rPh>
    <rPh sb="7" eb="9">
      <t>ツイカ</t>
    </rPh>
    <phoneticPr fontId="1"/>
  </si>
  <si>
    <t>SPFとDKIMのどちらか</t>
    <phoneticPr fontId="1"/>
  </si>
  <si>
    <t>メール確率と拒否</t>
    <rPh sb="3" eb="5">
      <t>カクリツ</t>
    </rPh>
    <rPh sb="6" eb="8">
      <t>キョヒ</t>
    </rPh>
    <phoneticPr fontId="1"/>
  </si>
  <si>
    <t>SMTPS</t>
    <phoneticPr fontId="1"/>
  </si>
  <si>
    <t>利用者アカウントの登録を行う</t>
    <rPh sb="0" eb="3">
      <t>リヨウシャ</t>
    </rPh>
    <rPh sb="9" eb="11">
      <t>トウロク</t>
    </rPh>
    <rPh sb="12" eb="13">
      <t>オコナ</t>
    </rPh>
    <phoneticPr fontId="1"/>
  </si>
  <si>
    <t>Z-Webサイトに同一構成で配置</t>
    <rPh sb="9" eb="11">
      <t>ドウイツ</t>
    </rPh>
    <rPh sb="11" eb="13">
      <t>コウセイ</t>
    </rPh>
    <rPh sb="14" eb="16">
      <t>ハイチ</t>
    </rPh>
    <phoneticPr fontId="1"/>
  </si>
  <si>
    <t>コンテンツを書き換える</t>
    <rPh sb="6" eb="7">
      <t>カ</t>
    </rPh>
    <rPh sb="8" eb="9">
      <t>カ</t>
    </rPh>
    <phoneticPr fontId="1"/>
  </si>
  <si>
    <t>サービス移管</t>
    <rPh sb="4" eb="6">
      <t>イカン</t>
    </rPh>
    <phoneticPr fontId="1"/>
  </si>
  <si>
    <t>A-web→Z-webにリダイレクト</t>
    <phoneticPr fontId="1"/>
  </si>
  <si>
    <t>オ</t>
    <phoneticPr fontId="1"/>
  </si>
  <si>
    <t>イ</t>
    <phoneticPr fontId="1"/>
  </si>
  <si>
    <t>正式のソフトウェアを装った攻撃プログラムをダウンロードさせる</t>
    <rPh sb="0" eb="2">
      <t>セイシキ</t>
    </rPh>
    <rPh sb="10" eb="11">
      <t>ヨソオ</t>
    </rPh>
    <rPh sb="13" eb="15">
      <t>コウゲキ</t>
    </rPh>
    <phoneticPr fontId="1"/>
  </si>
  <si>
    <t>会社の業務内容と関係者の宛先が記載されている</t>
    <rPh sb="0" eb="2">
      <t>カイシャ</t>
    </rPh>
    <rPh sb="3" eb="5">
      <t>ギョウム</t>
    </rPh>
    <rPh sb="5" eb="7">
      <t>ナイヨウ</t>
    </rPh>
    <rPh sb="8" eb="11">
      <t>カンケイシャ</t>
    </rPh>
    <rPh sb="12" eb="14">
      <t>アテサキ</t>
    </rPh>
    <rPh sb="15" eb="17">
      <t>キサイ</t>
    </rPh>
    <phoneticPr fontId="1"/>
  </si>
  <si>
    <t>本人に成りすまして、関係者とやり取りを行い、機密情報を盗み出す。</t>
    <rPh sb="0" eb="2">
      <t>ホンニン</t>
    </rPh>
    <rPh sb="3" eb="4">
      <t>ナ</t>
    </rPh>
    <rPh sb="10" eb="13">
      <t>カンケイシャ</t>
    </rPh>
    <rPh sb="16" eb="17">
      <t>ト</t>
    </rPh>
    <rPh sb="19" eb="20">
      <t>オコナ</t>
    </rPh>
    <rPh sb="22" eb="26">
      <t>キミツジョウホウ</t>
    </rPh>
    <rPh sb="27" eb="28">
      <t>ヌス</t>
    </rPh>
    <rPh sb="29" eb="30">
      <t>ダ</t>
    </rPh>
    <phoneticPr fontId="1"/>
  </si>
  <si>
    <t>4-3</t>
    <phoneticPr fontId="1"/>
  </si>
  <si>
    <t>エ</t>
    <phoneticPr fontId="1"/>
  </si>
  <si>
    <t>DMARCレポート</t>
    <phoneticPr fontId="1"/>
  </si>
  <si>
    <t>5-1</t>
    <phoneticPr fontId="1"/>
  </si>
  <si>
    <t>SPFレコードに、Tサービスのメール送信元IPアドレスを追加する。</t>
    <rPh sb="18" eb="21">
      <t>ソウシンモト</t>
    </rPh>
    <rPh sb="28" eb="30">
      <t>ツイカ</t>
    </rPh>
    <phoneticPr fontId="1"/>
  </si>
  <si>
    <t>5-2</t>
    <phoneticPr fontId="1"/>
  </si>
  <si>
    <t>SPFレコードにYサービス情報が登録されていない状態で、メールがYサービスより送付される。</t>
    <rPh sb="13" eb="15">
      <t>ジョウホウ</t>
    </rPh>
    <rPh sb="16" eb="18">
      <t>トウロク</t>
    </rPh>
    <rPh sb="24" eb="26">
      <t>ジョウタイ</t>
    </rPh>
    <rPh sb="39" eb="41">
      <t>ソウフ</t>
    </rPh>
    <phoneticPr fontId="1"/>
  </si>
  <si>
    <t>DKIMレコードのhタグにsubjectが含まれているのに、Yサービスメールのsubjectが変わる</t>
    <rPh sb="21" eb="22">
      <t>フク</t>
    </rPh>
    <rPh sb="47" eb="48">
      <t>カ</t>
    </rPh>
    <phoneticPr fontId="1"/>
  </si>
  <si>
    <t>1-6</t>
  </si>
  <si>
    <t>1-7</t>
  </si>
  <si>
    <t>2</t>
  </si>
  <si>
    <t>PC-C</t>
    <phoneticPr fontId="1"/>
  </si>
  <si>
    <t>PC-A,C以外にhttps://△△.△.com/に接続したホストPCが他にないかを確認する.</t>
    <rPh sb="6" eb="8">
      <t>イガイ</t>
    </rPh>
    <rPh sb="27" eb="29">
      <t>セツゾク</t>
    </rPh>
    <rPh sb="37" eb="38">
      <t>ホカ</t>
    </rPh>
    <rPh sb="43" eb="45">
      <t>カクニン</t>
    </rPh>
    <phoneticPr fontId="1"/>
  </si>
  <si>
    <t>追加調査が活動する可能性あるホストを見逃した</t>
    <rPh sb="0" eb="2">
      <t>ツイカ</t>
    </rPh>
    <rPh sb="2" eb="4">
      <t>チョウサ</t>
    </rPh>
    <rPh sb="5" eb="7">
      <t>カツドウ</t>
    </rPh>
    <rPh sb="9" eb="12">
      <t>カノウセイ</t>
    </rPh>
    <rPh sb="18" eb="20">
      <t>ミノガ</t>
    </rPh>
    <phoneticPr fontId="1"/>
  </si>
  <si>
    <t>i.ps1よりinstallが実行されたL社内ホストがないかを確認する</t>
    <rPh sb="15" eb="17">
      <t>ジッコウ</t>
    </rPh>
    <rPh sb="21" eb="23">
      <t>シャナイ</t>
    </rPh>
    <rPh sb="31" eb="33">
      <t>カクニン</t>
    </rPh>
    <phoneticPr fontId="1"/>
  </si>
  <si>
    <t>e: 仮想PCへのRDP接続に対してIPアドレスによる接続元制限を行う</t>
    <rPh sb="3" eb="5">
      <t>カソウ</t>
    </rPh>
    <rPh sb="12" eb="14">
      <t>セツゾク</t>
    </rPh>
    <rPh sb="15" eb="16">
      <t>タイ</t>
    </rPh>
    <rPh sb="27" eb="29">
      <t>セツゾク</t>
    </rPh>
    <rPh sb="29" eb="30">
      <t>モト</t>
    </rPh>
    <rPh sb="30" eb="32">
      <t>セイゲン</t>
    </rPh>
    <rPh sb="33" eb="34">
      <t>オコナ</t>
    </rPh>
    <phoneticPr fontId="1"/>
  </si>
  <si>
    <t>f: Lsh内にDLPを導入し、ファイルの持ち出しを制限する</t>
    <rPh sb="6" eb="7">
      <t>ナイ</t>
    </rPh>
    <rPh sb="12" eb="14">
      <t>ドウニュウ</t>
    </rPh>
    <rPh sb="21" eb="22">
      <t>モ</t>
    </rPh>
    <rPh sb="23" eb="24">
      <t>ダ</t>
    </rPh>
    <rPh sb="26" eb="28">
      <t>セイゲン</t>
    </rPh>
    <phoneticPr fontId="1"/>
  </si>
  <si>
    <t>シンクライアントPCよりRDPで接続する</t>
    <rPh sb="16" eb="18">
      <t>セツゾク</t>
    </rPh>
    <phoneticPr fontId="1"/>
  </si>
  <si>
    <t>PC-AからPC-Cに接続→仮想PC間のRDPは不要</t>
    <rPh sb="11" eb="13">
      <t>セツゾク</t>
    </rPh>
    <rPh sb="14" eb="16">
      <t>カソウ</t>
    </rPh>
    <rPh sb="18" eb="19">
      <t>アイダ</t>
    </rPh>
    <rPh sb="24" eb="26">
      <t>フヨウ</t>
    </rPh>
    <phoneticPr fontId="1"/>
  </si>
  <si>
    <t>→オフィスLAN専用のネットワークアドレスが割り当てられている</t>
    <rPh sb="8" eb="10">
      <t>センヨウ</t>
    </rPh>
    <rPh sb="22" eb="23">
      <t>ワ</t>
    </rPh>
    <rPh sb="24" eb="25">
      <t>ア</t>
    </rPh>
    <phoneticPr fontId="1"/>
  </si>
  <si>
    <t>L社内にDLPを導入し、ファイル持ち出しを制限する</t>
    <rPh sb="1" eb="3">
      <t>シャナイ</t>
    </rPh>
    <rPh sb="8" eb="10">
      <t>ドウニュウ</t>
    </rPh>
    <rPh sb="16" eb="17">
      <t>モ</t>
    </rPh>
    <rPh sb="18" eb="19">
      <t>ダ</t>
    </rPh>
    <rPh sb="21" eb="23">
      <t>セイゲン</t>
    </rPh>
    <phoneticPr fontId="1"/>
  </si>
  <si>
    <t>見直し</t>
    <rPh sb="0" eb="2">
      <t>ミナオ</t>
    </rPh>
    <phoneticPr fontId="1"/>
  </si>
  <si>
    <t>アプリケーション</t>
    <phoneticPr fontId="1"/>
  </si>
  <si>
    <t>ドメインを取得→Webサイトを利用</t>
    <rPh sb="5" eb="7">
      <t>シュトク</t>
    </rPh>
    <rPh sb="15" eb="17">
      <t>リヨウ</t>
    </rPh>
    <phoneticPr fontId="1"/>
  </si>
  <si>
    <t>_domainkey.z-sha.co.jp</t>
    <phoneticPr fontId="1"/>
  </si>
  <si>
    <t>利用者がURLにアクセスした際に任意のパスワードを設定し、アカウントをのっとる。</t>
    <rPh sb="0" eb="3">
      <t>リヨウシャ</t>
    </rPh>
    <rPh sb="14" eb="15">
      <t>サイ</t>
    </rPh>
    <rPh sb="16" eb="18">
      <t>ニンイ</t>
    </rPh>
    <rPh sb="25" eb="27">
      <t>セッテイ</t>
    </rPh>
    <phoneticPr fontId="1"/>
  </si>
  <si>
    <t>攻撃者が用意したパスワード再設定画面のURLが記載された</t>
    <rPh sb="0" eb="3">
      <t>コウゲキシャ</t>
    </rPh>
    <rPh sb="4" eb="6">
      <t>ヨウイ</t>
    </rPh>
    <rPh sb="13" eb="16">
      <t>サイセッテイ</t>
    </rPh>
    <rPh sb="16" eb="18">
      <t>ガメン</t>
    </rPh>
    <rPh sb="23" eb="25">
      <t>キサイ</t>
    </rPh>
    <phoneticPr fontId="1"/>
  </si>
  <si>
    <t>ア</t>
    <phoneticPr fontId="1"/>
  </si>
  <si>
    <t>A社ドメインからのメールを拒否できるようにする</t>
    <rPh sb="1" eb="2">
      <t>シャ</t>
    </rPh>
    <rPh sb="13" eb="15">
      <t>キョヒ</t>
    </rPh>
    <phoneticPr fontId="1"/>
  </si>
  <si>
    <t>一斉メールはUサービスでなくTサービスを使う</t>
    <rPh sb="0" eb="2">
      <t>イッセイ</t>
    </rPh>
    <rPh sb="20" eb="21">
      <t>ツカ</t>
    </rPh>
    <phoneticPr fontId="1"/>
  </si>
  <si>
    <t>SPFレコードの変更をしないとメールが届かない</t>
    <rPh sb="8" eb="10">
      <t>ヘンコウ</t>
    </rPh>
    <rPh sb="19" eb="20">
      <t>トド</t>
    </rPh>
    <phoneticPr fontId="1"/>
  </si>
  <si>
    <t>SPFレコードの変更しないとメールが届かない</t>
    <rPh sb="8" eb="10">
      <t>ヘンコウ</t>
    </rPh>
    <rPh sb="18" eb="19">
      <t>トド</t>
    </rPh>
    <phoneticPr fontId="1"/>
  </si>
  <si>
    <t>SPFレコードにTサービスのメール送信元IPアドレスを追加する</t>
    <rPh sb="17" eb="19">
      <t>ソウシン</t>
    </rPh>
    <rPh sb="19" eb="20">
      <t>モト</t>
    </rPh>
    <rPh sb="27" eb="29">
      <t>ツイカ</t>
    </rPh>
    <phoneticPr fontId="1"/>
  </si>
  <si>
    <t>SPFレコードにYサービスの情報が登録されていないのに、メールがYサービスより送られる</t>
    <rPh sb="14" eb="16">
      <t>ジョウホウ</t>
    </rPh>
    <rPh sb="17" eb="19">
      <t>トウロク</t>
    </rPh>
    <rPh sb="39" eb="40">
      <t>オク</t>
    </rPh>
    <phoneticPr fontId="1"/>
  </si>
  <si>
    <t>PM-3</t>
    <phoneticPr fontId="1"/>
  </si>
  <si>
    <t>D社はECサイトなどのwebサイトでは診断アプリ</t>
    <rPh sb="1" eb="2">
      <t>シャ</t>
    </rPh>
    <rPh sb="19" eb="21">
      <t>シンダン</t>
    </rPh>
    <phoneticPr fontId="1"/>
  </si>
  <si>
    <t>インターネットから直接アクセスできないプライベートIpアドレス</t>
    <rPh sb="9" eb="11">
      <t>チョクセツ</t>
    </rPh>
    <phoneticPr fontId="1"/>
  </si>
  <si>
    <t>特定のURLにアクセスして情報取得</t>
    <rPh sb="0" eb="2">
      <t>トクテイ</t>
    </rPh>
    <rPh sb="13" eb="15">
      <t>ジョウホウ</t>
    </rPh>
    <rPh sb="15" eb="17">
      <t>シュトク</t>
    </rPh>
    <phoneticPr fontId="1"/>
  </si>
  <si>
    <t>トークンのULRにPUTでアクセス</t>
    <phoneticPr fontId="1"/>
  </si>
  <si>
    <t>webサーバーX、サーバーYにアクセス→ログイン画面</t>
    <rPh sb="24" eb="26">
      <t>ガメン</t>
    </rPh>
    <phoneticPr fontId="1"/>
  </si>
  <si>
    <t>サイトXログイン</t>
    <phoneticPr fontId="1"/>
  </si>
  <si>
    <t>利用者機能</t>
    <rPh sb="0" eb="3">
      <t>リヨウシャ</t>
    </rPh>
    <rPh sb="3" eb="5">
      <t>キノウ</t>
    </rPh>
    <phoneticPr fontId="1"/>
  </si>
  <si>
    <t>注文機能</t>
    <rPh sb="0" eb="2">
      <t>チュウモン</t>
    </rPh>
    <rPh sb="2" eb="4">
      <t>キノウ</t>
    </rPh>
    <phoneticPr fontId="1"/>
  </si>
  <si>
    <t>サイト管理機能</t>
    <rPh sb="3" eb="5">
      <t>カンリ</t>
    </rPh>
    <rPh sb="5" eb="7">
      <t>キノウ</t>
    </rPh>
    <phoneticPr fontId="1"/>
  </si>
  <si>
    <t>サイトXとYの構築はOK</t>
    <rPh sb="7" eb="9">
      <t>コウチク</t>
    </rPh>
    <phoneticPr fontId="1"/>
  </si>
  <si>
    <t>XSS、CSRF</t>
    <phoneticPr fontId="1"/>
  </si>
  <si>
    <t>攻撃者が、わなスクリプトを仕込んだリンク先を画面に表示する。管理者がリンク先を踏むことで、管理者権限のcookieをwebサイトに送信し、攻撃者が、送付の値を利用することで、管理者としてサイトXにアクセスし、利用者情報を取得する</t>
    <rPh sb="0" eb="3">
      <t>コウゲキシャ</t>
    </rPh>
    <rPh sb="13" eb="15">
      <t>シコ</t>
    </rPh>
    <rPh sb="20" eb="21">
      <t>サキ</t>
    </rPh>
    <rPh sb="22" eb="24">
      <t>ガメン</t>
    </rPh>
    <rPh sb="25" eb="27">
      <t>ヒョウジ</t>
    </rPh>
    <rPh sb="30" eb="33">
      <t>カンリシャ</t>
    </rPh>
    <rPh sb="37" eb="38">
      <t>サキ</t>
    </rPh>
    <rPh sb="39" eb="40">
      <t>フ</t>
    </rPh>
    <rPh sb="45" eb="48">
      <t>カンリシャ</t>
    </rPh>
    <rPh sb="48" eb="50">
      <t>ケンゲン</t>
    </rPh>
    <rPh sb="65" eb="67">
      <t>ソウシン</t>
    </rPh>
    <rPh sb="69" eb="72">
      <t>コウゲキシャ</t>
    </rPh>
    <rPh sb="74" eb="76">
      <t>ソウフ</t>
    </rPh>
    <rPh sb="77" eb="78">
      <t>アタイ</t>
    </rPh>
    <rPh sb="79" eb="81">
      <t>リヨウ</t>
    </rPh>
    <rPh sb="87" eb="90">
      <t>カンリシャ</t>
    </rPh>
    <rPh sb="104" eb="107">
      <t>リヨウシャ</t>
    </rPh>
    <rPh sb="107" eb="109">
      <t>ジョウホウ</t>
    </rPh>
    <rPh sb="110" eb="112">
      <t>シュトク</t>
    </rPh>
    <phoneticPr fontId="1"/>
  </si>
  <si>
    <t>攻撃者が自らのアカウントで取得したcsrf_tokenと一緒に利用者情報をサイトXに送るように構成したわなフォームに、詐欺メールで利用者を誘導し、利用者情報を変更させる</t>
    <rPh sb="0" eb="3">
      <t>コウゲキシャ</t>
    </rPh>
    <rPh sb="4" eb="5">
      <t>ミズカ</t>
    </rPh>
    <rPh sb="13" eb="15">
      <t>シュトク</t>
    </rPh>
    <rPh sb="28" eb="30">
      <t>イッショ</t>
    </rPh>
    <rPh sb="31" eb="34">
      <t>リヨウシャ</t>
    </rPh>
    <rPh sb="34" eb="36">
      <t>ジョウホウ</t>
    </rPh>
    <rPh sb="42" eb="43">
      <t>オク</t>
    </rPh>
    <rPh sb="47" eb="49">
      <t>コウセイ</t>
    </rPh>
    <rPh sb="59" eb="61">
      <t>サギ</t>
    </rPh>
    <rPh sb="65" eb="68">
      <t>リヨウシャ</t>
    </rPh>
    <rPh sb="69" eb="71">
      <t>ユウドウ</t>
    </rPh>
    <rPh sb="73" eb="76">
      <t>リヨウシャ</t>
    </rPh>
    <rPh sb="76" eb="78">
      <t>ジョウホウ</t>
    </rPh>
    <rPh sb="79" eb="81">
      <t>ヘンコウ</t>
    </rPh>
    <phoneticPr fontId="1"/>
  </si>
  <si>
    <t>a:×</t>
    <phoneticPr fontId="1"/>
  </si>
  <si>
    <t>b:×</t>
    <phoneticPr fontId="1"/>
  </si>
  <si>
    <t>c:〇</t>
    <phoneticPr fontId="1"/>
  </si>
  <si>
    <t>d:×</t>
    <phoneticPr fontId="1"/>
  </si>
  <si>
    <t>3-1</t>
    <phoneticPr fontId="1"/>
  </si>
  <si>
    <t>order-codeの下6桁を変えて総当たりで攻撃する</t>
    <rPh sb="11" eb="12">
      <t>シモ</t>
    </rPh>
    <rPh sb="13" eb="14">
      <t>ケタ</t>
    </rPh>
    <rPh sb="15" eb="16">
      <t>カ</t>
    </rPh>
    <rPh sb="18" eb="20">
      <t>ソウア</t>
    </rPh>
    <rPh sb="23" eb="25">
      <t>コウゲキ</t>
    </rPh>
    <phoneticPr fontId="1"/>
  </si>
  <si>
    <t>3-2</t>
    <phoneticPr fontId="1"/>
  </si>
  <si>
    <t>指定されたorder-codeが、利用者に紐づいたものかを確認する</t>
    <rPh sb="0" eb="2">
      <t>シテイ</t>
    </rPh>
    <rPh sb="17" eb="20">
      <t>リヨウシャ</t>
    </rPh>
    <rPh sb="21" eb="22">
      <t>ヒモ</t>
    </rPh>
    <rPh sb="29" eb="31">
      <t>カクニン</t>
    </rPh>
    <phoneticPr fontId="1"/>
  </si>
  <si>
    <t>4-1</t>
    <phoneticPr fontId="1"/>
  </si>
  <si>
    <t>変更あとのURLにPOSTでデータを送付することが出来ないため</t>
    <rPh sb="0" eb="2">
      <t>ヘンコウ</t>
    </rPh>
    <rPh sb="18" eb="20">
      <t>ソウフ</t>
    </rPh>
    <rPh sb="25" eb="27">
      <t>デキ</t>
    </rPh>
    <phoneticPr fontId="1"/>
  </si>
  <si>
    <t>4-2</t>
    <phoneticPr fontId="1"/>
  </si>
  <si>
    <t>パラメータpageの情報を、クレデンシャルを返すページのものに変更する</t>
    <rPh sb="10" eb="12">
      <t>ジョウホウ</t>
    </rPh>
    <rPh sb="22" eb="23">
      <t>カエ</t>
    </rPh>
    <rPh sb="31" eb="33">
      <t>ヘンコウ</t>
    </rPh>
    <phoneticPr fontId="1"/>
  </si>
  <si>
    <t>4-3</t>
    <phoneticPr fontId="1"/>
  </si>
  <si>
    <t>トークンをはこうするURLにPUTメソッドでアクセスしてトークンを入手し、トークンをリクエストヘッダに含めてIMDSのクレデンシャルを返すURLにアクセスする</t>
    <rPh sb="33" eb="35">
      <t>ニュウシュ</t>
    </rPh>
    <rPh sb="51" eb="52">
      <t>フク</t>
    </rPh>
    <rPh sb="67" eb="68">
      <t>カエ</t>
    </rPh>
    <phoneticPr fontId="1"/>
  </si>
  <si>
    <t>4-4</t>
    <phoneticPr fontId="1"/>
  </si>
  <si>
    <t>パラメータpageの値がサイトP以外のURLならエラーにする</t>
    <rPh sb="10" eb="11">
      <t>アタイ</t>
    </rPh>
    <rPh sb="16" eb="18">
      <t>イガイ</t>
    </rPh>
    <phoneticPr fontId="1"/>
  </si>
  <si>
    <t>PM-3</t>
  </si>
  <si>
    <t>L社のシステムはインシデント</t>
    <rPh sb="1" eb="2">
      <t>シャ</t>
    </rPh>
    <phoneticPr fontId="1"/>
  </si>
  <si>
    <t>E社はソフト会社</t>
    <rPh sb="1" eb="2">
      <t>シャ</t>
    </rPh>
    <rPh sb="6" eb="8">
      <t>カイシャ</t>
    </rPh>
    <phoneticPr fontId="1"/>
  </si>
  <si>
    <t>情シス</t>
    <rPh sb="0" eb="1">
      <t>ジョウ</t>
    </rPh>
    <phoneticPr fontId="1"/>
  </si>
  <si>
    <t>SaaSを利用する</t>
    <rPh sb="5" eb="7">
      <t>リヨウ</t>
    </rPh>
    <phoneticPr fontId="1"/>
  </si>
  <si>
    <t>ad01というドメインを活用</t>
    <rPh sb="12" eb="14">
      <t>カツヨウ</t>
    </rPh>
    <phoneticPr fontId="1"/>
  </si>
  <si>
    <t>ホストからインターネット</t>
    <phoneticPr fontId="1"/>
  </si>
  <si>
    <t>管理者許可リスト</t>
    <rPh sb="0" eb="3">
      <t>カンリシャ</t>
    </rPh>
    <rPh sb="3" eb="5">
      <t>キョカ</t>
    </rPh>
    <phoneticPr fontId="1"/>
  </si>
  <si>
    <t>管理者拒否リスト</t>
    <rPh sb="0" eb="3">
      <t>カンリシャ</t>
    </rPh>
    <rPh sb="3" eb="5">
      <t>キョヒ</t>
    </rPh>
    <phoneticPr fontId="1"/>
  </si>
  <si>
    <t>マルウェア対策ソフト</t>
    <rPh sb="5" eb="7">
      <t>タイサク</t>
    </rPh>
    <phoneticPr fontId="1"/>
  </si>
  <si>
    <t>シンクライアント</t>
    <phoneticPr fontId="1"/>
  </si>
  <si>
    <t>ドメインユーザー</t>
    <phoneticPr fontId="1"/>
  </si>
  <si>
    <t>仮想PCのローカルアドミニストレータ</t>
    <rPh sb="0" eb="2">
      <t>カソウ</t>
    </rPh>
    <phoneticPr fontId="1"/>
  </si>
  <si>
    <t>仮想PCにログイン</t>
    <rPh sb="0" eb="2">
      <t>カソウ</t>
    </rPh>
    <phoneticPr fontId="1"/>
  </si>
  <si>
    <t>社外情報L</t>
    <rPh sb="0" eb="2">
      <t>シャガイ</t>
    </rPh>
    <rPh sb="2" eb="4">
      <t>ジョウホウ</t>
    </rPh>
    <phoneticPr fontId="1"/>
  </si>
  <si>
    <t>仮想PC保守PC</t>
    <rPh sb="0" eb="2">
      <t>カソウ</t>
    </rPh>
    <rPh sb="4" eb="6">
      <t>ホシュ</t>
    </rPh>
    <phoneticPr fontId="1"/>
  </si>
  <si>
    <t>保守ツールイン</t>
    <rPh sb="0" eb="2">
      <t>ホシュ</t>
    </rPh>
    <phoneticPr fontId="1"/>
  </si>
  <si>
    <t>Fツール</t>
    <phoneticPr fontId="1"/>
  </si>
  <si>
    <t>12/6プロキシよりアラート</t>
    <phoneticPr fontId="1"/>
  </si>
  <si>
    <t>イベントをトリガーに実行</t>
    <rPh sb="10" eb="12">
      <t>ジッコウ</t>
    </rPh>
    <phoneticPr fontId="1"/>
  </si>
  <si>
    <t>ログオンも記録</t>
    <rPh sb="5" eb="7">
      <t>キロク</t>
    </rPh>
    <phoneticPr fontId="1"/>
  </si>
  <si>
    <t>プロキシよりアラート</t>
    <phoneticPr fontId="1"/>
  </si>
  <si>
    <t>ベンダ拒否</t>
    <rPh sb="3" eb="5">
      <t>キョヒ</t>
    </rPh>
    <phoneticPr fontId="1"/>
  </si>
  <si>
    <t>マルウェアのカテゴリ</t>
    <phoneticPr fontId="1"/>
  </si>
  <si>
    <t>a: PC-C</t>
    <phoneticPr fontId="1"/>
  </si>
  <si>
    <t>b: filesv</t>
    <phoneticPr fontId="1"/>
  </si>
  <si>
    <t>d: 無効化</t>
    <rPh sb="3" eb="6">
      <t>ムコウカ</t>
    </rPh>
    <phoneticPr fontId="1"/>
  </si>
  <si>
    <t>プロキシサーバーでhttps://△△△.com/、https://〇〇〇.com/、https://□□□.com/を管理者拒否リストに設定する。</t>
    <rPh sb="60" eb="63">
      <t>カンリシャ</t>
    </rPh>
    <rPh sb="63" eb="65">
      <t>キョヒ</t>
    </rPh>
    <rPh sb="69" eb="71">
      <t>セッテイ</t>
    </rPh>
    <phoneticPr fontId="1"/>
  </si>
  <si>
    <t>感染を示す証拠となるイベント</t>
    <rPh sb="0" eb="2">
      <t>カンセン</t>
    </rPh>
    <rPh sb="3" eb="4">
      <t>シメ</t>
    </rPh>
    <rPh sb="5" eb="7">
      <t>ショウコ</t>
    </rPh>
    <phoneticPr fontId="1"/>
  </si>
  <si>
    <t>タスク名がinstallであるタスクが登録されているL社内のホストがないか確認する</t>
    <rPh sb="3" eb="4">
      <t>メイ</t>
    </rPh>
    <rPh sb="19" eb="21">
      <t>トウロク</t>
    </rPh>
    <rPh sb="27" eb="29">
      <t>シャナイ</t>
    </rPh>
    <rPh sb="37" eb="39">
      <t>カクニン</t>
    </rPh>
    <phoneticPr fontId="1"/>
  </si>
  <si>
    <t>タスク名: installが登録されたそのほかのホストPCがないかを確認する</t>
    <rPh sb="3" eb="4">
      <t>メイ</t>
    </rPh>
    <rPh sb="14" eb="16">
      <t>トウロク</t>
    </rPh>
    <rPh sb="34" eb="36">
      <t>カクニン</t>
    </rPh>
    <phoneticPr fontId="1"/>
  </si>
  <si>
    <t>タスク： installが実行されていないかを検知する</t>
    <rPh sb="13" eb="15">
      <t>ジッコウ</t>
    </rPh>
    <rPh sb="23" eb="25">
      <t>ケンチ</t>
    </rPh>
    <phoneticPr fontId="1"/>
  </si>
  <si>
    <t>Fツールを使ってという観点で考えると良い</t>
    <rPh sb="5" eb="6">
      <t>ツカ</t>
    </rPh>
    <rPh sb="11" eb="13">
      <t>カンテン</t>
    </rPh>
    <rPh sb="14" eb="15">
      <t>カンガ</t>
    </rPh>
    <rPh sb="18" eb="19">
      <t>ヨ</t>
    </rPh>
    <phoneticPr fontId="1"/>
  </si>
  <si>
    <t>RDP接続を繰り返すホストPCがないかを検知する</t>
    <rPh sb="3" eb="5">
      <t>セツゾク</t>
    </rPh>
    <rPh sb="6" eb="7">
      <t>ク</t>
    </rPh>
    <rPh sb="8" eb="9">
      <t>カエ</t>
    </rPh>
    <rPh sb="20" eb="22">
      <t>ケンチ</t>
    </rPh>
    <phoneticPr fontId="1"/>
  </si>
  <si>
    <t>e: 仮想環境内でのRDP接続が出来ないようにする</t>
    <rPh sb="3" eb="8">
      <t>カソウカンキョウナイ</t>
    </rPh>
    <rPh sb="13" eb="15">
      <t>セツゾク</t>
    </rPh>
    <rPh sb="16" eb="18">
      <t>デキ</t>
    </rPh>
    <phoneticPr fontId="1"/>
  </si>
  <si>
    <t>f: L社内にDLPを導入し、ファイルの持ち出しを禁止する</t>
    <rPh sb="4" eb="6">
      <t>シャナイ</t>
    </rPh>
    <rPh sb="11" eb="13">
      <t>ドウニュウ</t>
    </rPh>
    <rPh sb="20" eb="21">
      <t>モ</t>
    </rPh>
    <rPh sb="22" eb="23">
      <t>ダ</t>
    </rPh>
    <rPh sb="25" eb="27">
      <t>キンシ</t>
    </rPh>
    <phoneticPr fontId="1"/>
  </si>
  <si>
    <t>J社のECサイト</t>
    <rPh sb="1" eb="2">
      <t>シャ</t>
    </rPh>
    <phoneticPr fontId="1"/>
  </si>
  <si>
    <t>アプリPのアプリケーションログ</t>
    <phoneticPr fontId="1"/>
  </si>
  <si>
    <t>元IPアドレスが記録</t>
    <rPh sb="0" eb="1">
      <t>モト</t>
    </rPh>
    <rPh sb="8" eb="10">
      <t>キロク</t>
    </rPh>
    <phoneticPr fontId="1"/>
  </si>
  <si>
    <t>代行サービス</t>
    <rPh sb="0" eb="2">
      <t>ダイコウ</t>
    </rPh>
    <phoneticPr fontId="1"/>
  </si>
  <si>
    <t>D社の提供するトークン</t>
    <rPh sb="1" eb="2">
      <t>シャ</t>
    </rPh>
    <rPh sb="3" eb="5">
      <t>テイキョウ</t>
    </rPh>
    <phoneticPr fontId="1"/>
  </si>
  <si>
    <t>配送先選択</t>
    <rPh sb="0" eb="3">
      <t>ハイソウサキ</t>
    </rPh>
    <rPh sb="3" eb="5">
      <t>センタク</t>
    </rPh>
    <phoneticPr fontId="1"/>
  </si>
  <si>
    <t>電子メール送信される</t>
    <rPh sb="0" eb="2">
      <t>デンシ</t>
    </rPh>
    <rPh sb="5" eb="7">
      <t>ソウシン</t>
    </rPh>
    <phoneticPr fontId="1"/>
  </si>
  <si>
    <t>J社ECサイト</t>
    <rPh sb="1" eb="2">
      <t>シャ</t>
    </rPh>
    <phoneticPr fontId="1"/>
  </si>
  <si>
    <t>偽フォーム</t>
    <rPh sb="0" eb="1">
      <t>ニセ</t>
    </rPh>
    <phoneticPr fontId="1"/>
  </si>
  <si>
    <t>a: 5</t>
    <phoneticPr fontId="1"/>
  </si>
  <si>
    <t>b: XSS</t>
    <phoneticPr fontId="1"/>
  </si>
  <si>
    <t>c: 反射</t>
    <rPh sb="3" eb="5">
      <t>ハンシャ</t>
    </rPh>
    <phoneticPr fontId="1"/>
  </si>
  <si>
    <t>d: 2</t>
    <phoneticPr fontId="1"/>
  </si>
  <si>
    <t>e: SQLインジェクション</t>
    <phoneticPr fontId="1"/>
  </si>
  <si>
    <t>ファイルK</t>
    <phoneticPr fontId="1"/>
  </si>
  <si>
    <t>配送先・支払先選択</t>
    <rPh sb="0" eb="3">
      <t>ハイソウサキ</t>
    </rPh>
    <rPh sb="4" eb="9">
      <t>シハライサキセンタク</t>
    </rPh>
    <phoneticPr fontId="1"/>
  </si>
  <si>
    <t>支払方法</t>
    <rPh sb="0" eb="4">
      <t>シハライホウホウ</t>
    </rPh>
    <phoneticPr fontId="1"/>
  </si>
  <si>
    <t>カード番号</t>
    <rPh sb="3" eb="5">
      <t>バンゴウ</t>
    </rPh>
    <phoneticPr fontId="1"/>
  </si>
  <si>
    <t>有効期限　月/ 年</t>
    <rPh sb="0" eb="4">
      <t>ユウコウキゲン</t>
    </rPh>
    <rPh sb="5" eb="6">
      <t>ツキ</t>
    </rPh>
    <rPh sb="8" eb="9">
      <t>ネン</t>
    </rPh>
    <phoneticPr fontId="1"/>
  </si>
  <si>
    <t>名義</t>
    <rPh sb="0" eb="2">
      <t>メイギ</t>
    </rPh>
    <phoneticPr fontId="1"/>
  </si>
  <si>
    <t>セキュリティコード</t>
    <phoneticPr fontId="1"/>
  </si>
  <si>
    <t>戻る / 次へ</t>
    <rPh sb="0" eb="1">
      <t>モド</t>
    </rPh>
    <rPh sb="5" eb="6">
      <t>ツギ</t>
    </rPh>
    <phoneticPr fontId="1"/>
  </si>
  <si>
    <t>order[Payment]</t>
    <phoneticPr fontId="1"/>
  </si>
  <si>
    <t>値：1</t>
    <rPh sb="0" eb="1">
      <t>アタイ</t>
    </rPh>
    <phoneticPr fontId="1"/>
  </si>
  <si>
    <t>https://i-sha.com/に対して、フォームより入力された値を送信している</t>
    <rPh sb="19" eb="20">
      <t>タイ</t>
    </rPh>
    <rPh sb="29" eb="31">
      <t>ニュウリョク</t>
    </rPh>
    <rPh sb="34" eb="35">
      <t>アタイ</t>
    </rPh>
    <rPh sb="36" eb="38">
      <t>ソウシン</t>
    </rPh>
    <phoneticPr fontId="1"/>
  </si>
  <si>
    <t>WebサーバーのアクセスログのリクエストURIから情報を取得する</t>
    <rPh sb="25" eb="27">
      <t>ジョウホウ</t>
    </rPh>
    <rPh sb="28" eb="30">
      <t>シュトク</t>
    </rPh>
    <phoneticPr fontId="1"/>
  </si>
  <si>
    <t>配送先・支払方法選択画面にアクセスしたアカウント名</t>
    <rPh sb="0" eb="3">
      <t>ハイソウサキ</t>
    </rPh>
    <rPh sb="4" eb="6">
      <t>シハライ</t>
    </rPh>
    <rPh sb="6" eb="8">
      <t>ホウホウ</t>
    </rPh>
    <rPh sb="8" eb="10">
      <t>センタク</t>
    </rPh>
    <rPh sb="10" eb="12">
      <t>ガメン</t>
    </rPh>
    <rPh sb="24" eb="25">
      <t>メイ</t>
    </rPh>
    <phoneticPr fontId="1"/>
  </si>
  <si>
    <t>1</t>
    <phoneticPr fontId="1"/>
  </si>
  <si>
    <t>c: 格納</t>
    <rPh sb="3" eb="5">
      <t>カクノウ</t>
    </rPh>
    <phoneticPr fontId="1"/>
  </si>
  <si>
    <t>DOM型</t>
    <rPh sb="3" eb="4">
      <t>カタ</t>
    </rPh>
    <phoneticPr fontId="1"/>
  </si>
  <si>
    <t>配送先・支払先選択</t>
    <rPh sb="0" eb="3">
      <t>ハイソウサキ</t>
    </rPh>
    <rPh sb="4" eb="7">
      <t>シハライサキ</t>
    </rPh>
    <rPh sb="7" eb="9">
      <t>センタク</t>
    </rPh>
    <phoneticPr fontId="1"/>
  </si>
  <si>
    <t>配送先</t>
    <rPh sb="0" eb="3">
      <t>ハイソウサキ</t>
    </rPh>
    <phoneticPr fontId="1"/>
  </si>
  <si>
    <t>お支払方法</t>
    <rPh sb="1" eb="3">
      <t>シハラ</t>
    </rPh>
    <rPh sb="3" eb="5">
      <t>ホウホウ</t>
    </rPh>
    <phoneticPr fontId="1"/>
  </si>
  <si>
    <t>カード番号</t>
    <rPh sb="3" eb="5">
      <t>バンゴウ</t>
    </rPh>
    <phoneticPr fontId="1"/>
  </si>
  <si>
    <t>有効期限</t>
    <rPh sb="0" eb="4">
      <t>ユウコウキゲン</t>
    </rPh>
    <phoneticPr fontId="1"/>
  </si>
  <si>
    <t>名義</t>
    <rPh sb="0" eb="2">
      <t>メイギ</t>
    </rPh>
    <phoneticPr fontId="1"/>
  </si>
  <si>
    <t>セキュリティコード</t>
    <phoneticPr fontId="1"/>
  </si>
  <si>
    <t>2-3</t>
    <phoneticPr fontId="1"/>
  </si>
  <si>
    <t>addEventListenerイベントにより、配送先・支払選択画面のformに、イベントリスナーを登録し、submit時に情報をi-sha.comに送出する</t>
    <rPh sb="24" eb="27">
      <t>ハイソウサキ</t>
    </rPh>
    <rPh sb="28" eb="30">
      <t>シハライ</t>
    </rPh>
    <rPh sb="30" eb="32">
      <t>センタク</t>
    </rPh>
    <rPh sb="32" eb="34">
      <t>ガメン</t>
    </rPh>
    <rPh sb="50" eb="52">
      <t>トウロク</t>
    </rPh>
    <rPh sb="60" eb="61">
      <t>ジ</t>
    </rPh>
    <rPh sb="62" eb="64">
      <t>ジョウホウ</t>
    </rPh>
    <rPh sb="75" eb="77">
      <t>ソウシュツ</t>
    </rPh>
    <phoneticPr fontId="1"/>
  </si>
  <si>
    <t>3-1</t>
    <phoneticPr fontId="1"/>
  </si>
  <si>
    <t>webサーバーのアクセスログのリクエストURIから情報を取得する。</t>
    <rPh sb="25" eb="27">
      <t>ジョウホウ</t>
    </rPh>
    <rPh sb="28" eb="30">
      <t>シュトク</t>
    </rPh>
    <phoneticPr fontId="1"/>
  </si>
  <si>
    <t>webサーバーのアクセルログのリクエストURIより情報を取得する</t>
    <rPh sb="25" eb="27">
      <t>ジョウホウ</t>
    </rPh>
    <rPh sb="28" eb="30">
      <t>シュトク</t>
    </rPh>
    <phoneticPr fontId="1"/>
  </si>
  <si>
    <t>webサーバーのアクセスログのリクエストURIより情報を取得する</t>
    <rPh sb="25" eb="27">
      <t>ジョウホウ</t>
    </rPh>
    <rPh sb="28" eb="30">
      <t>シュトク</t>
    </rPh>
    <phoneticPr fontId="1"/>
  </si>
  <si>
    <t>PM-4</t>
  </si>
  <si>
    <t>PM-4</t>
    <phoneticPr fontId="1"/>
  </si>
  <si>
    <t>A社加工食品の会社</t>
    <rPh sb="1" eb="2">
      <t>シャ</t>
    </rPh>
    <rPh sb="2" eb="4">
      <t>カコウ</t>
    </rPh>
    <rPh sb="4" eb="6">
      <t>ショクヒン</t>
    </rPh>
    <rPh sb="7" eb="9">
      <t>カイシャ</t>
    </rPh>
    <phoneticPr fontId="1"/>
  </si>
  <si>
    <t>在庫管理システム</t>
    <rPh sb="0" eb="4">
      <t>ザイコカンリ</t>
    </rPh>
    <phoneticPr fontId="1"/>
  </si>
  <si>
    <t>WEB受注システム</t>
    <rPh sb="3" eb="5">
      <t>ジュチュウ</t>
    </rPh>
    <phoneticPr fontId="1"/>
  </si>
  <si>
    <t>委託契約で開発着手</t>
    <rPh sb="0" eb="4">
      <t>イタクケイヤク</t>
    </rPh>
    <rPh sb="5" eb="7">
      <t>カイハツ</t>
    </rPh>
    <rPh sb="7" eb="9">
      <t>チャクシュ</t>
    </rPh>
    <phoneticPr fontId="1"/>
  </si>
  <si>
    <t>想定トランザクション</t>
    <rPh sb="0" eb="2">
      <t>ソウテイ</t>
    </rPh>
    <phoneticPr fontId="1"/>
  </si>
  <si>
    <t>システム基盤ん</t>
    <rPh sb="4" eb="6">
      <t>キバン</t>
    </rPh>
    <phoneticPr fontId="1"/>
  </si>
  <si>
    <t>データベース</t>
    <phoneticPr fontId="1"/>
  </si>
  <si>
    <t>開発APサーバー</t>
    <rPh sb="0" eb="2">
      <t>カイハツ</t>
    </rPh>
    <phoneticPr fontId="1"/>
  </si>
  <si>
    <t>APログ</t>
    <phoneticPr fontId="1"/>
  </si>
  <si>
    <t>リダイレクトして出力</t>
    <rPh sb="8" eb="10">
      <t>シュツリョク</t>
    </rPh>
    <phoneticPr fontId="1"/>
  </si>
  <si>
    <t>personal</t>
    <phoneticPr fontId="1"/>
  </si>
  <si>
    <t>ソースコードセキュリティ</t>
    <phoneticPr fontId="1"/>
  </si>
  <si>
    <t>C社にセキュリティレビュー</t>
    <rPh sb="1" eb="2">
      <t>シャ</t>
    </rPh>
    <phoneticPr fontId="1"/>
  </si>
  <si>
    <t>ユーザー登録機能</t>
    <rPh sb="4" eb="6">
      <t>トウロク</t>
    </rPh>
    <rPh sb="6" eb="8">
      <t>キノウ</t>
    </rPh>
    <phoneticPr fontId="1"/>
  </si>
  <si>
    <t>addUser</t>
    <phoneticPr fontId="1"/>
  </si>
  <si>
    <t>マスターテーブル</t>
    <phoneticPr fontId="1"/>
  </si>
  <si>
    <t>例外</t>
    <rPh sb="0" eb="2">
      <t>レイガイ</t>
    </rPh>
    <phoneticPr fontId="1"/>
  </si>
  <si>
    <t>システム開発者：氏名、パスワード、住所、電話番号、メールアドレス、オ</t>
    <rPh sb="4" eb="7">
      <t>カイハツシャ</t>
    </rPh>
    <rPh sb="8" eb="10">
      <t>シメイ</t>
    </rPh>
    <rPh sb="17" eb="19">
      <t>ジュウショ</t>
    </rPh>
    <rPh sb="20" eb="24">
      <t>デンワバンゴウ</t>
    </rPh>
    <phoneticPr fontId="1"/>
  </si>
  <si>
    <t>システム運用担当：文字列の情報、エ</t>
    <rPh sb="4" eb="6">
      <t>ウンヨウ</t>
    </rPh>
    <rPh sb="6" eb="8">
      <t>タントウ</t>
    </rPh>
    <rPh sb="9" eb="12">
      <t>モジレツ</t>
    </rPh>
    <rPh sb="13" eb="15">
      <t>ジョウホウ</t>
    </rPh>
    <phoneticPr fontId="1"/>
  </si>
  <si>
    <t>SHA-512</t>
    <phoneticPr fontId="1"/>
  </si>
  <si>
    <t>throw new RuntimeException€;</t>
    <phoneticPr fontId="1"/>
  </si>
  <si>
    <t>2-6</t>
    <phoneticPr fontId="1"/>
  </si>
  <si>
    <t>finally</t>
    <phoneticPr fontId="1"/>
  </si>
  <si>
    <t>2-7</t>
    <phoneticPr fontId="1"/>
  </si>
  <si>
    <t>診断はZ社に依頼</t>
    <rPh sb="0" eb="2">
      <t>シンダン</t>
    </rPh>
    <rPh sb="4" eb="5">
      <t>シャ</t>
    </rPh>
    <rPh sb="6" eb="8">
      <t>イライ</t>
    </rPh>
    <phoneticPr fontId="1"/>
  </si>
  <si>
    <t>リリース後も実施</t>
    <rPh sb="4" eb="5">
      <t>アト</t>
    </rPh>
    <rPh sb="6" eb="8">
      <t>ジッシ</t>
    </rPh>
    <phoneticPr fontId="1"/>
  </si>
  <si>
    <t>CMSより構築</t>
    <rPh sb="5" eb="7">
      <t>コウチク</t>
    </rPh>
    <phoneticPr fontId="1"/>
  </si>
  <si>
    <t>サイトPを利用</t>
    <rPh sb="5" eb="7">
      <t>リヨウ</t>
    </rPh>
    <phoneticPr fontId="1"/>
  </si>
  <si>
    <t>ストレージWを利用する</t>
    <rPh sb="7" eb="9">
      <t>リヨウ</t>
    </rPh>
    <phoneticPr fontId="1"/>
  </si>
  <si>
    <t>Wアクセスはクレデンシャルによりリクエストに含める</t>
    <rPh sb="22" eb="23">
      <t>フク</t>
    </rPh>
    <phoneticPr fontId="1"/>
  </si>
  <si>
    <t>サイトXはＥＣサイト</t>
    <phoneticPr fontId="1"/>
  </si>
  <si>
    <t>ログインセッション管理</t>
    <rPh sb="9" eb="11">
      <t>カンリ</t>
    </rPh>
    <phoneticPr fontId="1"/>
  </si>
  <si>
    <t>サイトY</t>
    <phoneticPr fontId="1"/>
  </si>
  <si>
    <t>XSSを利用して利用者情報を取得</t>
    <rPh sb="4" eb="6">
      <t>リヨウ</t>
    </rPh>
    <rPh sb="8" eb="11">
      <t>リヨウシャ</t>
    </rPh>
    <rPh sb="11" eb="13">
      <t>ジョウホウ</t>
    </rPh>
    <rPh sb="14" eb="16">
      <t>シュトク</t>
    </rPh>
    <phoneticPr fontId="1"/>
  </si>
  <si>
    <t>罠サイトにcookieを送出するリンクを用意しておき、管理者権限のcookieを入手し、値を読取り、管理者としてサイトXにログインすることで利用者情報を入手する。</t>
    <rPh sb="0" eb="1">
      <t>ワナ</t>
    </rPh>
    <rPh sb="12" eb="14">
      <t>ソウシュツ</t>
    </rPh>
    <rPh sb="20" eb="22">
      <t>ヨウイ</t>
    </rPh>
    <rPh sb="27" eb="30">
      <t>カンリシャ</t>
    </rPh>
    <rPh sb="30" eb="32">
      <t>ケンゲン</t>
    </rPh>
    <rPh sb="40" eb="42">
      <t>ニュウシュ</t>
    </rPh>
    <rPh sb="44" eb="45">
      <t>アタイ</t>
    </rPh>
    <rPh sb="46" eb="48">
      <t>ヨミト</t>
    </rPh>
    <rPh sb="50" eb="53">
      <t>カンリシャ</t>
    </rPh>
    <rPh sb="70" eb="73">
      <t>リヨウシャ</t>
    </rPh>
    <rPh sb="73" eb="75">
      <t>ジョウホウ</t>
    </rPh>
    <rPh sb="76" eb="78">
      <t>ニュウシュ</t>
    </rPh>
    <phoneticPr fontId="1"/>
  </si>
  <si>
    <t>実在するほかの利用者IDを探し当てて、本人の情報を編集する。</t>
    <rPh sb="0" eb="2">
      <t>ジツザイ</t>
    </rPh>
    <rPh sb="7" eb="10">
      <t>リヨウシャ</t>
    </rPh>
    <rPh sb="13" eb="14">
      <t>サガ</t>
    </rPh>
    <rPh sb="15" eb="16">
      <t>ア</t>
    </rPh>
    <rPh sb="19" eb="21">
      <t>ホンニン</t>
    </rPh>
    <rPh sb="22" eb="24">
      <t>ジョウホウ</t>
    </rPh>
    <rPh sb="25" eb="27">
      <t>ヘンシュウ</t>
    </rPh>
    <phoneticPr fontId="1"/>
  </si>
  <si>
    <t>c:×</t>
    <phoneticPr fontId="1"/>
  </si>
  <si>
    <t>d: 〇</t>
    <phoneticPr fontId="1"/>
  </si>
  <si>
    <t>oder-codeの下６桁を総当たりに変更してアクセスする。</t>
    <rPh sb="10" eb="11">
      <t>シモ</t>
    </rPh>
    <rPh sb="12" eb="13">
      <t>ケタ</t>
    </rPh>
    <rPh sb="14" eb="16">
      <t>ソウア</t>
    </rPh>
    <rPh sb="19" eb="21">
      <t>ヘンコウ</t>
    </rPh>
    <phoneticPr fontId="1"/>
  </si>
  <si>
    <t>cookieの値より利用者アカウントを特定して、order-codeより特定したものと異なっていた場合エラーとする</t>
    <rPh sb="7" eb="8">
      <t>アタイ</t>
    </rPh>
    <rPh sb="10" eb="13">
      <t>リヨウシャ</t>
    </rPh>
    <rPh sb="19" eb="21">
      <t>トクテイ</t>
    </rPh>
    <rPh sb="36" eb="38">
      <t>トクテイ</t>
    </rPh>
    <rPh sb="43" eb="44">
      <t>コト</t>
    </rPh>
    <rPh sb="49" eb="51">
      <t>バアイ</t>
    </rPh>
    <phoneticPr fontId="1"/>
  </si>
  <si>
    <t>サイトYでSSSF脆弱性</t>
    <rPh sb="9" eb="12">
      <t>ゼイジャクセイ</t>
    </rPh>
    <phoneticPr fontId="1"/>
  </si>
  <si>
    <t>CMSの管理ログイン</t>
    <rPh sb="4" eb="6">
      <t>カンリ</t>
    </rPh>
    <phoneticPr fontId="1"/>
  </si>
  <si>
    <t>変更後のURLにPOSTデータを送付することが出来ないため</t>
    <rPh sb="0" eb="3">
      <t>ヘンコウゴ</t>
    </rPh>
    <rPh sb="16" eb="18">
      <t>ソウフ</t>
    </rPh>
    <rPh sb="23" eb="25">
      <t>デキ</t>
    </rPh>
    <phoneticPr fontId="1"/>
  </si>
  <si>
    <t>IMDSにVPCの特定のサーバよりGETメソッドでアクセスする</t>
    <rPh sb="9" eb="11">
      <t>トクテイ</t>
    </rPh>
    <phoneticPr fontId="1"/>
  </si>
  <si>
    <t>方式G</t>
    <rPh sb="0" eb="2">
      <t>ホウシキ</t>
    </rPh>
    <phoneticPr fontId="1"/>
  </si>
  <si>
    <t>トークンをどうやって入手するか</t>
    <rPh sb="10" eb="12">
      <t>ニュウシュ</t>
    </rPh>
    <phoneticPr fontId="1"/>
  </si>
  <si>
    <t>トークンを発行するURLにPUTメソッドでアクセスしトークンを入手し、トークンをリクエストヘッダに含めて、IMDSのクレデンシャル情報を返すURLにアクセスする</t>
    <rPh sb="5" eb="7">
      <t>ハッコウ</t>
    </rPh>
    <rPh sb="31" eb="33">
      <t>ニュウシュ</t>
    </rPh>
    <rPh sb="49" eb="50">
      <t>フク</t>
    </rPh>
    <rPh sb="65" eb="67">
      <t>ジョウホウ</t>
    </rPh>
    <rPh sb="68" eb="69">
      <t>カエ</t>
    </rPh>
    <phoneticPr fontId="1"/>
  </si>
  <si>
    <t>pageに指定できるURLを、サイトＹに関連するもののみに制限する</t>
    <rPh sb="5" eb="7">
      <t>シテイ</t>
    </rPh>
    <rPh sb="20" eb="22">
      <t>カンレン</t>
    </rPh>
    <rPh sb="29" eb="31">
      <t>セイゲン</t>
    </rPh>
    <phoneticPr fontId="1"/>
  </si>
  <si>
    <t>加工食品の記者</t>
    <rPh sb="0" eb="4">
      <t>カコウショクヒン</t>
    </rPh>
    <rPh sb="5" eb="7">
      <t>キシャ</t>
    </rPh>
    <phoneticPr fontId="1"/>
  </si>
  <si>
    <t>業務システム</t>
    <rPh sb="0" eb="2">
      <t>ギョウム</t>
    </rPh>
    <phoneticPr fontId="1"/>
  </si>
  <si>
    <t>ギフト販売</t>
    <rPh sb="3" eb="5">
      <t>ハンバイ</t>
    </rPh>
    <phoneticPr fontId="1"/>
  </si>
  <si>
    <t>受注システム</t>
    <rPh sb="0" eb="2">
      <t>ジュチュウ</t>
    </rPh>
    <phoneticPr fontId="1"/>
  </si>
  <si>
    <t>重要情報</t>
    <rPh sb="0" eb="4">
      <t>ジュウヨウジョウホウ</t>
    </rPh>
    <phoneticPr fontId="1"/>
  </si>
  <si>
    <t>ｃｓｖでデータ連携</t>
    <rPh sb="7" eb="9">
      <t>レンケイ</t>
    </rPh>
    <phoneticPr fontId="1"/>
  </si>
  <si>
    <t>連携ファイルで連携</t>
    <rPh sb="0" eb="2">
      <t>レンケイ</t>
    </rPh>
    <rPh sb="7" eb="9">
      <t>レンケイ</t>
    </rPh>
    <phoneticPr fontId="1"/>
  </si>
  <si>
    <t>業務システムと連携機能</t>
    <rPh sb="0" eb="2">
      <t>ギョウム</t>
    </rPh>
    <rPh sb="7" eb="9">
      <t>レンケイ</t>
    </rPh>
    <rPh sb="9" eb="11">
      <t>キノウ</t>
    </rPh>
    <phoneticPr fontId="1"/>
  </si>
  <si>
    <t>a: ア</t>
    <phoneticPr fontId="1"/>
  </si>
  <si>
    <t>b: personal</t>
    <phoneticPr fontId="1"/>
  </si>
  <si>
    <t>c: 4</t>
    <phoneticPr fontId="1"/>
  </si>
  <si>
    <t>UserData</t>
    <phoneticPr fontId="1"/>
  </si>
  <si>
    <t>ユーザーID</t>
    <phoneticPr fontId="1"/>
  </si>
  <si>
    <t>パスワード</t>
    <phoneticPr fontId="1"/>
  </si>
  <si>
    <t>d: 5</t>
    <phoneticPr fontId="1"/>
  </si>
  <si>
    <t>e: NoSuchAlgorithmException</t>
    <phoneticPr fontId="1"/>
  </si>
  <si>
    <t>システム開発：オ、氏名、住所、電話番号、メールアドレス、パスワード</t>
    <rPh sb="4" eb="6">
      <t>カイハツ</t>
    </rPh>
    <rPh sb="9" eb="11">
      <t>シメイ</t>
    </rPh>
    <rPh sb="12" eb="14">
      <t>ジュウショ</t>
    </rPh>
    <rPh sb="15" eb="19">
      <t>デンワバンゴウ</t>
    </rPh>
    <phoneticPr fontId="1"/>
  </si>
  <si>
    <t>システム運用：エ、氏名、住所、電話番号、メールアドレス、パスワード</t>
    <rPh sb="4" eb="6">
      <t>ウンヨウ</t>
    </rPh>
    <phoneticPr fontId="1"/>
  </si>
  <si>
    <t>SHA-256,SHA-512,SHA-384</t>
    <phoneticPr fontId="1"/>
  </si>
  <si>
    <t>CRYPTRECに記載ならOK</t>
    <rPh sb="9" eb="11">
      <t>キサイ</t>
    </rPh>
    <phoneticPr fontId="1"/>
  </si>
  <si>
    <t>throw new RuntimeException€</t>
    <phoneticPr fontId="1"/>
  </si>
  <si>
    <t>サイトX:ECサイト</t>
    <phoneticPr fontId="1"/>
  </si>
  <si>
    <t>サイトY：商品企画サイト</t>
    <rPh sb="5" eb="7">
      <t>ショウヒン</t>
    </rPh>
    <rPh sb="7" eb="9">
      <t>キカク</t>
    </rPh>
    <phoneticPr fontId="1"/>
  </si>
  <si>
    <t>CMSで構築</t>
    <rPh sb="4" eb="6">
      <t>コウチク</t>
    </rPh>
    <phoneticPr fontId="1"/>
  </si>
  <si>
    <t>サイトPにて共同研究</t>
    <rPh sb="6" eb="10">
      <t>キョウドウケンキュウ</t>
    </rPh>
    <phoneticPr fontId="1"/>
  </si>
  <si>
    <t>ストレージW</t>
    <phoneticPr fontId="1"/>
  </si>
  <si>
    <t>クラウドW</t>
    <phoneticPr fontId="1"/>
  </si>
  <si>
    <t>利用者ID、クレデンシャル情報必要</t>
    <rPh sb="0" eb="3">
      <t>リヨウシャ</t>
    </rPh>
    <rPh sb="13" eb="15">
      <t>ジョウホウ</t>
    </rPh>
    <rPh sb="15" eb="17">
      <t>ヒツヨウ</t>
    </rPh>
    <phoneticPr fontId="1"/>
  </si>
  <si>
    <t>攻撃者が自らのアカウントで入手したトークンと利用者情報をサイトXに送るように構成したフォームに、利用者を誘導の上、利用者情報を変更させる</t>
    <rPh sb="0" eb="3">
      <t>コウゲキシャ</t>
    </rPh>
    <rPh sb="4" eb="5">
      <t>ミズカ</t>
    </rPh>
    <rPh sb="13" eb="15">
      <t>ニュウシュ</t>
    </rPh>
    <rPh sb="22" eb="25">
      <t>リヨウシャ</t>
    </rPh>
    <rPh sb="25" eb="27">
      <t>ジョウホウ</t>
    </rPh>
    <rPh sb="33" eb="34">
      <t>オク</t>
    </rPh>
    <rPh sb="38" eb="40">
      <t>コウセイ</t>
    </rPh>
    <rPh sb="48" eb="51">
      <t>リヨウシャ</t>
    </rPh>
    <rPh sb="52" eb="54">
      <t>ユウドウ</t>
    </rPh>
    <rPh sb="55" eb="56">
      <t>ウエ</t>
    </rPh>
    <rPh sb="57" eb="60">
      <t>リヨウシャ</t>
    </rPh>
    <rPh sb="60" eb="62">
      <t>ジョウホウ</t>
    </rPh>
    <rPh sb="63" eb="65">
      <t>ヘンコウ</t>
    </rPh>
    <phoneticPr fontId="1"/>
  </si>
  <si>
    <t>a: ×</t>
    <phoneticPr fontId="1"/>
  </si>
  <si>
    <t>b: ×</t>
    <phoneticPr fontId="1"/>
  </si>
  <si>
    <t>c: 〇</t>
    <phoneticPr fontId="1"/>
  </si>
  <si>
    <t>d: ×</t>
    <phoneticPr fontId="1"/>
  </si>
  <si>
    <t>GETメソッドによるログインが出来ないため</t>
    <rPh sb="15" eb="17">
      <t>デキ</t>
    </rPh>
    <phoneticPr fontId="1"/>
  </si>
  <si>
    <t>変更後のURLにPOSTデータを送ることが出来ないため</t>
    <rPh sb="0" eb="3">
      <t>ヘンコウアト</t>
    </rPh>
    <rPh sb="16" eb="17">
      <t>オク</t>
    </rPh>
    <rPh sb="21" eb="23">
      <t>デキ</t>
    </rPh>
    <phoneticPr fontId="1"/>
  </si>
  <si>
    <t>pageをクレデンシャルを返すURLに変更の上、リクエストを送付する</t>
    <rPh sb="13" eb="14">
      <t>カエ</t>
    </rPh>
    <rPh sb="19" eb="21">
      <t>ヘンコウ</t>
    </rPh>
    <rPh sb="22" eb="23">
      <t>ウエ</t>
    </rPh>
    <rPh sb="30" eb="32">
      <t>ソウフ</t>
    </rPh>
    <phoneticPr fontId="1"/>
  </si>
  <si>
    <t>トークンを発行するURLにPUTメソッドでアクセスしてトークンを入手して、トークンをリクエストヘッダに含めてIMDSのクレデンシャル情報を返すURLにアクセスする</t>
    <rPh sb="5" eb="7">
      <t>ハッコウ</t>
    </rPh>
    <rPh sb="32" eb="34">
      <t>ニュウシュ</t>
    </rPh>
    <rPh sb="51" eb="52">
      <t>フク</t>
    </rPh>
    <rPh sb="66" eb="68">
      <t>ジョウホウ</t>
    </rPh>
    <rPh sb="69" eb="70">
      <t>カエ</t>
    </rPh>
    <phoneticPr fontId="1"/>
  </si>
  <si>
    <t>e: 例外</t>
    <rPh sb="3" eb="5">
      <t>レイガイ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</si>
</sst>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u/>
      <sz val="11"/>
      <color theme="10"/>
      <name val="Yu Gothic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0" fontId="3" fillId="0" borderId="0" xfId="1" applyAlignment="1">
      <alignment wrapText="1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s://&#9651;&#9651;.&#9651;.com/&#12408;&#25509;&#32154;&#12434;&#35430;&#12415;&#12383;PC&#12364;&#12411;&#12363;&#12395;&#12394;&#12356;&#12363;&#12434;time.csv&#12424;&#12426;&#30906;&#35469;&#12377;&#12427;&#12290;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https://i-sha.com/&#12395;&#23550;&#12375;&#12390;&#12289;&#12501;&#12457;&#12540;&#12512;&#12424;&#12426;&#20837;&#21147;&#12373;&#12428;&#12383;&#20516;&#12434;&#36865;&#20449;&#12375;&#12390;&#12356;&#12427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11"/>
  <sheetViews>
    <sheetView workbookViewId="0">
      <selection activeCell="E10" sqref="A10:E10"/>
    </sheetView>
  </sheetViews>
  <sheetFormatPr defaultRowHeight="18.75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s="2" t="s">
        <v>12</v>
      </c>
      <c r="C2" s="2" t="s">
        <v>14</v>
      </c>
      <c r="D2">
        <v>38</v>
      </c>
      <c r="E2">
        <v>50</v>
      </c>
    </row>
    <row r="3" spans="1:6">
      <c r="A3">
        <v>2</v>
      </c>
      <c r="B3" s="2" t="s">
        <v>12</v>
      </c>
      <c r="C3" s="2" t="s">
        <v>59</v>
      </c>
      <c r="D3">
        <v>38</v>
      </c>
      <c r="E3">
        <v>50</v>
      </c>
    </row>
    <row r="4" spans="1:6">
      <c r="A4">
        <v>3</v>
      </c>
      <c r="B4" s="2" t="s">
        <v>105</v>
      </c>
      <c r="C4" s="2" t="s">
        <v>14</v>
      </c>
      <c r="D4">
        <v>31</v>
      </c>
      <c r="E4">
        <v>50</v>
      </c>
    </row>
    <row r="5" spans="1:6">
      <c r="A5">
        <v>4</v>
      </c>
      <c r="B5" s="2" t="s">
        <v>105</v>
      </c>
      <c r="C5" s="2" t="s">
        <v>59</v>
      </c>
      <c r="D5">
        <v>27</v>
      </c>
      <c r="E5">
        <v>50</v>
      </c>
    </row>
    <row r="6" spans="1:6">
      <c r="A6">
        <v>5</v>
      </c>
      <c r="B6" s="2" t="s">
        <v>12</v>
      </c>
      <c r="C6" s="2" t="s">
        <v>239</v>
      </c>
      <c r="D6">
        <v>33</v>
      </c>
      <c r="E6">
        <v>50</v>
      </c>
    </row>
    <row r="7" spans="1:6">
      <c r="A7">
        <v>6</v>
      </c>
      <c r="B7" s="2" t="s">
        <v>105</v>
      </c>
      <c r="C7" s="2" t="s">
        <v>14</v>
      </c>
      <c r="D7">
        <v>40</v>
      </c>
      <c r="E7">
        <v>50</v>
      </c>
    </row>
    <row r="8" spans="1:6">
      <c r="A8">
        <v>7</v>
      </c>
      <c r="B8" s="2" t="s">
        <v>105</v>
      </c>
      <c r="C8" s="2" t="s">
        <v>239</v>
      </c>
      <c r="D8">
        <v>29</v>
      </c>
      <c r="E8">
        <v>50</v>
      </c>
    </row>
    <row r="9" spans="1:6">
      <c r="A9">
        <v>8</v>
      </c>
      <c r="B9" s="2" t="s">
        <v>12</v>
      </c>
      <c r="C9" s="2" t="s">
        <v>318</v>
      </c>
      <c r="D9">
        <v>39</v>
      </c>
      <c r="E9">
        <v>50</v>
      </c>
    </row>
    <row r="10" spans="1:6">
      <c r="A10">
        <v>9</v>
      </c>
      <c r="B10" s="2" t="s">
        <v>12</v>
      </c>
      <c r="C10" s="2" t="s">
        <v>239</v>
      </c>
      <c r="D10">
        <v>31</v>
      </c>
      <c r="E10">
        <v>50</v>
      </c>
    </row>
    <row r="11" spans="1:6">
      <c r="A11">
        <v>10</v>
      </c>
      <c r="B11" s="2" t="s">
        <v>12</v>
      </c>
      <c r="C11" s="2" t="s">
        <v>318</v>
      </c>
      <c r="D11">
        <v>48</v>
      </c>
      <c r="E11">
        <v>50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.75"/>
  <cols>
    <col min="1" max="1" width="8.75" style="2"/>
    <col min="2" max="2" width="96.875" style="1" customWidth="1"/>
    <col min="3" max="3" width="9.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17339-672A-4CD2-9C30-1F97D055E686}">
  <sheetPr codeName="Sheet4"/>
  <dimension ref="A1:O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C24" sqref="C24"/>
    </sheetView>
  </sheetViews>
  <sheetFormatPr defaultRowHeight="18.75"/>
  <cols>
    <col min="1" max="1" width="9" style="2"/>
    <col min="2" max="2" width="51.5" style="1" customWidth="1"/>
    <col min="3" max="3" width="9.75" customWidth="1"/>
  </cols>
  <sheetData>
    <row r="1" spans="1:15">
      <c r="A1" s="2" t="s">
        <v>0</v>
      </c>
      <c r="B1" s="1" t="s">
        <v>13</v>
      </c>
      <c r="K1" t="s">
        <v>49</v>
      </c>
    </row>
    <row r="2" spans="1:15">
      <c r="A2" s="2" t="s">
        <v>2</v>
      </c>
      <c r="B2" s="3" t="s">
        <v>15</v>
      </c>
      <c r="D2">
        <f>SUM(D4:D1000)</f>
        <v>38</v>
      </c>
      <c r="E2">
        <f>SUM(E4:E1000)</f>
        <v>50</v>
      </c>
    </row>
    <row r="3" spans="1:1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5">
      <c r="A4" s="2" t="s">
        <v>19</v>
      </c>
      <c r="B4" s="1" t="s">
        <v>20</v>
      </c>
      <c r="C4">
        <f>IF(B4&lt;&gt;"",LEN(B4),"")</f>
        <v>8</v>
      </c>
      <c r="D4">
        <f>E4*F4</f>
        <v>0</v>
      </c>
      <c r="E4">
        <v>3</v>
      </c>
      <c r="F4">
        <v>0</v>
      </c>
      <c r="G4" t="s">
        <v>16</v>
      </c>
      <c r="I4" t="s">
        <v>21</v>
      </c>
      <c r="K4" t="s">
        <v>26</v>
      </c>
      <c r="M4" t="s">
        <v>31</v>
      </c>
      <c r="O4" t="s">
        <v>40</v>
      </c>
    </row>
    <row r="5" spans="1:15">
      <c r="A5" s="2" t="s">
        <v>32</v>
      </c>
      <c r="B5" s="1">
        <v>500</v>
      </c>
      <c r="C5">
        <f t="shared" ref="C5:C68" si="0">IF(B5&lt;&gt;"",LEN(B5),"")</f>
        <v>3</v>
      </c>
      <c r="D5">
        <f t="shared" ref="D5:D16" si="1">E5*F5</f>
        <v>3</v>
      </c>
      <c r="E5">
        <v>3</v>
      </c>
      <c r="F5">
        <v>1</v>
      </c>
      <c r="G5" t="s">
        <v>17</v>
      </c>
      <c r="I5" t="s">
        <v>22</v>
      </c>
      <c r="K5" t="s">
        <v>27</v>
      </c>
      <c r="M5" t="s">
        <v>33</v>
      </c>
      <c r="O5" t="s">
        <v>41</v>
      </c>
    </row>
    <row r="6" spans="1:15">
      <c r="A6" s="2" t="s">
        <v>34</v>
      </c>
      <c r="B6" s="1" t="s">
        <v>37</v>
      </c>
      <c r="C6">
        <f t="shared" si="0"/>
        <v>14</v>
      </c>
      <c r="D6">
        <f t="shared" si="1"/>
        <v>2</v>
      </c>
      <c r="E6">
        <v>2</v>
      </c>
      <c r="F6">
        <v>1</v>
      </c>
      <c r="G6" t="s">
        <v>18</v>
      </c>
      <c r="I6" t="s">
        <v>23</v>
      </c>
      <c r="K6" t="s">
        <v>28</v>
      </c>
      <c r="M6" t="s">
        <v>35</v>
      </c>
      <c r="O6" t="s">
        <v>42</v>
      </c>
    </row>
    <row r="7" spans="1:15">
      <c r="B7" s="1" t="s">
        <v>38</v>
      </c>
      <c r="C7">
        <f t="shared" si="0"/>
        <v>14</v>
      </c>
      <c r="D7">
        <f t="shared" si="1"/>
        <v>3</v>
      </c>
      <c r="E7">
        <v>3</v>
      </c>
      <c r="F7">
        <v>1</v>
      </c>
      <c r="I7" t="s">
        <v>24</v>
      </c>
      <c r="K7" t="s">
        <v>29</v>
      </c>
      <c r="M7" t="s">
        <v>36</v>
      </c>
    </row>
    <row r="8" spans="1:15">
      <c r="A8" s="2" t="s">
        <v>39</v>
      </c>
      <c r="B8" s="1" t="s">
        <v>43</v>
      </c>
      <c r="C8">
        <f t="shared" si="0"/>
        <v>28</v>
      </c>
      <c r="D8">
        <f t="shared" si="1"/>
        <v>5</v>
      </c>
      <c r="E8">
        <v>5</v>
      </c>
      <c r="F8">
        <v>1</v>
      </c>
      <c r="I8" t="s">
        <v>25</v>
      </c>
      <c r="K8" t="s">
        <v>30</v>
      </c>
    </row>
    <row r="9" spans="1:15">
      <c r="A9" s="2" t="s">
        <v>44</v>
      </c>
      <c r="B9" s="1" t="s">
        <v>45</v>
      </c>
      <c r="C9">
        <f t="shared" si="0"/>
        <v>6</v>
      </c>
      <c r="D9">
        <f t="shared" si="1"/>
        <v>0</v>
      </c>
      <c r="E9">
        <v>3</v>
      </c>
      <c r="F9">
        <v>0</v>
      </c>
    </row>
    <row r="10" spans="1:15">
      <c r="A10" s="2" t="s">
        <v>46</v>
      </c>
      <c r="B10" s="1" t="s">
        <v>47</v>
      </c>
      <c r="C10">
        <f t="shared" si="0"/>
        <v>27</v>
      </c>
      <c r="D10">
        <f t="shared" si="1"/>
        <v>5</v>
      </c>
      <c r="E10">
        <v>5</v>
      </c>
      <c r="F10">
        <v>1</v>
      </c>
      <c r="I10" t="s">
        <v>96</v>
      </c>
    </row>
    <row r="11" spans="1:15" ht="37.5">
      <c r="A11" s="2" t="s">
        <v>48</v>
      </c>
      <c r="B11" s="1" t="s">
        <v>50</v>
      </c>
      <c r="C11">
        <f t="shared" si="0"/>
        <v>32</v>
      </c>
      <c r="D11">
        <f t="shared" si="1"/>
        <v>5</v>
      </c>
      <c r="E11">
        <v>5</v>
      </c>
      <c r="F11">
        <v>1</v>
      </c>
    </row>
    <row r="12" spans="1:15">
      <c r="A12" s="2" t="s">
        <v>51</v>
      </c>
      <c r="B12" s="1" t="s">
        <v>52</v>
      </c>
      <c r="C12">
        <f t="shared" si="0"/>
        <v>6</v>
      </c>
      <c r="D12">
        <f t="shared" si="1"/>
        <v>0</v>
      </c>
      <c r="E12">
        <v>3</v>
      </c>
      <c r="F12">
        <v>0</v>
      </c>
    </row>
    <row r="13" spans="1:15">
      <c r="B13" s="1" t="s">
        <v>53</v>
      </c>
      <c r="C13">
        <f t="shared" si="0"/>
        <v>6</v>
      </c>
      <c r="D13">
        <f t="shared" si="1"/>
        <v>0</v>
      </c>
      <c r="E13">
        <v>3</v>
      </c>
      <c r="F13">
        <v>0</v>
      </c>
    </row>
    <row r="14" spans="1:15">
      <c r="A14" s="2" t="s">
        <v>54</v>
      </c>
      <c r="B14" s="1" t="s">
        <v>55</v>
      </c>
      <c r="C14">
        <f t="shared" si="0"/>
        <v>20</v>
      </c>
      <c r="D14">
        <f t="shared" si="1"/>
        <v>5</v>
      </c>
      <c r="E14">
        <v>5</v>
      </c>
      <c r="F14">
        <v>1</v>
      </c>
    </row>
    <row r="15" spans="1:15">
      <c r="A15" s="2" t="s">
        <v>56</v>
      </c>
      <c r="B15" s="1" t="s">
        <v>57</v>
      </c>
      <c r="C15">
        <f t="shared" si="0"/>
        <v>17</v>
      </c>
      <c r="D15">
        <f t="shared" si="1"/>
        <v>5</v>
      </c>
      <c r="E15">
        <v>5</v>
      </c>
      <c r="F15">
        <v>1</v>
      </c>
    </row>
    <row r="16" spans="1:15">
      <c r="B16" s="1" t="s">
        <v>58</v>
      </c>
      <c r="C16">
        <f t="shared" si="0"/>
        <v>19</v>
      </c>
      <c r="D16">
        <f t="shared" si="1"/>
        <v>5</v>
      </c>
      <c r="E16">
        <v>5</v>
      </c>
      <c r="F16">
        <v>1</v>
      </c>
    </row>
    <row r="17" spans="1:3">
      <c r="C17" t="str">
        <f t="shared" si="0"/>
        <v/>
      </c>
    </row>
    <row r="18" spans="1:3">
      <c r="C18" t="str">
        <f t="shared" si="0"/>
        <v/>
      </c>
    </row>
    <row r="19" spans="1:3">
      <c r="C19" t="str">
        <f t="shared" si="0"/>
        <v/>
      </c>
    </row>
    <row r="20" spans="1:3">
      <c r="C20" t="str">
        <f t="shared" si="0"/>
        <v/>
      </c>
    </row>
    <row r="21" spans="1:3">
      <c r="A21" s="2" t="s">
        <v>19</v>
      </c>
      <c r="B21" s="1" t="s">
        <v>97</v>
      </c>
      <c r="C21">
        <v>1</v>
      </c>
    </row>
    <row r="22" spans="1:3">
      <c r="A22" s="2" t="s">
        <v>44</v>
      </c>
      <c r="B22" s="1" t="s">
        <v>98</v>
      </c>
      <c r="C22">
        <v>1</v>
      </c>
    </row>
    <row r="23" spans="1:3">
      <c r="A23" s="2" t="s">
        <v>48</v>
      </c>
      <c r="B23" s="1" t="s">
        <v>99</v>
      </c>
      <c r="C23">
        <v>0</v>
      </c>
    </row>
    <row r="24" spans="1:3">
      <c r="A24" s="2" t="s">
        <v>51</v>
      </c>
      <c r="B24" s="1" t="s">
        <v>100</v>
      </c>
      <c r="C24">
        <v>1</v>
      </c>
    </row>
    <row r="25" spans="1:3">
      <c r="B25" s="1" t="s">
        <v>101</v>
      </c>
      <c r="C25">
        <v>1</v>
      </c>
    </row>
    <row r="26" spans="1:3">
      <c r="C26" t="str">
        <f t="shared" si="0"/>
        <v/>
      </c>
    </row>
    <row r="27" spans="1:3">
      <c r="C27" t="str">
        <f t="shared" si="0"/>
        <v/>
      </c>
    </row>
    <row r="28" spans="1:3">
      <c r="C28" t="str">
        <f t="shared" si="0"/>
        <v/>
      </c>
    </row>
    <row r="29" spans="1:3">
      <c r="C29" t="str">
        <f t="shared" si="0"/>
        <v/>
      </c>
    </row>
    <row r="30" spans="1:3">
      <c r="C30" t="str">
        <f t="shared" si="0"/>
        <v/>
      </c>
    </row>
    <row r="31" spans="1:3">
      <c r="C31" t="str">
        <f t="shared" si="0"/>
        <v/>
      </c>
    </row>
    <row r="32" spans="1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autoFilter ref="A3:O167" xr:uid="{D2E17339-672A-4CD2-9C30-1F97D055E686}"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BB793-0035-4387-8243-0F6D485095AB}">
  <sheetPr codeName="Sheet5"/>
  <dimension ref="A1:O167"/>
  <sheetViews>
    <sheetView zoomScale="85" zoomScaleNormal="85" workbookViewId="0">
      <pane xSplit="1" ySplit="3" topLeftCell="B10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.75"/>
  <cols>
    <col min="1" max="1" width="9" style="2"/>
    <col min="2" max="2" width="56.375" style="1" customWidth="1"/>
    <col min="3" max="3" width="9.75" customWidth="1"/>
  </cols>
  <sheetData>
    <row r="1" spans="1:15">
      <c r="A1" s="2" t="s">
        <v>0</v>
      </c>
      <c r="B1" s="1" t="s">
        <v>13</v>
      </c>
    </row>
    <row r="2" spans="1:15">
      <c r="A2" s="2" t="s">
        <v>2</v>
      </c>
      <c r="B2" s="3" t="s">
        <v>60</v>
      </c>
      <c r="D2">
        <f>SUM(D4:D1000)</f>
        <v>38</v>
      </c>
      <c r="E2">
        <f>SUM(E4:E1000)</f>
        <v>50</v>
      </c>
    </row>
    <row r="3" spans="1:1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5" ht="37.5">
      <c r="A4" s="2" t="s">
        <v>77</v>
      </c>
      <c r="B4" s="1" t="s">
        <v>78</v>
      </c>
      <c r="C4">
        <f>IF(B4&lt;&gt;"",LEN(B4),"")</f>
        <v>38</v>
      </c>
      <c r="D4">
        <f>E4*F4</f>
        <v>5</v>
      </c>
      <c r="E4">
        <v>5</v>
      </c>
      <c r="F4">
        <v>1</v>
      </c>
      <c r="G4" t="s">
        <v>61</v>
      </c>
      <c r="I4" t="s">
        <v>65</v>
      </c>
      <c r="K4" t="s">
        <v>69</v>
      </c>
      <c r="M4" t="s">
        <v>66</v>
      </c>
      <c r="O4" t="s">
        <v>76</v>
      </c>
    </row>
    <row r="5" spans="1:15">
      <c r="A5" s="2" t="s">
        <v>79</v>
      </c>
      <c r="B5" s="1" t="s">
        <v>80</v>
      </c>
      <c r="C5">
        <f t="shared" ref="C5:C68" si="0">IF(B5&lt;&gt;"",LEN(B5),"")</f>
        <v>25</v>
      </c>
      <c r="D5">
        <f t="shared" ref="D5:D14" si="1">E5*F5</f>
        <v>4</v>
      </c>
      <c r="E5">
        <v>4</v>
      </c>
      <c r="F5">
        <v>1</v>
      </c>
      <c r="G5" t="s">
        <v>62</v>
      </c>
      <c r="I5" t="s">
        <v>66</v>
      </c>
      <c r="K5" t="s">
        <v>70</v>
      </c>
      <c r="M5" t="s">
        <v>73</v>
      </c>
      <c r="O5" t="s">
        <v>82</v>
      </c>
    </row>
    <row r="6" spans="1:15">
      <c r="A6" s="2" t="s">
        <v>81</v>
      </c>
      <c r="B6" s="1" t="s">
        <v>84</v>
      </c>
      <c r="C6">
        <f t="shared" si="0"/>
        <v>8</v>
      </c>
      <c r="D6">
        <f t="shared" si="1"/>
        <v>3</v>
      </c>
      <c r="E6">
        <v>3</v>
      </c>
      <c r="F6">
        <v>1</v>
      </c>
      <c r="G6" t="s">
        <v>63</v>
      </c>
      <c r="I6" t="s">
        <v>67</v>
      </c>
      <c r="K6" t="s">
        <v>71</v>
      </c>
      <c r="M6" t="s">
        <v>74</v>
      </c>
      <c r="O6" t="s">
        <v>83</v>
      </c>
    </row>
    <row r="7" spans="1:15">
      <c r="B7" s="1" t="s">
        <v>85</v>
      </c>
      <c r="C7">
        <f t="shared" si="0"/>
        <v>8</v>
      </c>
      <c r="D7">
        <f t="shared" si="1"/>
        <v>3</v>
      </c>
      <c r="E7">
        <v>3</v>
      </c>
      <c r="F7">
        <v>1</v>
      </c>
      <c r="G7" t="s">
        <v>64</v>
      </c>
      <c r="I7" t="s">
        <v>68</v>
      </c>
      <c r="K7" t="s">
        <v>72</v>
      </c>
      <c r="M7" t="s">
        <v>75</v>
      </c>
    </row>
    <row r="8" spans="1:15" ht="37.5">
      <c r="A8" s="2" t="s">
        <v>32</v>
      </c>
      <c r="B8" s="1" t="s">
        <v>86</v>
      </c>
      <c r="C8">
        <f t="shared" si="0"/>
        <v>61</v>
      </c>
      <c r="D8">
        <f t="shared" si="1"/>
        <v>5</v>
      </c>
      <c r="E8">
        <v>5</v>
      </c>
      <c r="F8">
        <v>1</v>
      </c>
    </row>
    <row r="9" spans="1:15" ht="56.25">
      <c r="B9" s="1" t="s">
        <v>87</v>
      </c>
      <c r="C9">
        <f t="shared" si="0"/>
        <v>77</v>
      </c>
      <c r="D9">
        <f t="shared" si="1"/>
        <v>5</v>
      </c>
      <c r="E9">
        <v>5</v>
      </c>
      <c r="F9">
        <v>1</v>
      </c>
    </row>
    <row r="10" spans="1:15" ht="37.5">
      <c r="A10" s="2" t="s">
        <v>34</v>
      </c>
      <c r="B10" s="1" t="s">
        <v>88</v>
      </c>
      <c r="C10">
        <f t="shared" si="0"/>
        <v>51</v>
      </c>
      <c r="D10">
        <f t="shared" si="1"/>
        <v>0</v>
      </c>
      <c r="E10">
        <v>5</v>
      </c>
      <c r="F10">
        <v>0</v>
      </c>
    </row>
    <row r="11" spans="1:15">
      <c r="A11" s="2" t="s">
        <v>48</v>
      </c>
      <c r="B11" s="1" t="s">
        <v>89</v>
      </c>
      <c r="C11">
        <f t="shared" si="0"/>
        <v>24</v>
      </c>
      <c r="D11">
        <f t="shared" si="1"/>
        <v>5</v>
      </c>
      <c r="E11">
        <v>5</v>
      </c>
      <c r="F11">
        <v>1</v>
      </c>
    </row>
    <row r="12" spans="1:15" ht="37.5">
      <c r="A12" s="2" t="s">
        <v>51</v>
      </c>
      <c r="B12" s="1" t="s">
        <v>90</v>
      </c>
      <c r="C12">
        <f t="shared" si="0"/>
        <v>33</v>
      </c>
      <c r="D12">
        <f t="shared" si="1"/>
        <v>3</v>
      </c>
      <c r="E12">
        <v>6</v>
      </c>
      <c r="F12">
        <v>0.5</v>
      </c>
    </row>
    <row r="13" spans="1:15">
      <c r="A13" s="2" t="s">
        <v>91</v>
      </c>
      <c r="B13" s="1" t="s">
        <v>92</v>
      </c>
      <c r="C13">
        <f t="shared" si="0"/>
        <v>17</v>
      </c>
      <c r="D13">
        <f t="shared" si="1"/>
        <v>0</v>
      </c>
      <c r="E13">
        <v>4</v>
      </c>
      <c r="F13">
        <v>0</v>
      </c>
    </row>
    <row r="14" spans="1:15">
      <c r="A14" s="2" t="s">
        <v>93</v>
      </c>
      <c r="B14" s="1" t="s">
        <v>94</v>
      </c>
      <c r="C14">
        <f t="shared" si="0"/>
        <v>31</v>
      </c>
      <c r="D14">
        <f t="shared" si="1"/>
        <v>5</v>
      </c>
      <c r="E14">
        <v>5</v>
      </c>
      <c r="F14">
        <v>1</v>
      </c>
    </row>
    <row r="15" spans="1:15">
      <c r="C15" t="str">
        <f t="shared" si="0"/>
        <v/>
      </c>
    </row>
    <row r="16" spans="1:15" ht="37.5">
      <c r="B16" s="1" t="s">
        <v>95</v>
      </c>
      <c r="C16">
        <f t="shared" si="0"/>
        <v>32</v>
      </c>
    </row>
    <row r="17" spans="1:3">
      <c r="C17" t="str">
        <f t="shared" si="0"/>
        <v/>
      </c>
    </row>
    <row r="18" spans="1:3">
      <c r="C18" t="str">
        <f t="shared" si="0"/>
        <v/>
      </c>
    </row>
    <row r="19" spans="1:3" ht="37.5">
      <c r="A19" s="2" t="s">
        <v>34</v>
      </c>
      <c r="B19" s="1" t="s">
        <v>102</v>
      </c>
      <c r="C19">
        <v>1</v>
      </c>
    </row>
    <row r="20" spans="1:3" ht="37.5">
      <c r="A20" s="2" t="s">
        <v>51</v>
      </c>
      <c r="B20" s="1" t="s">
        <v>103</v>
      </c>
      <c r="C20">
        <v>1</v>
      </c>
    </row>
    <row r="21" spans="1:3">
      <c r="A21" s="2" t="s">
        <v>91</v>
      </c>
      <c r="B21" s="1" t="s">
        <v>104</v>
      </c>
      <c r="C21">
        <v>1</v>
      </c>
    </row>
    <row r="22" spans="1:3">
      <c r="C22" t="str">
        <f t="shared" si="0"/>
        <v/>
      </c>
    </row>
    <row r="23" spans="1:3">
      <c r="C23" t="str">
        <f t="shared" si="0"/>
        <v/>
      </c>
    </row>
    <row r="24" spans="1:3">
      <c r="C24" t="str">
        <f t="shared" si="0"/>
        <v/>
      </c>
    </row>
    <row r="25" spans="1:3">
      <c r="C25" t="str">
        <f t="shared" si="0"/>
        <v/>
      </c>
    </row>
    <row r="26" spans="1:3">
      <c r="C26" t="str">
        <f t="shared" si="0"/>
        <v/>
      </c>
    </row>
    <row r="27" spans="1:3">
      <c r="C27" t="str">
        <f t="shared" si="0"/>
        <v/>
      </c>
    </row>
    <row r="28" spans="1:3">
      <c r="C28" t="str">
        <f t="shared" si="0"/>
        <v/>
      </c>
    </row>
    <row r="29" spans="1:3">
      <c r="C29" t="str">
        <f t="shared" si="0"/>
        <v/>
      </c>
    </row>
    <row r="30" spans="1:3">
      <c r="C30" t="str">
        <f t="shared" si="0"/>
        <v/>
      </c>
    </row>
    <row r="31" spans="1:3">
      <c r="C31" t="str">
        <f t="shared" si="0"/>
        <v/>
      </c>
    </row>
    <row r="32" spans="1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autoFilter ref="A3:O167" xr:uid="{082BB793-0035-4387-8243-0F6D485095AB}"/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CE5984-A1F3-465F-AF17-C32F022971DA}">
  <sheetPr codeName="Sheet6"/>
  <dimension ref="A1:M167"/>
  <sheetViews>
    <sheetView zoomScale="85" zoomScaleNormal="85" workbookViewId="0">
      <pane xSplit="1" ySplit="3" topLeftCell="B16" activePane="bottomRight" state="frozen"/>
      <selection pane="topRight" activeCell="B1" sqref="B1"/>
      <selection pane="bottomLeft" activeCell="A4" sqref="A4"/>
      <selection pane="bottomRight" activeCell="B31" sqref="B31"/>
    </sheetView>
  </sheetViews>
  <sheetFormatPr defaultRowHeight="18.75"/>
  <cols>
    <col min="1" max="1" width="9" style="2"/>
    <col min="2" max="2" width="63.75" style="1" customWidth="1"/>
    <col min="3" max="3" width="9.75" customWidth="1"/>
  </cols>
  <sheetData>
    <row r="1" spans="1:13">
      <c r="A1" s="2" t="s">
        <v>0</v>
      </c>
      <c r="B1" s="1" t="s">
        <v>106</v>
      </c>
    </row>
    <row r="2" spans="1:13">
      <c r="A2" s="2" t="s">
        <v>2</v>
      </c>
      <c r="B2" s="3" t="s">
        <v>15</v>
      </c>
      <c r="D2">
        <f>SUM(D4:D1000)</f>
        <v>31</v>
      </c>
      <c r="E2">
        <f>SUM(E4:E1000)</f>
        <v>50</v>
      </c>
    </row>
    <row r="3" spans="1:13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3">
      <c r="A4" s="2" t="s">
        <v>77</v>
      </c>
      <c r="B4" s="1" t="s">
        <v>126</v>
      </c>
      <c r="C4">
        <f>IF(B4&lt;&gt;"",LEN(B4),"")</f>
        <v>4</v>
      </c>
      <c r="D4">
        <f>E4*F4</f>
        <v>3</v>
      </c>
      <c r="E4">
        <v>3</v>
      </c>
      <c r="F4">
        <v>1</v>
      </c>
      <c r="G4" t="s">
        <v>107</v>
      </c>
      <c r="I4" t="s">
        <v>113</v>
      </c>
      <c r="K4" t="s">
        <v>119</v>
      </c>
      <c r="M4" t="s">
        <v>125</v>
      </c>
    </row>
    <row r="5" spans="1:13">
      <c r="A5" s="2" t="s">
        <v>79</v>
      </c>
      <c r="B5" s="1" t="s">
        <v>127</v>
      </c>
      <c r="C5">
        <f t="shared" ref="C5:C68" si="0">IF(B5&lt;&gt;"",LEN(B5),"")</f>
        <v>6</v>
      </c>
      <c r="D5">
        <f t="shared" ref="D5:D14" si="1">E5*F5</f>
        <v>3</v>
      </c>
      <c r="E5">
        <v>3</v>
      </c>
      <c r="F5">
        <v>1</v>
      </c>
      <c r="G5" t="s">
        <v>108</v>
      </c>
      <c r="I5" t="s">
        <v>114</v>
      </c>
      <c r="K5" t="s">
        <v>120</v>
      </c>
      <c r="M5" t="s">
        <v>136</v>
      </c>
    </row>
    <row r="6" spans="1:13">
      <c r="A6" s="2" t="s">
        <v>81</v>
      </c>
      <c r="B6" s="1" t="s">
        <v>128</v>
      </c>
      <c r="C6">
        <f t="shared" si="0"/>
        <v>12</v>
      </c>
      <c r="D6">
        <f t="shared" si="1"/>
        <v>3</v>
      </c>
      <c r="E6">
        <v>3</v>
      </c>
      <c r="F6">
        <v>1</v>
      </c>
      <c r="G6" t="s">
        <v>109</v>
      </c>
      <c r="I6" t="s">
        <v>115</v>
      </c>
      <c r="K6" t="s">
        <v>121</v>
      </c>
      <c r="M6" t="s">
        <v>137</v>
      </c>
    </row>
    <row r="7" spans="1:13">
      <c r="A7" s="2" t="s">
        <v>129</v>
      </c>
      <c r="B7" s="1" t="s">
        <v>130</v>
      </c>
      <c r="C7">
        <f t="shared" si="0"/>
        <v>3</v>
      </c>
      <c r="D7">
        <f t="shared" si="1"/>
        <v>3</v>
      </c>
      <c r="E7">
        <v>3</v>
      </c>
      <c r="F7">
        <v>1</v>
      </c>
      <c r="G7" t="s">
        <v>110</v>
      </c>
      <c r="I7" t="s">
        <v>116</v>
      </c>
      <c r="K7" t="s">
        <v>122</v>
      </c>
    </row>
    <row r="8" spans="1:13" ht="37.5">
      <c r="A8" s="2" t="s">
        <v>131</v>
      </c>
      <c r="B8" s="1" t="s">
        <v>132</v>
      </c>
      <c r="C8">
        <f t="shared" si="0"/>
        <v>87</v>
      </c>
      <c r="D8">
        <f t="shared" si="1"/>
        <v>6</v>
      </c>
      <c r="E8">
        <v>6</v>
      </c>
      <c r="F8">
        <v>1</v>
      </c>
      <c r="G8" t="s">
        <v>111</v>
      </c>
      <c r="I8" t="s">
        <v>117</v>
      </c>
      <c r="K8" t="s">
        <v>123</v>
      </c>
      <c r="M8" t="s">
        <v>138</v>
      </c>
    </row>
    <row r="9" spans="1:13" ht="37.5">
      <c r="A9" s="2" t="s">
        <v>133</v>
      </c>
      <c r="B9" s="4" t="s">
        <v>134</v>
      </c>
      <c r="C9">
        <f t="shared" si="0"/>
        <v>49</v>
      </c>
      <c r="D9">
        <f t="shared" si="1"/>
        <v>0</v>
      </c>
      <c r="E9">
        <v>6</v>
      </c>
      <c r="F9">
        <v>0</v>
      </c>
      <c r="G9" t="s">
        <v>112</v>
      </c>
      <c r="I9" t="s">
        <v>118</v>
      </c>
      <c r="K9" t="s">
        <v>124</v>
      </c>
      <c r="M9" t="s">
        <v>144</v>
      </c>
    </row>
    <row r="10" spans="1:13">
      <c r="A10" s="2" t="s">
        <v>135</v>
      </c>
      <c r="B10" s="1" t="s">
        <v>139</v>
      </c>
      <c r="C10">
        <f t="shared" si="0"/>
        <v>34</v>
      </c>
      <c r="D10">
        <f t="shared" si="1"/>
        <v>0</v>
      </c>
      <c r="E10">
        <v>6</v>
      </c>
      <c r="F10">
        <v>0</v>
      </c>
    </row>
    <row r="11" spans="1:13">
      <c r="A11" s="2" t="s">
        <v>140</v>
      </c>
      <c r="B11" s="1" t="s">
        <v>141</v>
      </c>
      <c r="C11">
        <f t="shared" si="0"/>
        <v>32</v>
      </c>
      <c r="D11">
        <f t="shared" si="1"/>
        <v>5</v>
      </c>
      <c r="E11">
        <v>5</v>
      </c>
      <c r="F11">
        <v>1</v>
      </c>
    </row>
    <row r="12" spans="1:13" ht="37.5">
      <c r="B12" s="1" t="s">
        <v>142</v>
      </c>
      <c r="C12">
        <f t="shared" si="0"/>
        <v>38</v>
      </c>
      <c r="D12">
        <f t="shared" si="1"/>
        <v>5</v>
      </c>
      <c r="E12">
        <v>5</v>
      </c>
      <c r="F12">
        <v>1</v>
      </c>
      <c r="H12" t="s">
        <v>147</v>
      </c>
    </row>
    <row r="13" spans="1:13">
      <c r="A13" s="2" t="s">
        <v>143</v>
      </c>
      <c r="B13" s="1" t="s">
        <v>145</v>
      </c>
      <c r="C13">
        <f t="shared" si="0"/>
        <v>26</v>
      </c>
      <c r="D13">
        <v>3</v>
      </c>
      <c r="E13">
        <v>5</v>
      </c>
      <c r="F13">
        <v>0.5</v>
      </c>
    </row>
    <row r="14" spans="1:13" ht="37.5">
      <c r="B14" s="1" t="s">
        <v>146</v>
      </c>
      <c r="C14">
        <f t="shared" si="0"/>
        <v>34</v>
      </c>
      <c r="D14">
        <f t="shared" si="1"/>
        <v>0</v>
      </c>
      <c r="E14">
        <v>5</v>
      </c>
      <c r="F14">
        <v>0</v>
      </c>
    </row>
    <row r="15" spans="1:13">
      <c r="C15" t="str">
        <f t="shared" si="0"/>
        <v/>
      </c>
      <c r="H15" t="s">
        <v>188</v>
      </c>
    </row>
    <row r="16" spans="1:13">
      <c r="B16" s="1" t="s">
        <v>186</v>
      </c>
      <c r="C16">
        <f t="shared" si="0"/>
        <v>4</v>
      </c>
    </row>
    <row r="17" spans="1:3">
      <c r="C17" t="str">
        <f t="shared" si="0"/>
        <v/>
      </c>
    </row>
    <row r="18" spans="1:3">
      <c r="C18" t="str">
        <f t="shared" si="0"/>
        <v/>
      </c>
    </row>
    <row r="19" spans="1:3">
      <c r="C19" t="str">
        <f t="shared" si="0"/>
        <v/>
      </c>
    </row>
    <row r="20" spans="1:3">
      <c r="A20" s="2" t="s">
        <v>1</v>
      </c>
      <c r="B20" s="1" t="s">
        <v>3</v>
      </c>
    </row>
    <row r="21" spans="1:3" ht="37.5">
      <c r="A21" s="2" t="s">
        <v>183</v>
      </c>
      <c r="B21" s="1" t="s">
        <v>187</v>
      </c>
      <c r="C21">
        <v>1</v>
      </c>
    </row>
    <row r="22" spans="1:3">
      <c r="A22" s="2" t="s">
        <v>184</v>
      </c>
      <c r="B22" s="1" t="s">
        <v>189</v>
      </c>
      <c r="C22">
        <v>0.5</v>
      </c>
    </row>
    <row r="23" spans="1:3">
      <c r="A23" s="2" t="s">
        <v>185</v>
      </c>
      <c r="B23" s="1" t="s">
        <v>190</v>
      </c>
    </row>
    <row r="24" spans="1:3">
      <c r="B24" s="1" t="s">
        <v>191</v>
      </c>
    </row>
    <row r="25" spans="1:3">
      <c r="C25" t="str">
        <f t="shared" si="0"/>
        <v/>
      </c>
    </row>
    <row r="26" spans="1:3">
      <c r="B26" s="1" t="s">
        <v>192</v>
      </c>
      <c r="C26">
        <f t="shared" si="0"/>
        <v>20</v>
      </c>
    </row>
    <row r="27" spans="1:3">
      <c r="B27" s="1" t="s">
        <v>193</v>
      </c>
      <c r="C27">
        <f t="shared" si="0"/>
        <v>26</v>
      </c>
    </row>
    <row r="28" spans="1:3">
      <c r="B28" s="1" t="s">
        <v>194</v>
      </c>
      <c r="C28">
        <f t="shared" si="0"/>
        <v>31</v>
      </c>
    </row>
    <row r="29" spans="1:3">
      <c r="C29" t="str">
        <f t="shared" si="0"/>
        <v/>
      </c>
    </row>
    <row r="30" spans="1:3">
      <c r="B30" s="1" t="s">
        <v>195</v>
      </c>
      <c r="C30">
        <f t="shared" si="0"/>
        <v>25</v>
      </c>
    </row>
    <row r="31" spans="1:3">
      <c r="C31" t="str">
        <f t="shared" si="0"/>
        <v/>
      </c>
    </row>
    <row r="32" spans="1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autoFilter ref="A3:M167" xr:uid="{AECE5984-A1F3-465F-AF17-C32F022971DA}"/>
  <phoneticPr fontId="1"/>
  <hyperlinks>
    <hyperlink ref="B9" r:id="rId1" xr:uid="{CE18F807-FFBC-45F7-878A-EF42CD5CE5D0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8B68B-ED49-4F89-A8C4-EE5AEDDDC9F5}">
  <sheetPr codeName="Sheet7"/>
  <dimension ref="A1:M167"/>
  <sheetViews>
    <sheetView zoomScale="85" zoomScaleNormal="85" workbookViewId="0">
      <pane xSplit="1" ySplit="3" topLeftCell="B7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.75"/>
  <cols>
    <col min="1" max="1" width="9" style="2"/>
    <col min="2" max="2" width="53.875" style="1" customWidth="1"/>
    <col min="3" max="3" width="9.75" customWidth="1"/>
  </cols>
  <sheetData>
    <row r="1" spans="1:13">
      <c r="A1" s="2" t="s">
        <v>0</v>
      </c>
      <c r="B1" s="1" t="s">
        <v>106</v>
      </c>
    </row>
    <row r="2" spans="1:13">
      <c r="A2" s="2" t="s">
        <v>2</v>
      </c>
      <c r="B2" s="3" t="s">
        <v>60</v>
      </c>
      <c r="D2">
        <f>SUM(D4:D1000)</f>
        <v>31</v>
      </c>
      <c r="E2">
        <f>SUM(E4:E1000)</f>
        <v>50</v>
      </c>
    </row>
    <row r="3" spans="1:13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3">
      <c r="A4" s="2" t="s">
        <v>77</v>
      </c>
      <c r="B4" s="1" t="s">
        <v>155</v>
      </c>
      <c r="C4">
        <f>IF(B4&lt;&gt;"",LEN(B4),"")</f>
        <v>7</v>
      </c>
      <c r="D4">
        <f>E4*F4</f>
        <v>3</v>
      </c>
      <c r="E4">
        <v>3</v>
      </c>
      <c r="F4">
        <v>1</v>
      </c>
      <c r="G4" t="s">
        <v>148</v>
      </c>
      <c r="I4" t="s">
        <v>153</v>
      </c>
      <c r="K4" t="s">
        <v>160</v>
      </c>
      <c r="M4" t="s">
        <v>166</v>
      </c>
    </row>
    <row r="5" spans="1:13">
      <c r="A5" s="2" t="s">
        <v>79</v>
      </c>
      <c r="B5" s="1" t="s">
        <v>158</v>
      </c>
      <c r="C5">
        <f t="shared" ref="C5:C68" si="0">IF(B5&lt;&gt;"",LEN(B5),"")</f>
        <v>3</v>
      </c>
      <c r="D5">
        <f t="shared" ref="D5:D15" si="1">E5*F5</f>
        <v>3</v>
      </c>
      <c r="E5">
        <v>3</v>
      </c>
      <c r="F5">
        <v>1</v>
      </c>
      <c r="G5" t="s">
        <v>149</v>
      </c>
      <c r="I5" t="s">
        <v>154</v>
      </c>
      <c r="K5" t="s">
        <v>161</v>
      </c>
      <c r="M5" t="s">
        <v>167</v>
      </c>
    </row>
    <row r="6" spans="1:13">
      <c r="A6" s="2" t="s">
        <v>143</v>
      </c>
      <c r="B6" s="1" t="s">
        <v>164</v>
      </c>
      <c r="C6">
        <f t="shared" si="0"/>
        <v>5</v>
      </c>
      <c r="D6">
        <f t="shared" si="1"/>
        <v>3</v>
      </c>
      <c r="E6">
        <v>3</v>
      </c>
      <c r="F6">
        <v>1</v>
      </c>
      <c r="G6" t="s">
        <v>150</v>
      </c>
      <c r="I6" t="s">
        <v>156</v>
      </c>
      <c r="K6" t="s">
        <v>162</v>
      </c>
      <c r="M6" t="s">
        <v>168</v>
      </c>
    </row>
    <row r="7" spans="1:13">
      <c r="A7" s="2" t="s">
        <v>48</v>
      </c>
      <c r="B7" s="1" t="s">
        <v>170</v>
      </c>
      <c r="C7">
        <f t="shared" si="0"/>
        <v>1</v>
      </c>
      <c r="D7">
        <f t="shared" si="1"/>
        <v>0</v>
      </c>
      <c r="E7">
        <v>3</v>
      </c>
      <c r="F7">
        <v>0</v>
      </c>
      <c r="G7" t="s">
        <v>151</v>
      </c>
      <c r="I7" t="s">
        <v>157</v>
      </c>
      <c r="K7" t="s">
        <v>163</v>
      </c>
      <c r="M7" t="s">
        <v>169</v>
      </c>
    </row>
    <row r="8" spans="1:13">
      <c r="A8" s="2" t="s">
        <v>51</v>
      </c>
      <c r="B8" s="1" t="s">
        <v>171</v>
      </c>
      <c r="C8">
        <f t="shared" si="0"/>
        <v>1</v>
      </c>
      <c r="D8">
        <f t="shared" si="1"/>
        <v>3</v>
      </c>
      <c r="E8">
        <v>3</v>
      </c>
      <c r="F8">
        <v>1</v>
      </c>
      <c r="G8" t="s">
        <v>152</v>
      </c>
      <c r="I8" t="s">
        <v>159</v>
      </c>
      <c r="K8" t="s">
        <v>165</v>
      </c>
      <c r="M8" t="s">
        <v>177</v>
      </c>
    </row>
    <row r="9" spans="1:13" ht="37.5">
      <c r="A9" s="2" t="s">
        <v>91</v>
      </c>
      <c r="B9" s="1" t="s">
        <v>172</v>
      </c>
      <c r="C9">
        <f t="shared" si="0"/>
        <v>30</v>
      </c>
      <c r="D9">
        <f t="shared" si="1"/>
        <v>6</v>
      </c>
      <c r="E9">
        <v>6</v>
      </c>
      <c r="F9">
        <v>1</v>
      </c>
      <c r="M9" t="s">
        <v>149</v>
      </c>
    </row>
    <row r="10" spans="1:13">
      <c r="A10" s="2" t="s">
        <v>93</v>
      </c>
      <c r="B10" s="1" t="s">
        <v>173</v>
      </c>
      <c r="C10">
        <f t="shared" si="0"/>
        <v>22</v>
      </c>
      <c r="D10">
        <f t="shared" si="1"/>
        <v>0</v>
      </c>
      <c r="E10">
        <v>4</v>
      </c>
      <c r="F10">
        <v>0</v>
      </c>
      <c r="M10" t="s">
        <v>197</v>
      </c>
    </row>
    <row r="11" spans="1:13" ht="37.5">
      <c r="B11" s="1" t="s">
        <v>174</v>
      </c>
      <c r="C11">
        <f t="shared" si="0"/>
        <v>32</v>
      </c>
      <c r="D11">
        <f t="shared" si="1"/>
        <v>0</v>
      </c>
      <c r="E11">
        <v>4</v>
      </c>
      <c r="F11">
        <v>0</v>
      </c>
      <c r="M11" t="s">
        <v>198</v>
      </c>
    </row>
    <row r="12" spans="1:13">
      <c r="A12" s="2" t="s">
        <v>175</v>
      </c>
      <c r="B12" s="1" t="s">
        <v>176</v>
      </c>
      <c r="C12">
        <f t="shared" si="0"/>
        <v>1</v>
      </c>
      <c r="D12">
        <f t="shared" si="1"/>
        <v>0</v>
      </c>
      <c r="E12">
        <v>3</v>
      </c>
      <c r="F12">
        <v>0</v>
      </c>
    </row>
    <row r="13" spans="1:13" ht="37.5">
      <c r="A13" s="2" t="s">
        <v>178</v>
      </c>
      <c r="B13" s="1" t="s">
        <v>179</v>
      </c>
      <c r="C13">
        <f t="shared" si="0"/>
        <v>33</v>
      </c>
      <c r="D13">
        <f t="shared" si="1"/>
        <v>3</v>
      </c>
      <c r="E13">
        <v>6</v>
      </c>
      <c r="F13">
        <v>0.5</v>
      </c>
    </row>
    <row r="14" spans="1:13" ht="37.5">
      <c r="A14" s="2" t="s">
        <v>180</v>
      </c>
      <c r="B14" s="1" t="s">
        <v>181</v>
      </c>
      <c r="C14">
        <f t="shared" si="0"/>
        <v>45</v>
      </c>
      <c r="D14">
        <f t="shared" si="1"/>
        <v>6</v>
      </c>
      <c r="E14">
        <v>6</v>
      </c>
      <c r="F14">
        <v>1</v>
      </c>
    </row>
    <row r="15" spans="1:13" ht="37.5">
      <c r="B15" s="1" t="s">
        <v>182</v>
      </c>
      <c r="C15">
        <f t="shared" si="0"/>
        <v>50</v>
      </c>
      <c r="D15">
        <f t="shared" si="1"/>
        <v>0</v>
      </c>
      <c r="E15">
        <v>6</v>
      </c>
      <c r="F15">
        <v>0</v>
      </c>
    </row>
    <row r="16" spans="1:13">
      <c r="C16" t="str">
        <f t="shared" si="0"/>
        <v/>
      </c>
    </row>
    <row r="17" spans="1:9">
      <c r="C17" t="str">
        <f t="shared" si="0"/>
        <v/>
      </c>
    </row>
    <row r="18" spans="1:9">
      <c r="B18" s="1" t="s">
        <v>196</v>
      </c>
      <c r="C18">
        <f t="shared" si="0"/>
        <v>3</v>
      </c>
    </row>
    <row r="19" spans="1:9">
      <c r="A19" s="2" t="s">
        <v>48</v>
      </c>
      <c r="B19" s="1" t="s">
        <v>176</v>
      </c>
      <c r="C19">
        <f t="shared" si="0"/>
        <v>1</v>
      </c>
      <c r="D19">
        <v>1</v>
      </c>
      <c r="I19" t="s">
        <v>199</v>
      </c>
    </row>
    <row r="20" spans="1:9">
      <c r="A20" s="2" t="s">
        <v>93</v>
      </c>
      <c r="B20" s="1" t="s">
        <v>201</v>
      </c>
      <c r="C20">
        <f t="shared" si="0"/>
        <v>28</v>
      </c>
      <c r="D20">
        <v>1</v>
      </c>
      <c r="I20" t="s">
        <v>203</v>
      </c>
    </row>
    <row r="21" spans="1:9" ht="37.5">
      <c r="B21" s="1" t="s">
        <v>200</v>
      </c>
      <c r="C21">
        <f t="shared" si="0"/>
        <v>40</v>
      </c>
      <c r="D21">
        <v>1</v>
      </c>
      <c r="I21" t="s">
        <v>204</v>
      </c>
    </row>
    <row r="22" spans="1:9">
      <c r="A22" s="2" t="s">
        <v>175</v>
      </c>
      <c r="B22" s="1" t="s">
        <v>202</v>
      </c>
      <c r="C22">
        <f t="shared" si="0"/>
        <v>1</v>
      </c>
      <c r="D22">
        <v>1</v>
      </c>
      <c r="I22" t="s">
        <v>205</v>
      </c>
    </row>
    <row r="23" spans="1:9">
      <c r="A23" s="2" t="s">
        <v>178</v>
      </c>
      <c r="B23" s="1" t="s">
        <v>207</v>
      </c>
      <c r="C23">
        <f t="shared" si="0"/>
        <v>31</v>
      </c>
      <c r="I23" t="s">
        <v>206</v>
      </c>
    </row>
    <row r="24" spans="1:9" ht="37.5">
      <c r="A24" s="2" t="s">
        <v>180</v>
      </c>
      <c r="B24" s="1" t="s">
        <v>208</v>
      </c>
      <c r="C24">
        <f t="shared" si="0"/>
        <v>43</v>
      </c>
    </row>
    <row r="25" spans="1:9">
      <c r="C25" t="str">
        <f t="shared" si="0"/>
        <v/>
      </c>
    </row>
    <row r="26" spans="1:9">
      <c r="C26" t="str">
        <f t="shared" si="0"/>
        <v/>
      </c>
    </row>
    <row r="27" spans="1:9">
      <c r="C27" t="str">
        <f t="shared" si="0"/>
        <v/>
      </c>
    </row>
    <row r="28" spans="1:9">
      <c r="C28" t="str">
        <f t="shared" si="0"/>
        <v/>
      </c>
    </row>
    <row r="29" spans="1:9">
      <c r="C29" t="str">
        <f t="shared" si="0"/>
        <v/>
      </c>
    </row>
    <row r="30" spans="1:9">
      <c r="C30" t="str">
        <f t="shared" si="0"/>
        <v/>
      </c>
    </row>
    <row r="31" spans="1:9">
      <c r="C31" t="str">
        <f t="shared" si="0"/>
        <v/>
      </c>
    </row>
    <row r="32" spans="1:9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autoFilter ref="A3:M167" xr:uid="{D668B68B-ED49-4F89-A8C4-EE5AEDDDC9F5}"/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9F301-FE55-4F56-BB31-63C8F44DB1F0}">
  <sheetPr codeName="Sheet8"/>
  <dimension ref="A1:K167"/>
  <sheetViews>
    <sheetView zoomScale="115" zoomScaleNormal="11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.75"/>
  <cols>
    <col min="1" max="1" width="9" style="2"/>
    <col min="2" max="2" width="66" style="1" customWidth="1"/>
    <col min="3" max="3" width="9.75" customWidth="1"/>
  </cols>
  <sheetData>
    <row r="1" spans="1:11">
      <c r="A1" s="2" t="s">
        <v>0</v>
      </c>
      <c r="B1" s="1" t="s">
        <v>13</v>
      </c>
    </row>
    <row r="2" spans="1:11">
      <c r="A2" s="2" t="s">
        <v>2</v>
      </c>
      <c r="B2" s="3" t="s">
        <v>209</v>
      </c>
      <c r="D2">
        <f>SUM(D4:D1000)</f>
        <v>33</v>
      </c>
      <c r="E2">
        <f>SUM(E4:E1000)</f>
        <v>50</v>
      </c>
    </row>
    <row r="3" spans="1:11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1">
      <c r="A4" s="2" t="s">
        <v>77</v>
      </c>
      <c r="B4" s="1">
        <v>9</v>
      </c>
      <c r="C4">
        <f>IF(B4&lt;&gt;"",LEN(B4),"")</f>
        <v>1</v>
      </c>
      <c r="D4">
        <f>E4*F4</f>
        <v>3</v>
      </c>
      <c r="E4">
        <v>3</v>
      </c>
      <c r="F4">
        <v>1</v>
      </c>
      <c r="G4" t="s">
        <v>210</v>
      </c>
      <c r="I4" t="s">
        <v>215</v>
      </c>
      <c r="K4" t="s">
        <v>220</v>
      </c>
    </row>
    <row r="5" spans="1:11" ht="75">
      <c r="A5" s="2" t="s">
        <v>79</v>
      </c>
      <c r="B5" s="1" t="s">
        <v>221</v>
      </c>
      <c r="C5">
        <f t="shared" ref="C5:C68" si="0">IF(B5&lt;&gt;"",LEN(B5),"")</f>
        <v>114</v>
      </c>
      <c r="D5">
        <f t="shared" ref="D5:D16" si="1">E5*F5</f>
        <v>3</v>
      </c>
      <c r="E5">
        <v>5</v>
      </c>
      <c r="F5">
        <v>0.6</v>
      </c>
      <c r="G5" t="s">
        <v>211</v>
      </c>
      <c r="I5" t="s">
        <v>216</v>
      </c>
    </row>
    <row r="6" spans="1:11" ht="56.25">
      <c r="A6" s="2" t="s">
        <v>32</v>
      </c>
      <c r="B6" s="1" t="s">
        <v>222</v>
      </c>
      <c r="C6">
        <f t="shared" si="0"/>
        <v>84</v>
      </c>
      <c r="D6">
        <f t="shared" si="1"/>
        <v>0</v>
      </c>
      <c r="E6">
        <v>5</v>
      </c>
      <c r="F6">
        <v>0</v>
      </c>
      <c r="G6" t="s">
        <v>212</v>
      </c>
      <c r="I6" t="s">
        <v>217</v>
      </c>
    </row>
    <row r="7" spans="1:11">
      <c r="A7" s="2" t="s">
        <v>34</v>
      </c>
      <c r="B7" s="1" t="s">
        <v>223</v>
      </c>
      <c r="C7">
        <f t="shared" si="0"/>
        <v>3</v>
      </c>
      <c r="D7">
        <f t="shared" si="1"/>
        <v>2</v>
      </c>
      <c r="E7">
        <v>2</v>
      </c>
      <c r="F7">
        <v>1</v>
      </c>
      <c r="G7" t="s">
        <v>213</v>
      </c>
      <c r="I7" t="s">
        <v>218</v>
      </c>
    </row>
    <row r="8" spans="1:11">
      <c r="B8" s="1" t="s">
        <v>224</v>
      </c>
      <c r="C8">
        <f t="shared" si="0"/>
        <v>3</v>
      </c>
      <c r="D8">
        <f t="shared" si="1"/>
        <v>2</v>
      </c>
      <c r="E8">
        <v>2</v>
      </c>
      <c r="F8">
        <v>1</v>
      </c>
      <c r="G8" t="s">
        <v>214</v>
      </c>
      <c r="I8" t="s">
        <v>219</v>
      </c>
    </row>
    <row r="9" spans="1:11">
      <c r="B9" s="1" t="s">
        <v>225</v>
      </c>
      <c r="C9">
        <f t="shared" si="0"/>
        <v>3</v>
      </c>
      <c r="D9">
        <f t="shared" si="1"/>
        <v>2</v>
      </c>
      <c r="E9">
        <v>2</v>
      </c>
      <c r="F9">
        <v>1</v>
      </c>
    </row>
    <row r="10" spans="1:11">
      <c r="B10" s="1" t="s">
        <v>226</v>
      </c>
      <c r="C10">
        <f t="shared" si="0"/>
        <v>3</v>
      </c>
      <c r="D10">
        <f t="shared" si="1"/>
        <v>2</v>
      </c>
      <c r="E10">
        <v>2</v>
      </c>
      <c r="F10">
        <v>1</v>
      </c>
    </row>
    <row r="11" spans="1:11">
      <c r="A11" s="2" t="s">
        <v>227</v>
      </c>
      <c r="B11" s="1" t="s">
        <v>228</v>
      </c>
      <c r="C11">
        <f t="shared" si="0"/>
        <v>27</v>
      </c>
      <c r="D11">
        <f t="shared" si="1"/>
        <v>4</v>
      </c>
      <c r="E11">
        <v>4</v>
      </c>
      <c r="F11">
        <v>1</v>
      </c>
    </row>
    <row r="12" spans="1:11">
      <c r="A12" s="2" t="s">
        <v>229</v>
      </c>
      <c r="B12" s="1" t="s">
        <v>230</v>
      </c>
      <c r="C12">
        <f t="shared" si="0"/>
        <v>33</v>
      </c>
      <c r="D12">
        <f t="shared" si="1"/>
        <v>5</v>
      </c>
      <c r="E12">
        <v>5</v>
      </c>
      <c r="F12">
        <v>1</v>
      </c>
    </row>
    <row r="13" spans="1:11">
      <c r="A13" s="2" t="s">
        <v>231</v>
      </c>
      <c r="B13" s="1" t="s">
        <v>232</v>
      </c>
      <c r="C13">
        <f t="shared" si="0"/>
        <v>31</v>
      </c>
      <c r="D13">
        <f t="shared" si="1"/>
        <v>5</v>
      </c>
      <c r="E13">
        <v>5</v>
      </c>
      <c r="F13">
        <v>1</v>
      </c>
    </row>
    <row r="14" spans="1:11">
      <c r="A14" s="2" t="s">
        <v>233</v>
      </c>
      <c r="B14" s="1" t="s">
        <v>234</v>
      </c>
      <c r="C14">
        <f t="shared" si="0"/>
        <v>35</v>
      </c>
      <c r="D14">
        <f t="shared" si="1"/>
        <v>5</v>
      </c>
      <c r="E14">
        <v>5</v>
      </c>
      <c r="F14">
        <v>1</v>
      </c>
    </row>
    <row r="15" spans="1:11" ht="56.25">
      <c r="A15" s="2" t="s">
        <v>235</v>
      </c>
      <c r="B15" s="1" t="s">
        <v>236</v>
      </c>
      <c r="C15">
        <f t="shared" si="0"/>
        <v>79</v>
      </c>
      <c r="D15">
        <f t="shared" si="1"/>
        <v>0</v>
      </c>
      <c r="E15">
        <v>5</v>
      </c>
      <c r="F15">
        <v>0</v>
      </c>
    </row>
    <row r="16" spans="1:11">
      <c r="A16" s="2" t="s">
        <v>237</v>
      </c>
      <c r="B16" s="1" t="s">
        <v>238</v>
      </c>
      <c r="C16">
        <f t="shared" si="0"/>
        <v>30</v>
      </c>
      <c r="D16">
        <f t="shared" si="1"/>
        <v>0</v>
      </c>
      <c r="E16">
        <v>5</v>
      </c>
      <c r="F16">
        <v>0</v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1BEB0-A0CE-4826-A893-25C1851F01D7}">
  <sheetPr codeName="Sheet9"/>
  <dimension ref="A1:O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.75"/>
  <cols>
    <col min="1" max="1" width="9" style="2"/>
    <col min="2" max="2" width="52.75" style="1" customWidth="1"/>
    <col min="3" max="3" width="9.75" customWidth="1"/>
  </cols>
  <sheetData>
    <row r="1" spans="1:15">
      <c r="A1" s="2" t="s">
        <v>0</v>
      </c>
      <c r="B1" s="1" t="s">
        <v>106</v>
      </c>
    </row>
    <row r="2" spans="1:15">
      <c r="A2" s="2" t="s">
        <v>2</v>
      </c>
      <c r="B2" s="3" t="s">
        <v>15</v>
      </c>
      <c r="D2">
        <f>SUM(D4:D1000)</f>
        <v>40</v>
      </c>
      <c r="E2">
        <f>SUM(E4:E1000)</f>
        <v>50</v>
      </c>
    </row>
    <row r="3" spans="1:1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5">
      <c r="A4" s="2" t="s">
        <v>77</v>
      </c>
      <c r="B4" s="1" t="s">
        <v>263</v>
      </c>
      <c r="C4">
        <f>IF(B4&lt;&gt;"",LEN(B4),"")</f>
        <v>7</v>
      </c>
      <c r="D4">
        <f>E4*F4</f>
        <v>3</v>
      </c>
      <c r="E4">
        <v>3</v>
      </c>
      <c r="F4">
        <v>1</v>
      </c>
      <c r="G4" t="s">
        <v>240</v>
      </c>
      <c r="I4" t="s">
        <v>111</v>
      </c>
      <c r="K4" t="s">
        <v>249</v>
      </c>
      <c r="M4" t="s">
        <v>254</v>
      </c>
      <c r="O4" t="s">
        <v>258</v>
      </c>
    </row>
    <row r="5" spans="1:15">
      <c r="A5" s="2" t="s">
        <v>79</v>
      </c>
      <c r="B5" s="1" t="s">
        <v>264</v>
      </c>
      <c r="C5">
        <f t="shared" ref="C5:C68" si="0">IF(B5&lt;&gt;"",LEN(B5),"")</f>
        <v>9</v>
      </c>
      <c r="D5">
        <f t="shared" ref="D5:D14" si="1">E5*F5</f>
        <v>3</v>
      </c>
      <c r="E5">
        <v>3</v>
      </c>
      <c r="F5">
        <v>1</v>
      </c>
      <c r="G5" t="s">
        <v>241</v>
      </c>
      <c r="I5" t="s">
        <v>245</v>
      </c>
      <c r="K5" t="s">
        <v>250</v>
      </c>
      <c r="M5" t="s">
        <v>255</v>
      </c>
      <c r="O5" t="s">
        <v>259</v>
      </c>
    </row>
    <row r="6" spans="1:15">
      <c r="A6" s="2" t="s">
        <v>81</v>
      </c>
      <c r="B6" s="1" t="s">
        <v>128</v>
      </c>
      <c r="C6">
        <f t="shared" si="0"/>
        <v>12</v>
      </c>
      <c r="D6">
        <f t="shared" si="1"/>
        <v>3</v>
      </c>
      <c r="E6">
        <v>3</v>
      </c>
      <c r="F6">
        <v>1</v>
      </c>
      <c r="G6" t="s">
        <v>242</v>
      </c>
      <c r="I6" t="s">
        <v>246</v>
      </c>
      <c r="K6" t="s">
        <v>251</v>
      </c>
      <c r="M6" t="s">
        <v>256</v>
      </c>
      <c r="O6" t="s">
        <v>260</v>
      </c>
    </row>
    <row r="7" spans="1:15">
      <c r="A7" s="2" t="s">
        <v>129</v>
      </c>
      <c r="B7" s="1" t="s">
        <v>265</v>
      </c>
      <c r="C7">
        <f t="shared" si="0"/>
        <v>6</v>
      </c>
      <c r="D7">
        <f t="shared" si="1"/>
        <v>3</v>
      </c>
      <c r="E7">
        <v>3</v>
      </c>
      <c r="F7">
        <v>1</v>
      </c>
      <c r="G7" t="s">
        <v>243</v>
      </c>
      <c r="I7" t="s">
        <v>247</v>
      </c>
      <c r="K7" t="s">
        <v>252</v>
      </c>
      <c r="M7" t="s">
        <v>257</v>
      </c>
      <c r="O7" t="s">
        <v>261</v>
      </c>
    </row>
    <row r="8" spans="1:15" ht="56.25">
      <c r="A8" s="2" t="s">
        <v>131</v>
      </c>
      <c r="B8" s="1" t="s">
        <v>266</v>
      </c>
      <c r="C8">
        <f t="shared" si="0"/>
        <v>74</v>
      </c>
      <c r="D8">
        <f t="shared" si="1"/>
        <v>6</v>
      </c>
      <c r="E8">
        <v>6</v>
      </c>
      <c r="F8">
        <v>1</v>
      </c>
      <c r="G8" t="s">
        <v>244</v>
      </c>
      <c r="I8" t="s">
        <v>248</v>
      </c>
      <c r="K8" t="s">
        <v>253</v>
      </c>
      <c r="M8" t="s">
        <v>256</v>
      </c>
      <c r="O8" t="s">
        <v>262</v>
      </c>
    </row>
    <row r="9" spans="1:15" ht="37.5">
      <c r="A9" s="2" t="s">
        <v>133</v>
      </c>
      <c r="B9" s="1" t="s">
        <v>268</v>
      </c>
      <c r="C9">
        <f t="shared" si="0"/>
        <v>41</v>
      </c>
      <c r="D9">
        <f t="shared" si="1"/>
        <v>6</v>
      </c>
      <c r="E9">
        <v>6</v>
      </c>
      <c r="F9">
        <v>1</v>
      </c>
      <c r="G9" t="s">
        <v>267</v>
      </c>
    </row>
    <row r="10" spans="1:15" ht="37.5">
      <c r="A10" s="2" t="s">
        <v>135</v>
      </c>
      <c r="B10" s="1" t="s">
        <v>269</v>
      </c>
      <c r="C10">
        <f t="shared" si="0"/>
        <v>38</v>
      </c>
      <c r="D10">
        <f t="shared" si="1"/>
        <v>6</v>
      </c>
      <c r="E10">
        <v>6</v>
      </c>
      <c r="F10">
        <v>1</v>
      </c>
    </row>
    <row r="11" spans="1:15">
      <c r="A11" s="2" t="s">
        <v>140</v>
      </c>
      <c r="B11" s="1" t="s">
        <v>270</v>
      </c>
      <c r="C11">
        <f t="shared" si="0"/>
        <v>27</v>
      </c>
      <c r="D11">
        <f t="shared" si="1"/>
        <v>0</v>
      </c>
      <c r="E11">
        <v>5</v>
      </c>
      <c r="F11">
        <v>0</v>
      </c>
      <c r="G11" t="s">
        <v>271</v>
      </c>
    </row>
    <row r="12" spans="1:15">
      <c r="B12" s="1" t="s">
        <v>272</v>
      </c>
      <c r="C12">
        <f t="shared" si="0"/>
        <v>24</v>
      </c>
      <c r="D12">
        <f t="shared" si="1"/>
        <v>5</v>
      </c>
      <c r="E12">
        <v>5</v>
      </c>
      <c r="F12">
        <v>1</v>
      </c>
    </row>
    <row r="13" spans="1:15">
      <c r="A13" s="2" t="s">
        <v>143</v>
      </c>
      <c r="B13" s="1" t="s">
        <v>273</v>
      </c>
      <c r="C13">
        <f t="shared" si="0"/>
        <v>25</v>
      </c>
      <c r="D13">
        <f t="shared" si="1"/>
        <v>5</v>
      </c>
      <c r="E13">
        <v>5</v>
      </c>
      <c r="F13">
        <v>1</v>
      </c>
    </row>
    <row r="14" spans="1:15">
      <c r="B14" s="1" t="s">
        <v>274</v>
      </c>
      <c r="C14">
        <f t="shared" si="0"/>
        <v>29</v>
      </c>
      <c r="D14">
        <f t="shared" si="1"/>
        <v>0</v>
      </c>
      <c r="E14">
        <v>5</v>
      </c>
      <c r="F14">
        <v>0</v>
      </c>
    </row>
    <row r="15" spans="1:15">
      <c r="C15" t="str">
        <f t="shared" si="0"/>
        <v/>
      </c>
    </row>
    <row r="16" spans="1:1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C4DA6-29DE-49D7-80A8-951103098717}">
  <sheetPr codeName="Sheet10"/>
  <dimension ref="A1:K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"/>
    </sheetView>
  </sheetViews>
  <sheetFormatPr defaultRowHeight="18.75"/>
  <cols>
    <col min="1" max="1" width="9" style="2"/>
    <col min="2" max="2" width="47.875" style="1" customWidth="1"/>
    <col min="3" max="3" width="9.75" customWidth="1"/>
  </cols>
  <sheetData>
    <row r="1" spans="1:11">
      <c r="A1" s="2" t="s">
        <v>0</v>
      </c>
      <c r="B1" s="1" t="s">
        <v>106</v>
      </c>
      <c r="I1" t="s">
        <v>304</v>
      </c>
    </row>
    <row r="2" spans="1:11">
      <c r="A2" s="2" t="s">
        <v>2</v>
      </c>
      <c r="B2" s="3" t="s">
        <v>209</v>
      </c>
      <c r="D2">
        <f>SUM(D4:D1000)</f>
        <v>29</v>
      </c>
      <c r="E2">
        <f>SUM(E4:E1000)</f>
        <v>50</v>
      </c>
    </row>
    <row r="3" spans="1:11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1">
      <c r="A4" s="2" t="s">
        <v>19</v>
      </c>
      <c r="B4" s="1" t="s">
        <v>284</v>
      </c>
      <c r="C4">
        <f>IF(B4&lt;&gt;"",LEN(B4),"")</f>
        <v>4</v>
      </c>
      <c r="D4">
        <f>E4*F4</f>
        <v>3</v>
      </c>
      <c r="E4">
        <v>3</v>
      </c>
      <c r="F4">
        <v>1</v>
      </c>
      <c r="G4" t="s">
        <v>275</v>
      </c>
      <c r="I4" t="s">
        <v>280</v>
      </c>
      <c r="K4" t="s">
        <v>289</v>
      </c>
    </row>
    <row r="5" spans="1:11">
      <c r="B5" s="1" t="s">
        <v>285</v>
      </c>
      <c r="C5">
        <f t="shared" ref="C5:C68" si="0">IF(B5&lt;&gt;"",LEN(B5),"")</f>
        <v>6</v>
      </c>
      <c r="D5">
        <f t="shared" ref="D5:D20" si="1">E5*F5</f>
        <v>3</v>
      </c>
      <c r="E5">
        <v>3</v>
      </c>
      <c r="F5">
        <v>1</v>
      </c>
      <c r="G5" t="s">
        <v>276</v>
      </c>
      <c r="I5" t="s">
        <v>281</v>
      </c>
    </row>
    <row r="6" spans="1:11">
      <c r="B6" s="1" t="s">
        <v>286</v>
      </c>
      <c r="C6">
        <f t="shared" si="0"/>
        <v>5</v>
      </c>
      <c r="D6">
        <f t="shared" si="1"/>
        <v>0</v>
      </c>
      <c r="E6">
        <v>3</v>
      </c>
      <c r="F6">
        <v>0</v>
      </c>
      <c r="G6" t="s">
        <v>277</v>
      </c>
      <c r="I6" t="s">
        <v>282</v>
      </c>
    </row>
    <row r="7" spans="1:11">
      <c r="B7" s="1" t="s">
        <v>287</v>
      </c>
      <c r="C7">
        <f t="shared" si="0"/>
        <v>4</v>
      </c>
      <c r="D7">
        <f t="shared" si="1"/>
        <v>3</v>
      </c>
      <c r="E7">
        <v>3</v>
      </c>
      <c r="F7">
        <v>1</v>
      </c>
      <c r="G7" t="s">
        <v>278</v>
      </c>
      <c r="I7" t="s">
        <v>283</v>
      </c>
    </row>
    <row r="8" spans="1:11">
      <c r="B8" s="1" t="s">
        <v>288</v>
      </c>
      <c r="C8">
        <f t="shared" si="0"/>
        <v>14</v>
      </c>
      <c r="D8">
        <f t="shared" si="1"/>
        <v>3</v>
      </c>
      <c r="E8">
        <v>3</v>
      </c>
      <c r="F8">
        <v>1</v>
      </c>
      <c r="G8" t="s">
        <v>279</v>
      </c>
    </row>
    <row r="9" spans="1:11">
      <c r="A9" s="2" t="s">
        <v>32</v>
      </c>
      <c r="B9" s="1" t="s">
        <v>290</v>
      </c>
      <c r="C9">
        <f t="shared" si="0"/>
        <v>9</v>
      </c>
      <c r="D9">
        <f t="shared" si="1"/>
        <v>0</v>
      </c>
      <c r="E9">
        <v>8</v>
      </c>
      <c r="F9">
        <v>0</v>
      </c>
    </row>
    <row r="10" spans="1:11">
      <c r="B10" s="1" t="s">
        <v>291</v>
      </c>
      <c r="C10">
        <f t="shared" si="0"/>
        <v>4</v>
      </c>
      <c r="D10">
        <f t="shared" si="1"/>
        <v>0</v>
      </c>
    </row>
    <row r="11" spans="1:11">
      <c r="B11" s="1" t="s">
        <v>292</v>
      </c>
      <c r="C11">
        <f t="shared" si="0"/>
        <v>5</v>
      </c>
      <c r="D11">
        <f t="shared" si="1"/>
        <v>0</v>
      </c>
    </row>
    <row r="12" spans="1:11">
      <c r="B12" s="1" t="s">
        <v>293</v>
      </c>
      <c r="C12">
        <f t="shared" si="0"/>
        <v>9</v>
      </c>
      <c r="D12">
        <f t="shared" si="1"/>
        <v>0</v>
      </c>
    </row>
    <row r="13" spans="1:11">
      <c r="B13" s="1" t="s">
        <v>294</v>
      </c>
      <c r="C13">
        <f t="shared" si="0"/>
        <v>2</v>
      </c>
      <c r="D13">
        <f t="shared" si="1"/>
        <v>0</v>
      </c>
    </row>
    <row r="14" spans="1:11">
      <c r="B14" s="1" t="s">
        <v>295</v>
      </c>
      <c r="C14">
        <f t="shared" si="0"/>
        <v>9</v>
      </c>
      <c r="D14">
        <f t="shared" si="1"/>
        <v>0</v>
      </c>
    </row>
    <row r="15" spans="1:11">
      <c r="B15" s="1" t="s">
        <v>296</v>
      </c>
      <c r="C15">
        <f t="shared" si="0"/>
        <v>7</v>
      </c>
      <c r="D15">
        <f t="shared" si="1"/>
        <v>0</v>
      </c>
    </row>
    <row r="16" spans="1:11">
      <c r="A16" s="2" t="s">
        <v>34</v>
      </c>
      <c r="B16" s="1" t="s">
        <v>297</v>
      </c>
      <c r="C16">
        <f t="shared" si="0"/>
        <v>14</v>
      </c>
      <c r="D16">
        <f t="shared" si="1"/>
        <v>3</v>
      </c>
      <c r="E16">
        <v>3</v>
      </c>
      <c r="F16">
        <v>1</v>
      </c>
    </row>
    <row r="17" spans="1:6">
      <c r="B17" s="1" t="s">
        <v>298</v>
      </c>
      <c r="C17">
        <f t="shared" si="0"/>
        <v>3</v>
      </c>
      <c r="D17">
        <f t="shared" si="1"/>
        <v>3</v>
      </c>
      <c r="E17">
        <v>3</v>
      </c>
      <c r="F17">
        <v>1</v>
      </c>
    </row>
    <row r="18" spans="1:6" ht="37.5">
      <c r="A18" s="2" t="s">
        <v>39</v>
      </c>
      <c r="B18" s="4" t="s">
        <v>299</v>
      </c>
      <c r="C18">
        <f t="shared" si="0"/>
        <v>42</v>
      </c>
      <c r="D18">
        <v>5</v>
      </c>
      <c r="E18">
        <v>9</v>
      </c>
      <c r="F18">
        <v>0.5</v>
      </c>
    </row>
    <row r="19" spans="1:6" ht="37.5">
      <c r="A19" s="2" t="s">
        <v>48</v>
      </c>
      <c r="B19" s="1" t="s">
        <v>300</v>
      </c>
      <c r="C19">
        <f t="shared" si="0"/>
        <v>32</v>
      </c>
      <c r="D19">
        <f t="shared" si="1"/>
        <v>0</v>
      </c>
      <c r="E19">
        <v>6</v>
      </c>
      <c r="F19">
        <v>0</v>
      </c>
    </row>
    <row r="20" spans="1:6">
      <c r="A20" s="2" t="s">
        <v>51</v>
      </c>
      <c r="B20" s="1" t="s">
        <v>301</v>
      </c>
      <c r="C20">
        <f t="shared" si="0"/>
        <v>25</v>
      </c>
      <c r="D20">
        <f t="shared" si="1"/>
        <v>6</v>
      </c>
      <c r="E20">
        <v>6</v>
      </c>
      <c r="F20">
        <v>1</v>
      </c>
    </row>
    <row r="21" spans="1:6">
      <c r="C21" t="str">
        <f t="shared" si="0"/>
        <v/>
      </c>
    </row>
    <row r="22" spans="1:6">
      <c r="C22" t="str">
        <f t="shared" si="0"/>
        <v/>
      </c>
    </row>
    <row r="23" spans="1:6">
      <c r="C23" t="str">
        <f t="shared" si="0"/>
        <v/>
      </c>
    </row>
    <row r="24" spans="1:6">
      <c r="A24" s="2" t="s">
        <v>302</v>
      </c>
      <c r="B24" s="1" t="s">
        <v>303</v>
      </c>
      <c r="C24">
        <f t="shared" si="0"/>
        <v>5</v>
      </c>
    </row>
    <row r="25" spans="1:6">
      <c r="A25" s="2" t="s">
        <v>32</v>
      </c>
      <c r="B25" s="1" t="s">
        <v>305</v>
      </c>
      <c r="C25">
        <f t="shared" si="0"/>
        <v>9</v>
      </c>
    </row>
    <row r="26" spans="1:6">
      <c r="B26" s="1" t="s">
        <v>306</v>
      </c>
      <c r="C26">
        <f t="shared" si="0"/>
        <v>3</v>
      </c>
    </row>
    <row r="27" spans="1:6">
      <c r="B27" s="1" t="s">
        <v>307</v>
      </c>
      <c r="C27">
        <f t="shared" si="0"/>
        <v>5</v>
      </c>
    </row>
    <row r="28" spans="1:6">
      <c r="B28" s="1" t="s">
        <v>308</v>
      </c>
      <c r="C28">
        <f t="shared" si="0"/>
        <v>5</v>
      </c>
    </row>
    <row r="29" spans="1:6">
      <c r="B29" s="1" t="s">
        <v>309</v>
      </c>
      <c r="C29">
        <f t="shared" si="0"/>
        <v>4</v>
      </c>
    </row>
    <row r="30" spans="1:6">
      <c r="B30" s="1" t="s">
        <v>310</v>
      </c>
      <c r="C30">
        <f t="shared" si="0"/>
        <v>2</v>
      </c>
    </row>
    <row r="31" spans="1:6">
      <c r="B31" s="1" t="s">
        <v>311</v>
      </c>
      <c r="C31">
        <f t="shared" si="0"/>
        <v>9</v>
      </c>
    </row>
    <row r="32" spans="1:6" ht="56.25">
      <c r="A32" s="2" t="s">
        <v>312</v>
      </c>
      <c r="B32" s="1" t="s">
        <v>313</v>
      </c>
      <c r="C32">
        <f t="shared" si="0"/>
        <v>79</v>
      </c>
    </row>
    <row r="33" spans="1:3" ht="37.5">
      <c r="A33" s="2" t="s">
        <v>314</v>
      </c>
      <c r="B33" s="1" t="s">
        <v>315</v>
      </c>
      <c r="C33">
        <f t="shared" si="0"/>
        <v>33</v>
      </c>
    </row>
    <row r="34" spans="1:3" ht="37.5">
      <c r="B34" s="1" t="s">
        <v>316</v>
      </c>
      <c r="C34">
        <f t="shared" si="0"/>
        <v>32</v>
      </c>
    </row>
    <row r="35" spans="1:3" ht="37.5">
      <c r="B35" s="1" t="s">
        <v>317</v>
      </c>
      <c r="C35">
        <f t="shared" si="0"/>
        <v>32</v>
      </c>
    </row>
    <row r="36" spans="1:3">
      <c r="C36" t="str">
        <f t="shared" si="0"/>
        <v/>
      </c>
    </row>
    <row r="37" spans="1:3">
      <c r="C37" t="str">
        <f t="shared" si="0"/>
        <v/>
      </c>
    </row>
    <row r="38" spans="1:3">
      <c r="C38" t="str">
        <f t="shared" si="0"/>
        <v/>
      </c>
    </row>
    <row r="39" spans="1:3">
      <c r="C39" t="str">
        <f t="shared" si="0"/>
        <v/>
      </c>
    </row>
    <row r="40" spans="1:3">
      <c r="C40" t="str">
        <f t="shared" si="0"/>
        <v/>
      </c>
    </row>
    <row r="41" spans="1:3">
      <c r="C41" t="str">
        <f t="shared" si="0"/>
        <v/>
      </c>
    </row>
    <row r="42" spans="1:3">
      <c r="C42" t="str">
        <f t="shared" si="0"/>
        <v/>
      </c>
    </row>
    <row r="43" spans="1:3">
      <c r="C43" t="str">
        <f t="shared" si="0"/>
        <v/>
      </c>
    </row>
    <row r="44" spans="1:3">
      <c r="C44" t="str">
        <f t="shared" si="0"/>
        <v/>
      </c>
    </row>
    <row r="45" spans="1:3">
      <c r="C45" t="str">
        <f t="shared" si="0"/>
        <v/>
      </c>
    </row>
    <row r="46" spans="1:3">
      <c r="C46" t="str">
        <f t="shared" si="0"/>
        <v/>
      </c>
    </row>
    <row r="47" spans="1:3">
      <c r="C47" t="str">
        <f t="shared" si="0"/>
        <v/>
      </c>
    </row>
    <row r="48" spans="1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hyperlinks>
    <hyperlink ref="B18" r:id="rId1" xr:uid="{7AC0A9A5-E6D4-4772-9DFF-5286E5152CD8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60DA9-FFDF-49B6-AAD7-4A255E22CAC7}">
  <sheetPr codeName="Sheet11"/>
  <dimension ref="A1:K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.75"/>
  <cols>
    <col min="1" max="1" width="9" style="2"/>
    <col min="2" max="2" width="55.75" style="1" customWidth="1"/>
    <col min="3" max="3" width="9.75" customWidth="1"/>
  </cols>
  <sheetData>
    <row r="1" spans="1:11">
      <c r="A1" s="2" t="s">
        <v>0</v>
      </c>
      <c r="B1" s="1" t="s">
        <v>13</v>
      </c>
    </row>
    <row r="2" spans="1:11">
      <c r="A2" s="2" t="s">
        <v>2</v>
      </c>
      <c r="B2" s="3" t="s">
        <v>319</v>
      </c>
      <c r="D2">
        <f>SUM(D4:D1000)</f>
        <v>39</v>
      </c>
      <c r="E2">
        <f>SUM(E4:E1000)</f>
        <v>50</v>
      </c>
    </row>
    <row r="3" spans="1:11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1">
      <c r="A4" s="2" t="s">
        <v>77</v>
      </c>
      <c r="B4" s="1" t="s">
        <v>202</v>
      </c>
      <c r="C4">
        <f>IF(B4&lt;&gt;"",LEN(B4),"")</f>
        <v>1</v>
      </c>
      <c r="D4">
        <f>E4*F4</f>
        <v>3</v>
      </c>
      <c r="E4">
        <v>3</v>
      </c>
      <c r="F4">
        <v>1</v>
      </c>
      <c r="G4" t="s">
        <v>320</v>
      </c>
      <c r="I4" t="s">
        <v>325</v>
      </c>
      <c r="K4" t="s">
        <v>331</v>
      </c>
    </row>
    <row r="5" spans="1:11">
      <c r="A5" s="2" t="s">
        <v>79</v>
      </c>
      <c r="B5" s="1" t="s">
        <v>330</v>
      </c>
      <c r="C5">
        <f t="shared" ref="C5:C68" si="0">IF(B5&lt;&gt;"",LEN(B5),"")</f>
        <v>8</v>
      </c>
      <c r="D5">
        <f t="shared" ref="D5:D14" si="1">E5*F5</f>
        <v>3</v>
      </c>
      <c r="E5">
        <v>3</v>
      </c>
      <c r="F5">
        <v>1</v>
      </c>
      <c r="G5" t="s">
        <v>321</v>
      </c>
      <c r="I5" t="s">
        <v>326</v>
      </c>
      <c r="K5" t="s">
        <v>332</v>
      </c>
    </row>
    <row r="6" spans="1:11">
      <c r="A6" s="2" t="s">
        <v>81</v>
      </c>
      <c r="B6" s="1">
        <v>4</v>
      </c>
      <c r="C6">
        <f t="shared" si="0"/>
        <v>1</v>
      </c>
      <c r="D6">
        <f t="shared" si="1"/>
        <v>3</v>
      </c>
      <c r="E6">
        <v>3</v>
      </c>
      <c r="F6">
        <v>1</v>
      </c>
      <c r="G6" t="s">
        <v>322</v>
      </c>
      <c r="I6" t="s">
        <v>327</v>
      </c>
      <c r="K6" t="s">
        <v>333</v>
      </c>
    </row>
    <row r="7" spans="1:11">
      <c r="A7" s="2" t="s">
        <v>32</v>
      </c>
      <c r="B7" s="1">
        <v>5</v>
      </c>
      <c r="C7">
        <f t="shared" si="0"/>
        <v>1</v>
      </c>
      <c r="D7">
        <f t="shared" si="1"/>
        <v>3</v>
      </c>
      <c r="E7">
        <v>3</v>
      </c>
      <c r="F7">
        <v>1</v>
      </c>
      <c r="G7" t="s">
        <v>323</v>
      </c>
      <c r="I7" t="s">
        <v>328</v>
      </c>
      <c r="K7" t="s">
        <v>334</v>
      </c>
    </row>
    <row r="8" spans="1:11">
      <c r="A8" s="2" t="s">
        <v>34</v>
      </c>
      <c r="B8" s="1" t="s">
        <v>336</v>
      </c>
      <c r="C8">
        <f t="shared" si="0"/>
        <v>2</v>
      </c>
      <c r="D8">
        <f t="shared" si="1"/>
        <v>5</v>
      </c>
      <c r="E8">
        <v>5</v>
      </c>
      <c r="F8">
        <v>1</v>
      </c>
      <c r="G8" t="s">
        <v>324</v>
      </c>
      <c r="I8" t="s">
        <v>329</v>
      </c>
      <c r="K8" t="s">
        <v>335</v>
      </c>
    </row>
    <row r="9" spans="1:11">
      <c r="A9" s="2" t="s">
        <v>39</v>
      </c>
      <c r="B9" s="1" t="s">
        <v>338</v>
      </c>
      <c r="C9">
        <f t="shared" si="0"/>
        <v>17</v>
      </c>
      <c r="D9">
        <f t="shared" si="1"/>
        <v>6</v>
      </c>
      <c r="E9">
        <v>6</v>
      </c>
      <c r="F9">
        <v>1</v>
      </c>
    </row>
    <row r="10" spans="1:11" ht="37.5">
      <c r="B10" s="1" t="s">
        <v>337</v>
      </c>
      <c r="C10">
        <f t="shared" si="0"/>
        <v>34</v>
      </c>
      <c r="D10">
        <f t="shared" si="1"/>
        <v>6</v>
      </c>
      <c r="E10">
        <v>6</v>
      </c>
      <c r="F10">
        <v>1</v>
      </c>
    </row>
    <row r="11" spans="1:11">
      <c r="A11" s="2" t="s">
        <v>44</v>
      </c>
      <c r="B11" s="1" t="s">
        <v>339</v>
      </c>
      <c r="C11">
        <f t="shared" si="0"/>
        <v>7</v>
      </c>
      <c r="D11">
        <f t="shared" si="1"/>
        <v>5</v>
      </c>
      <c r="E11">
        <v>5</v>
      </c>
      <c r="F11">
        <v>1</v>
      </c>
    </row>
    <row r="12" spans="1:11">
      <c r="A12" s="2" t="s">
        <v>46</v>
      </c>
      <c r="B12" s="1" t="s">
        <v>340</v>
      </c>
      <c r="C12">
        <f t="shared" si="0"/>
        <v>28</v>
      </c>
      <c r="D12">
        <f t="shared" si="1"/>
        <v>0</v>
      </c>
      <c r="E12">
        <v>7</v>
      </c>
      <c r="F12">
        <v>0</v>
      </c>
    </row>
    <row r="13" spans="1:11">
      <c r="A13" s="2" t="s">
        <v>341</v>
      </c>
      <c r="B13" s="1" t="s">
        <v>342</v>
      </c>
      <c r="C13">
        <f t="shared" si="0"/>
        <v>7</v>
      </c>
      <c r="D13">
        <f t="shared" si="1"/>
        <v>5</v>
      </c>
      <c r="E13">
        <v>5</v>
      </c>
      <c r="F13">
        <v>1</v>
      </c>
    </row>
    <row r="14" spans="1:11">
      <c r="A14" s="2" t="s">
        <v>343</v>
      </c>
      <c r="B14" s="1" t="s">
        <v>171</v>
      </c>
      <c r="C14">
        <f t="shared" si="0"/>
        <v>1</v>
      </c>
      <c r="D14">
        <f t="shared" si="1"/>
        <v>0</v>
      </c>
      <c r="E14">
        <v>4</v>
      </c>
      <c r="F14">
        <v>0</v>
      </c>
    </row>
    <row r="15" spans="1:11">
      <c r="C15" t="str">
        <f t="shared" si="0"/>
        <v/>
      </c>
    </row>
    <row r="16" spans="1:11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62619-CBA3-419E-9825-E8DD658BE8FF}">
  <sheetPr codeName="Sheet12"/>
  <dimension ref="A1:K167"/>
  <sheetViews>
    <sheetView zoomScale="85" zoomScaleNormal="85" workbookViewId="0">
      <pane xSplit="1" ySplit="3" topLeftCell="B10" activePane="bottomRight" state="frozen"/>
      <selection pane="topRight" activeCell="B1" sqref="B1"/>
      <selection pane="bottomLeft" activeCell="A4" sqref="A4"/>
      <selection pane="bottomRight" activeCell="D4" sqref="D4"/>
    </sheetView>
  </sheetViews>
  <sheetFormatPr defaultRowHeight="18.75"/>
  <cols>
    <col min="1" max="1" width="9" style="2"/>
    <col min="2" max="2" width="53" style="1" customWidth="1"/>
    <col min="3" max="3" width="9.75" customWidth="1"/>
  </cols>
  <sheetData>
    <row r="1" spans="1:11">
      <c r="A1" s="2" t="s">
        <v>0</v>
      </c>
      <c r="B1" s="1" t="s">
        <v>13</v>
      </c>
    </row>
    <row r="2" spans="1:11">
      <c r="A2" s="2" t="s">
        <v>2</v>
      </c>
      <c r="B2" s="3" t="s">
        <v>209</v>
      </c>
      <c r="D2">
        <f>SUM(D4:D16)</f>
        <v>31</v>
      </c>
      <c r="E2">
        <f>SUM(E4:E1000)</f>
        <v>50</v>
      </c>
    </row>
    <row r="3" spans="1:11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1">
      <c r="A4" s="2" t="s">
        <v>77</v>
      </c>
      <c r="B4" s="1">
        <v>9</v>
      </c>
      <c r="C4">
        <f>IF(B4&lt;&gt;"",LEN(B4),"")</f>
        <v>1</v>
      </c>
      <c r="D4">
        <f>E4*F4</f>
        <v>3</v>
      </c>
      <c r="E4">
        <v>3</v>
      </c>
      <c r="F4">
        <v>1</v>
      </c>
      <c r="G4" t="s">
        <v>344</v>
      </c>
      <c r="I4" t="s">
        <v>350</v>
      </c>
      <c r="K4" t="s">
        <v>360</v>
      </c>
    </row>
    <row r="5" spans="1:11" ht="56.25">
      <c r="A5" s="2" t="s">
        <v>79</v>
      </c>
      <c r="B5" s="1" t="s">
        <v>354</v>
      </c>
      <c r="C5">
        <f t="shared" ref="C5:C68" si="0">IF(B5&lt;&gt;"",LEN(B5),"")</f>
        <v>81</v>
      </c>
      <c r="D5">
        <f t="shared" ref="D5:D16" si="1">E5*F5</f>
        <v>5</v>
      </c>
      <c r="E5">
        <v>5</v>
      </c>
      <c r="F5">
        <v>1</v>
      </c>
      <c r="G5" t="s">
        <v>345</v>
      </c>
      <c r="I5" t="s">
        <v>351</v>
      </c>
      <c r="K5" t="s">
        <v>361</v>
      </c>
    </row>
    <row r="6" spans="1:11" ht="37.5">
      <c r="A6" s="2" t="s">
        <v>32</v>
      </c>
      <c r="B6" s="1" t="s">
        <v>355</v>
      </c>
      <c r="C6">
        <f t="shared" si="0"/>
        <v>30</v>
      </c>
      <c r="D6">
        <f t="shared" si="1"/>
        <v>2.5</v>
      </c>
      <c r="E6">
        <v>5</v>
      </c>
      <c r="F6">
        <v>0.5</v>
      </c>
      <c r="G6" t="s">
        <v>346</v>
      </c>
      <c r="I6" t="s">
        <v>352</v>
      </c>
      <c r="K6" t="s">
        <v>392</v>
      </c>
    </row>
    <row r="7" spans="1:11">
      <c r="A7" s="2" t="s">
        <v>34</v>
      </c>
      <c r="B7" s="1" t="s">
        <v>223</v>
      </c>
      <c r="C7">
        <f t="shared" si="0"/>
        <v>3</v>
      </c>
      <c r="D7">
        <f t="shared" si="1"/>
        <v>2</v>
      </c>
      <c r="E7">
        <v>2</v>
      </c>
      <c r="F7">
        <v>1</v>
      </c>
      <c r="G7" t="s">
        <v>347</v>
      </c>
      <c r="I7" t="s">
        <v>353</v>
      </c>
      <c r="K7" t="s">
        <v>393</v>
      </c>
    </row>
    <row r="8" spans="1:11">
      <c r="B8" s="1" t="s">
        <v>224</v>
      </c>
      <c r="C8">
        <f t="shared" si="0"/>
        <v>3</v>
      </c>
      <c r="D8">
        <f t="shared" si="1"/>
        <v>2</v>
      </c>
      <c r="E8">
        <v>2</v>
      </c>
      <c r="F8">
        <v>1</v>
      </c>
      <c r="G8" t="s">
        <v>348</v>
      </c>
      <c r="I8" t="s">
        <v>364</v>
      </c>
      <c r="K8" t="s">
        <v>394</v>
      </c>
    </row>
    <row r="9" spans="1:11">
      <c r="B9" s="1" t="s">
        <v>356</v>
      </c>
      <c r="C9">
        <f t="shared" si="0"/>
        <v>3</v>
      </c>
      <c r="D9">
        <f t="shared" si="1"/>
        <v>0</v>
      </c>
      <c r="E9">
        <v>2</v>
      </c>
      <c r="F9">
        <v>0</v>
      </c>
      <c r="G9" t="s">
        <v>349</v>
      </c>
      <c r="I9" t="s">
        <v>365</v>
      </c>
      <c r="K9" t="s">
        <v>395</v>
      </c>
    </row>
    <row r="10" spans="1:11">
      <c r="B10" s="1" t="s">
        <v>357</v>
      </c>
      <c r="C10">
        <f t="shared" si="0"/>
        <v>4</v>
      </c>
      <c r="D10">
        <f t="shared" si="1"/>
        <v>0</v>
      </c>
      <c r="E10">
        <v>2</v>
      </c>
      <c r="F10">
        <v>0</v>
      </c>
      <c r="G10" t="s">
        <v>389</v>
      </c>
    </row>
    <row r="11" spans="1:11">
      <c r="A11" s="2" t="s">
        <v>48</v>
      </c>
      <c r="B11" s="1" t="s">
        <v>358</v>
      </c>
      <c r="C11">
        <f t="shared" si="0"/>
        <v>30</v>
      </c>
      <c r="D11">
        <f t="shared" si="1"/>
        <v>4</v>
      </c>
      <c r="E11">
        <v>4</v>
      </c>
      <c r="F11">
        <v>1</v>
      </c>
      <c r="G11" t="s">
        <v>390</v>
      </c>
    </row>
    <row r="12" spans="1:11" ht="37.5">
      <c r="A12" s="2" t="s">
        <v>51</v>
      </c>
      <c r="B12" s="1" t="s">
        <v>359</v>
      </c>
      <c r="C12">
        <f t="shared" si="0"/>
        <v>57</v>
      </c>
      <c r="D12">
        <f t="shared" si="1"/>
        <v>5</v>
      </c>
      <c r="E12">
        <v>5</v>
      </c>
      <c r="F12">
        <v>1</v>
      </c>
      <c r="G12" t="s">
        <v>391</v>
      </c>
    </row>
    <row r="13" spans="1:11">
      <c r="A13" s="2" t="s">
        <v>91</v>
      </c>
      <c r="B13" s="1" t="s">
        <v>362</v>
      </c>
      <c r="C13">
        <f t="shared" si="0"/>
        <v>29</v>
      </c>
      <c r="D13">
        <f t="shared" si="1"/>
        <v>0</v>
      </c>
      <c r="E13">
        <v>5</v>
      </c>
      <c r="F13">
        <v>0</v>
      </c>
    </row>
    <row r="14" spans="1:11">
      <c r="A14" s="2" t="s">
        <v>93</v>
      </c>
      <c r="B14" s="1" t="s">
        <v>363</v>
      </c>
      <c r="C14">
        <f t="shared" si="0"/>
        <v>31</v>
      </c>
      <c r="D14">
        <f t="shared" si="1"/>
        <v>2.5</v>
      </c>
      <c r="E14">
        <v>5</v>
      </c>
      <c r="F14">
        <v>0.5</v>
      </c>
    </row>
    <row r="15" spans="1:11" ht="56.25">
      <c r="A15" s="2" t="s">
        <v>175</v>
      </c>
      <c r="B15" s="1" t="s">
        <v>366</v>
      </c>
      <c r="C15">
        <f t="shared" si="0"/>
        <v>80</v>
      </c>
      <c r="D15">
        <f t="shared" si="1"/>
        <v>0</v>
      </c>
      <c r="E15">
        <v>5</v>
      </c>
      <c r="F15">
        <v>0</v>
      </c>
    </row>
    <row r="16" spans="1:11" ht="37.5">
      <c r="A16" s="2" t="s">
        <v>237</v>
      </c>
      <c r="B16" s="1" t="s">
        <v>367</v>
      </c>
      <c r="C16">
        <f t="shared" si="0"/>
        <v>33</v>
      </c>
      <c r="D16">
        <f t="shared" si="1"/>
        <v>5</v>
      </c>
      <c r="E16">
        <v>5</v>
      </c>
      <c r="F16">
        <v>1</v>
      </c>
    </row>
    <row r="17" spans="1:5">
      <c r="C17" t="str">
        <f t="shared" si="0"/>
        <v/>
      </c>
    </row>
    <row r="18" spans="1:5">
      <c r="C18" t="str">
        <f t="shared" si="0"/>
        <v/>
      </c>
    </row>
    <row r="19" spans="1:5">
      <c r="C19" t="str">
        <f t="shared" si="0"/>
        <v/>
      </c>
    </row>
    <row r="20" spans="1:5" ht="56.25">
      <c r="A20" s="2" t="s">
        <v>32</v>
      </c>
      <c r="B20" s="1" t="s">
        <v>396</v>
      </c>
      <c r="C20">
        <f t="shared" si="0"/>
        <v>68</v>
      </c>
      <c r="D20">
        <v>1</v>
      </c>
    </row>
    <row r="21" spans="1:5">
      <c r="A21" s="2" t="s">
        <v>34</v>
      </c>
      <c r="B21" s="1" t="s">
        <v>397</v>
      </c>
      <c r="C21">
        <f t="shared" si="0"/>
        <v>4</v>
      </c>
      <c r="D21">
        <v>1</v>
      </c>
    </row>
    <row r="22" spans="1:5">
      <c r="B22" s="1" t="s">
        <v>398</v>
      </c>
      <c r="C22">
        <f t="shared" si="0"/>
        <v>4</v>
      </c>
      <c r="D22">
        <v>1</v>
      </c>
    </row>
    <row r="23" spans="1:5">
      <c r="B23" s="1" t="s">
        <v>399</v>
      </c>
      <c r="C23">
        <f t="shared" si="0"/>
        <v>4</v>
      </c>
      <c r="D23">
        <v>1</v>
      </c>
    </row>
    <row r="24" spans="1:5">
      <c r="B24" s="1" t="s">
        <v>400</v>
      </c>
      <c r="C24">
        <f t="shared" si="0"/>
        <v>4</v>
      </c>
      <c r="D24">
        <v>1</v>
      </c>
    </row>
    <row r="25" spans="1:5">
      <c r="A25" s="2" t="s">
        <v>91</v>
      </c>
      <c r="B25" s="1" t="s">
        <v>401</v>
      </c>
      <c r="C25">
        <f t="shared" si="0"/>
        <v>21</v>
      </c>
      <c r="D25">
        <v>0</v>
      </c>
      <c r="E25" t="s">
        <v>402</v>
      </c>
    </row>
    <row r="26" spans="1:5" ht="37.5">
      <c r="A26" s="2" t="s">
        <v>93</v>
      </c>
      <c r="B26" s="1" t="s">
        <v>403</v>
      </c>
      <c r="C26">
        <f t="shared" si="0"/>
        <v>34</v>
      </c>
      <c r="D26">
        <v>1</v>
      </c>
    </row>
    <row r="27" spans="1:5" ht="56.25">
      <c r="A27" s="2" t="s">
        <v>175</v>
      </c>
      <c r="B27" s="1" t="s">
        <v>404</v>
      </c>
      <c r="C27">
        <f t="shared" si="0"/>
        <v>81</v>
      </c>
      <c r="D27">
        <v>1</v>
      </c>
    </row>
    <row r="28" spans="1:5">
      <c r="C28" t="str">
        <f t="shared" si="0"/>
        <v/>
      </c>
    </row>
    <row r="29" spans="1:5">
      <c r="C29" t="str">
        <f t="shared" si="0"/>
        <v/>
      </c>
    </row>
    <row r="30" spans="1:5">
      <c r="C30" t="str">
        <f t="shared" si="0"/>
        <v/>
      </c>
    </row>
    <row r="31" spans="1:5">
      <c r="C31" t="str">
        <f t="shared" si="0"/>
        <v/>
      </c>
    </row>
    <row r="32" spans="1:5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DC3C1-D571-44B1-9F70-FB585761FD55}">
  <sheetPr codeName="Sheet13"/>
  <dimension ref="A1:K167"/>
  <sheetViews>
    <sheetView tabSelected="1"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7" sqref="B17"/>
    </sheetView>
  </sheetViews>
  <sheetFormatPr defaultRowHeight="18.75"/>
  <cols>
    <col min="1" max="1" width="9" style="2"/>
    <col min="2" max="2" width="52" style="1" customWidth="1"/>
    <col min="3" max="3" width="9.75" customWidth="1"/>
  </cols>
  <sheetData>
    <row r="1" spans="1:11">
      <c r="A1" s="2" t="s">
        <v>0</v>
      </c>
      <c r="B1" s="1" t="s">
        <v>13</v>
      </c>
    </row>
    <row r="2" spans="1:11">
      <c r="A2" s="2" t="s">
        <v>2</v>
      </c>
      <c r="B2" s="3" t="s">
        <v>319</v>
      </c>
      <c r="D2">
        <f>SUM(D4:D1000)</f>
        <v>48</v>
      </c>
      <c r="E2">
        <f>SUM(E4:E1000)</f>
        <v>50</v>
      </c>
    </row>
    <row r="3" spans="1:11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1">
      <c r="A4" s="2" t="s">
        <v>77</v>
      </c>
      <c r="B4" s="1" t="s">
        <v>376</v>
      </c>
      <c r="C4">
        <f>IF(B4&lt;&gt;"",LEN(B4),"")</f>
        <v>4</v>
      </c>
      <c r="D4">
        <f>E4*F4</f>
        <v>3</v>
      </c>
      <c r="E4">
        <v>3</v>
      </c>
      <c r="F4">
        <v>1</v>
      </c>
      <c r="G4" t="s">
        <v>368</v>
      </c>
      <c r="I4" t="s">
        <v>373</v>
      </c>
      <c r="K4" t="s">
        <v>379</v>
      </c>
    </row>
    <row r="5" spans="1:11">
      <c r="A5" s="2" t="s">
        <v>79</v>
      </c>
      <c r="B5" s="1" t="s">
        <v>377</v>
      </c>
      <c r="C5">
        <f t="shared" ref="C5:C68" si="0">IF(B5&lt;&gt;"",LEN(B5),"")</f>
        <v>11</v>
      </c>
      <c r="D5">
        <f t="shared" ref="D5:D14" si="1">E5*F5</f>
        <v>3</v>
      </c>
      <c r="E5">
        <v>3</v>
      </c>
      <c r="F5">
        <v>1</v>
      </c>
      <c r="G5" t="s">
        <v>369</v>
      </c>
      <c r="I5" t="s">
        <v>369</v>
      </c>
      <c r="K5" t="s">
        <v>380</v>
      </c>
    </row>
    <row r="6" spans="1:11">
      <c r="A6" s="2" t="s">
        <v>81</v>
      </c>
      <c r="B6" s="1" t="s">
        <v>378</v>
      </c>
      <c r="C6">
        <f t="shared" si="0"/>
        <v>4</v>
      </c>
      <c r="D6">
        <f t="shared" si="1"/>
        <v>3</v>
      </c>
      <c r="E6">
        <v>3</v>
      </c>
      <c r="F6">
        <v>1</v>
      </c>
      <c r="G6" t="s">
        <v>370</v>
      </c>
      <c r="I6" t="s">
        <v>371</v>
      </c>
      <c r="K6" t="s">
        <v>381</v>
      </c>
    </row>
    <row r="7" spans="1:11">
      <c r="A7" s="2" t="s">
        <v>32</v>
      </c>
      <c r="B7" s="1" t="s">
        <v>382</v>
      </c>
      <c r="C7">
        <f t="shared" si="0"/>
        <v>4</v>
      </c>
      <c r="D7">
        <f t="shared" si="1"/>
        <v>3</v>
      </c>
      <c r="E7">
        <v>3</v>
      </c>
      <c r="F7">
        <v>1</v>
      </c>
      <c r="G7" t="s">
        <v>371</v>
      </c>
      <c r="I7" t="s">
        <v>374</v>
      </c>
    </row>
    <row r="8" spans="1:11">
      <c r="A8" s="2" t="s">
        <v>34</v>
      </c>
      <c r="B8" s="1" t="s">
        <v>383</v>
      </c>
      <c r="C8">
        <f t="shared" si="0"/>
        <v>27</v>
      </c>
      <c r="D8">
        <f t="shared" si="1"/>
        <v>2</v>
      </c>
      <c r="E8">
        <v>4</v>
      </c>
      <c r="F8">
        <v>0.5</v>
      </c>
      <c r="G8" t="s">
        <v>372</v>
      </c>
      <c r="I8" t="s">
        <v>375</v>
      </c>
    </row>
    <row r="9" spans="1:11" ht="37.5">
      <c r="A9" s="2" t="s">
        <v>39</v>
      </c>
      <c r="B9" s="1" t="s">
        <v>385</v>
      </c>
      <c r="C9">
        <f t="shared" si="0"/>
        <v>33</v>
      </c>
      <c r="D9">
        <f t="shared" si="1"/>
        <v>6</v>
      </c>
      <c r="E9">
        <v>6</v>
      </c>
      <c r="F9">
        <v>1</v>
      </c>
      <c r="G9" t="s">
        <v>328</v>
      </c>
    </row>
    <row r="10" spans="1:11" ht="37.5">
      <c r="B10" s="1" t="s">
        <v>384</v>
      </c>
      <c r="C10">
        <f t="shared" si="0"/>
        <v>33</v>
      </c>
      <c r="D10">
        <f t="shared" si="1"/>
        <v>6</v>
      </c>
      <c r="E10">
        <v>6</v>
      </c>
      <c r="F10">
        <v>1</v>
      </c>
    </row>
    <row r="11" spans="1:11">
      <c r="A11" s="2" t="s">
        <v>44</v>
      </c>
      <c r="B11" s="1" t="s">
        <v>386</v>
      </c>
      <c r="C11">
        <f t="shared" si="0"/>
        <v>23</v>
      </c>
      <c r="D11">
        <f t="shared" si="1"/>
        <v>5</v>
      </c>
      <c r="E11">
        <v>5</v>
      </c>
      <c r="F11">
        <v>1</v>
      </c>
      <c r="H11" t="s">
        <v>387</v>
      </c>
    </row>
    <row r="12" spans="1:11">
      <c r="A12" s="2" t="s">
        <v>46</v>
      </c>
      <c r="B12" s="1" t="s">
        <v>388</v>
      </c>
      <c r="C12">
        <f t="shared" si="0"/>
        <v>27</v>
      </c>
      <c r="D12">
        <f t="shared" si="1"/>
        <v>7</v>
      </c>
      <c r="E12">
        <v>7</v>
      </c>
      <c r="F12">
        <v>1</v>
      </c>
    </row>
    <row r="13" spans="1:11">
      <c r="A13" s="2" t="s">
        <v>341</v>
      </c>
      <c r="B13" s="1" t="s">
        <v>342</v>
      </c>
      <c r="C13">
        <f t="shared" si="0"/>
        <v>7</v>
      </c>
      <c r="D13">
        <f t="shared" si="1"/>
        <v>6</v>
      </c>
      <c r="E13">
        <v>6</v>
      </c>
      <c r="F13">
        <v>1</v>
      </c>
    </row>
    <row r="14" spans="1:11">
      <c r="A14" s="2" t="s">
        <v>341</v>
      </c>
      <c r="B14" s="1" t="s">
        <v>202</v>
      </c>
      <c r="C14">
        <f t="shared" si="0"/>
        <v>1</v>
      </c>
      <c r="D14">
        <f t="shared" si="1"/>
        <v>4</v>
      </c>
      <c r="E14">
        <v>4</v>
      </c>
      <c r="F14">
        <v>1</v>
      </c>
    </row>
    <row r="15" spans="1:11">
      <c r="C15" t="str">
        <f t="shared" si="0"/>
        <v/>
      </c>
    </row>
    <row r="16" spans="1:11">
      <c r="A16" s="2" t="s">
        <v>34</v>
      </c>
      <c r="B16" s="1" t="s">
        <v>405</v>
      </c>
      <c r="C16">
        <f t="shared" si="0"/>
        <v>5</v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レビュー</vt:lpstr>
      <vt:lpstr>format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2025-04-12T08:58:37Z</dcterms:modified>
</cp:coreProperties>
</file>