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13837731-B305-4AE7-965C-B5D12A8D69ED}" xr6:coauthVersionLast="47" xr6:coauthVersionMax="47" xr10:uidLastSave="{00000000-0000-0000-0000-000000000000}"/>
  <bookViews>
    <workbookView xWindow="2460" yWindow="2190" windowWidth="15060" windowHeight="15435" firstSheet="1" activeTab="17" xr2:uid="{00000000-000D-0000-FFFF-FFFF00000000}"/>
  </bookViews>
  <sheets>
    <sheet name="レビュー" sheetId="2" r:id="rId1"/>
    <sheet name="format" sheetId="4" r:id="rId2"/>
    <sheet name="1" sheetId="5" state="hidden" r:id="rId3"/>
    <sheet name="2" sheetId="6" state="hidden" r:id="rId4"/>
    <sheet name="3" sheetId="7" state="hidden" r:id="rId5"/>
    <sheet name="4" sheetId="8" state="hidden" r:id="rId6"/>
    <sheet name="5" sheetId="9" state="hidden" r:id="rId7"/>
    <sheet name="6" sheetId="10" state="hidden" r:id="rId8"/>
    <sheet name="7" sheetId="11" state="hidden" r:id="rId9"/>
    <sheet name="8" sheetId="12" state="hidden" r:id="rId10"/>
    <sheet name="9" sheetId="13" r:id="rId11"/>
    <sheet name="10" sheetId="14" r:id="rId12"/>
    <sheet name="11" sheetId="15" r:id="rId13"/>
    <sheet name="12" sheetId="16" r:id="rId14"/>
    <sheet name="13" sheetId="17" r:id="rId15"/>
    <sheet name="14" sheetId="18" r:id="rId16"/>
    <sheet name="15" sheetId="19" r:id="rId17"/>
    <sheet name="16" sheetId="20" r:id="rId18"/>
  </sheets>
  <functionGroups builtInGroupCount="19"/>
  <definedNames>
    <definedName name="_xlnm._FilterDatabase" localSheetId="2" hidden="1">'1'!$A$3:$O$167</definedName>
    <definedName name="_xlnm._FilterDatabase" localSheetId="3" hidden="1">'2'!$A$3:$O$167</definedName>
    <definedName name="_xlnm._FilterDatabase" localSheetId="4" hidden="1">'3'!$A$3:$M$167</definedName>
    <definedName name="_xlnm._FilterDatabase" localSheetId="5" hidden="1">'4'!$A$3:$M$167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20" l="1"/>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4" i="20"/>
  <c r="E2" i="20"/>
  <c r="D2" i="20"/>
  <c r="D14" i="19"/>
  <c r="D13" i="19"/>
  <c r="D12" i="19"/>
  <c r="D11" i="19"/>
  <c r="D2" i="19"/>
  <c r="D9" i="19"/>
  <c r="D8" i="19"/>
  <c r="D7" i="19"/>
  <c r="D6" i="19"/>
  <c r="D5" i="19"/>
  <c r="D4"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C6" i="19"/>
  <c r="C5" i="19"/>
  <c r="C4" i="19"/>
  <c r="E2" i="19"/>
  <c r="D15" i="18"/>
  <c r="D14" i="18"/>
  <c r="D13" i="18"/>
  <c r="D12" i="18"/>
  <c r="D11" i="18"/>
  <c r="D10" i="18"/>
  <c r="D9" i="18"/>
  <c r="D8" i="18"/>
  <c r="D7" i="18"/>
  <c r="D6" i="18"/>
  <c r="D5" i="18"/>
  <c r="D2" i="18" s="1"/>
  <c r="D4"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C6" i="18"/>
  <c r="C5" i="18"/>
  <c r="C4" i="18"/>
  <c r="E2" i="18"/>
  <c r="D18" i="17"/>
  <c r="D17" i="17"/>
  <c r="D16" i="17"/>
  <c r="D15" i="17"/>
  <c r="D14" i="17"/>
  <c r="D13" i="17"/>
  <c r="D12" i="17"/>
  <c r="D11" i="17"/>
  <c r="D10" i="17"/>
  <c r="D9" i="17"/>
  <c r="D8" i="17"/>
  <c r="D7" i="17"/>
  <c r="D6" i="17"/>
  <c r="D4" i="17"/>
  <c r="D2" i="17" s="1"/>
  <c r="D5"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C6" i="17"/>
  <c r="C5" i="17"/>
  <c r="C4" i="17"/>
  <c r="E2" i="17"/>
  <c r="D15" i="16"/>
  <c r="D14" i="16"/>
  <c r="D13" i="16"/>
  <c r="D12" i="16"/>
  <c r="D11" i="16"/>
  <c r="D10" i="16"/>
  <c r="D9" i="16"/>
  <c r="D8" i="16"/>
  <c r="D7" i="16"/>
  <c r="D6" i="16"/>
  <c r="D5" i="16"/>
  <c r="D2" i="16" s="1"/>
  <c r="D4"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18" i="16"/>
  <c r="C17" i="16"/>
  <c r="C16" i="16"/>
  <c r="C15" i="16"/>
  <c r="C14" i="16"/>
  <c r="C13" i="16"/>
  <c r="C12" i="16"/>
  <c r="C11" i="16"/>
  <c r="C10" i="16"/>
  <c r="C9" i="16"/>
  <c r="C8" i="16"/>
  <c r="C7" i="16"/>
  <c r="C6" i="16"/>
  <c r="C5" i="16"/>
  <c r="C4" i="16"/>
  <c r="E2" i="16"/>
  <c r="D15" i="15"/>
  <c r="D14" i="15"/>
  <c r="D13" i="15"/>
  <c r="D12" i="15"/>
  <c r="D11" i="15"/>
  <c r="D10" i="15"/>
  <c r="D9" i="15"/>
  <c r="D8" i="15"/>
  <c r="D7" i="15"/>
  <c r="D6" i="15"/>
  <c r="D5" i="15"/>
  <c r="D4"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17" i="15"/>
  <c r="C16" i="15"/>
  <c r="C15" i="15"/>
  <c r="C14" i="15"/>
  <c r="C13" i="15"/>
  <c r="C12" i="15"/>
  <c r="C11" i="15"/>
  <c r="C10" i="15"/>
  <c r="C9" i="15"/>
  <c r="C8" i="15"/>
  <c r="C7" i="15"/>
  <c r="C6" i="15"/>
  <c r="C5" i="15"/>
  <c r="C4" i="15"/>
  <c r="E2" i="15"/>
  <c r="D2" i="13"/>
  <c r="D14" i="14"/>
  <c r="D13" i="14"/>
  <c r="D12" i="14"/>
  <c r="D11" i="14"/>
  <c r="D10" i="14"/>
  <c r="D9" i="14"/>
  <c r="D8" i="14"/>
  <c r="D7" i="14"/>
  <c r="D6" i="14"/>
  <c r="D5" i="14"/>
  <c r="D2" i="14" s="1"/>
  <c r="D4"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E2" i="14"/>
  <c r="D16" i="13"/>
  <c r="D15" i="13"/>
  <c r="D14" i="13"/>
  <c r="D13" i="13"/>
  <c r="D12" i="13"/>
  <c r="D11" i="13"/>
  <c r="D10" i="13"/>
  <c r="D9" i="13"/>
  <c r="D8" i="13"/>
  <c r="D7" i="13"/>
  <c r="D6" i="13"/>
  <c r="D5" i="13"/>
  <c r="D4"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C6" i="13"/>
  <c r="C5" i="13"/>
  <c r="C4" i="13"/>
  <c r="E2" i="13"/>
  <c r="D14" i="12"/>
  <c r="D13" i="12"/>
  <c r="D12" i="12"/>
  <c r="D11" i="12"/>
  <c r="D10" i="12"/>
  <c r="D9" i="12"/>
  <c r="D8" i="12"/>
  <c r="D7" i="12"/>
  <c r="D6" i="12"/>
  <c r="D5" i="12"/>
  <c r="D2" i="12" s="1"/>
  <c r="D4"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E2" i="12"/>
  <c r="D20" i="11"/>
  <c r="D19" i="11"/>
  <c r="D17" i="11"/>
  <c r="D16" i="11"/>
  <c r="D15" i="11"/>
  <c r="D14" i="11"/>
  <c r="D13" i="11"/>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4" i="10"/>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16" i="9"/>
  <c r="D15" i="9"/>
  <c r="D14" i="9"/>
  <c r="D13" i="9"/>
  <c r="D12" i="9"/>
  <c r="D11" i="9"/>
  <c r="D10" i="9"/>
  <c r="D9" i="9"/>
  <c r="D8" i="9"/>
  <c r="D7" i="9"/>
  <c r="D6" i="9"/>
  <c r="D5" i="9"/>
  <c r="D4"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C6" i="9"/>
  <c r="C5" i="9"/>
  <c r="C4" i="9"/>
  <c r="E2" i="9"/>
  <c r="D15" i="8"/>
  <c r="D14" i="8"/>
  <c r="D13" i="8"/>
  <c r="D12" i="8"/>
  <c r="D11" i="8"/>
  <c r="D10" i="8"/>
  <c r="D9" i="8"/>
  <c r="D8" i="8"/>
  <c r="D7" i="8"/>
  <c r="D6" i="8"/>
  <c r="D5" i="8"/>
  <c r="D4" i="8"/>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14" i="7"/>
  <c r="D12" i="7"/>
  <c r="D11" i="7"/>
  <c r="D10" i="7"/>
  <c r="D9" i="7"/>
  <c r="D8" i="7"/>
  <c r="D7" i="7"/>
  <c r="D6" i="7"/>
  <c r="D5" i="7"/>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19" i="7"/>
  <c r="C18" i="7"/>
  <c r="C17" i="7"/>
  <c r="C16" i="7"/>
  <c r="C15" i="7"/>
  <c r="C14" i="7"/>
  <c r="C13" i="7"/>
  <c r="C12" i="7"/>
  <c r="C11" i="7"/>
  <c r="C10" i="7"/>
  <c r="C9" i="7"/>
  <c r="C8" i="7"/>
  <c r="C7" i="7"/>
  <c r="C6" i="7"/>
  <c r="C5" i="7"/>
  <c r="C4" i="7"/>
  <c r="E2" i="7"/>
  <c r="D14" i="6"/>
  <c r="D13" i="6"/>
  <c r="D12" i="6"/>
  <c r="D11" i="6"/>
  <c r="D10" i="6"/>
  <c r="D9" i="6"/>
  <c r="D8" i="6"/>
  <c r="D7" i="6"/>
  <c r="D6" i="6"/>
  <c r="D5" i="6"/>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18" i="6"/>
  <c r="C17" i="6"/>
  <c r="C16" i="6"/>
  <c r="C15" i="6"/>
  <c r="C14" i="6"/>
  <c r="C13" i="6"/>
  <c r="C12" i="6"/>
  <c r="C11" i="6"/>
  <c r="C10" i="6"/>
  <c r="C9" i="6"/>
  <c r="C8" i="6"/>
  <c r="C7" i="6"/>
  <c r="C6" i="6"/>
  <c r="C5" i="6"/>
  <c r="C4" i="6"/>
  <c r="E2" i="6"/>
  <c r="D16" i="5"/>
  <c r="D15" i="5"/>
  <c r="D14" i="5"/>
  <c r="D13" i="5"/>
  <c r="D12" i="5"/>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5" l="1"/>
  <c r="D2" i="10"/>
  <c r="D2" i="9"/>
  <c r="D2" i="11"/>
  <c r="D2" i="8"/>
  <c r="D2" i="7"/>
  <c r="D2" i="6"/>
  <c r="D2" i="5"/>
</calcChain>
</file>

<file path=xl/sharedStrings.xml><?xml version="1.0" encoding="utf-8"?>
<sst xmlns="http://schemas.openxmlformats.org/spreadsheetml/2006/main" count="910" uniqueCount="560">
  <si>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</si>
  <si>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</si>
  <si>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</si>
  <si>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</si>
  <si>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</si>
  <si>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</si>
  <si>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</si>
  <si>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</si>
  <si>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</si>
  <si>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</si>
  <si>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</si>
  <si>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</si>
  <si>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2024-春</t>
  </si>
  <si>
    <t>2024-春</t>
    <rPh sb="5" eb="6">
      <t>ハル</t>
    </rPh>
    <phoneticPr fontId="1"/>
  </si>
  <si>
    <t>PM-1</t>
  </si>
  <si>
    <t>PM-1</t>
    <phoneticPr fontId="1"/>
  </si>
  <si>
    <t>G社ヘルスケア</t>
    <rPh sb="1" eb="2">
      <t>シャ</t>
    </rPh>
    <phoneticPr fontId="1"/>
  </si>
  <si>
    <t>サービスY</t>
    <phoneticPr fontId="1"/>
  </si>
  <si>
    <t>サービスK→サービスL</t>
    <phoneticPr fontId="1"/>
  </si>
  <si>
    <t>1</t>
    <phoneticPr fontId="1"/>
  </si>
  <si>
    <t>セッション非管理</t>
    <rPh sb="5" eb="6">
      <t>ヒ</t>
    </rPh>
    <rPh sb="6" eb="8">
      <t>カンリ</t>
    </rPh>
    <phoneticPr fontId="1"/>
  </si>
  <si>
    <t>文字列Xで認証</t>
    <rPh sb="0" eb="3">
      <t>モジレツ</t>
    </rPh>
    <rPh sb="5" eb="7">
      <t>ニンショウ</t>
    </rPh>
    <phoneticPr fontId="1"/>
  </si>
  <si>
    <t>成功ならJWT</t>
    <rPh sb="0" eb="2">
      <t>セイコウ</t>
    </rPh>
    <phoneticPr fontId="1"/>
  </si>
  <si>
    <t>共通ライブラリPを利用</t>
    <rPh sb="0" eb="2">
      <t>キョウツウ</t>
    </rPh>
    <rPh sb="9" eb="11">
      <t>リヨウ</t>
    </rPh>
    <phoneticPr fontId="1"/>
  </si>
  <si>
    <t>サービスLとMで活用</t>
    <rPh sb="8" eb="10">
      <t>カツヨウ</t>
    </rPh>
    <phoneticPr fontId="1"/>
  </si>
  <si>
    <t>midで利用者</t>
    <rPh sb="4" eb="7">
      <t>リヨウシャ</t>
    </rPh>
    <phoneticPr fontId="1"/>
  </si>
  <si>
    <t>JWTライブラリを利用</t>
    <rPh sb="9" eb="11">
      <t>リヨウ</t>
    </rPh>
    <phoneticPr fontId="1"/>
  </si>
  <si>
    <t>JWTスキーム</t>
    <phoneticPr fontId="1"/>
  </si>
  <si>
    <t xml:space="preserve">gaibu </t>
    <phoneticPr fontId="1"/>
  </si>
  <si>
    <t xml:space="preserve">gakushuu </t>
    <phoneticPr fontId="1"/>
  </si>
  <si>
    <t xml:space="preserve">sa-bisu </t>
    <phoneticPr fontId="1"/>
  </si>
  <si>
    <t>脆弱性診断</t>
    <rPh sb="0" eb="3">
      <t>ゼイジャクセイ</t>
    </rPh>
    <rPh sb="3" eb="5">
      <t>シンダン</t>
    </rPh>
    <phoneticPr fontId="1"/>
  </si>
  <si>
    <t>2-1</t>
    <phoneticPr fontId="1"/>
  </si>
  <si>
    <t>RS256</t>
    <phoneticPr fontId="1"/>
  </si>
  <si>
    <t>2-2</t>
    <phoneticPr fontId="1"/>
  </si>
  <si>
    <t>ライブラリQ:JWT管理ライブラリ</t>
    <rPh sb="10" eb="12">
      <t>カンリ</t>
    </rPh>
    <phoneticPr fontId="1"/>
  </si>
  <si>
    <t>LDAPリクエストW</t>
    <phoneticPr fontId="1"/>
  </si>
  <si>
    <t>JWTに設定されたalgの値</t>
    <rPh sb="4" eb="6">
      <t>セッテイ</t>
    </rPh>
    <rPh sb="13" eb="14">
      <t>アタイ</t>
    </rPh>
    <phoneticPr fontId="1"/>
  </si>
  <si>
    <t>Noneでないことを確認する</t>
    <rPh sb="10" eb="12">
      <t>カクニン</t>
    </rPh>
    <phoneticPr fontId="1"/>
  </si>
  <si>
    <t>2-3</t>
    <phoneticPr fontId="1"/>
  </si>
  <si>
    <t>通信モジュールP</t>
    <rPh sb="0" eb="2">
      <t>ツウシン</t>
    </rPh>
    <phoneticPr fontId="1"/>
  </si>
  <si>
    <t>サービスLに定義</t>
    <rPh sb="6" eb="8">
      <t>テイギ</t>
    </rPh>
    <phoneticPr fontId="1"/>
  </si>
  <si>
    <t>サービスMをcall</t>
    <phoneticPr fontId="1"/>
  </si>
  <si>
    <t>JWTに含まれる利用者IDとmidが一致するかを確認する</t>
    <rPh sb="4" eb="5">
      <t>フク</t>
    </rPh>
    <rPh sb="8" eb="11">
      <t>リヨウシャ</t>
    </rPh>
    <rPh sb="18" eb="20">
      <t>イッチ</t>
    </rPh>
    <rPh sb="24" eb="26">
      <t>カクニン</t>
    </rPh>
    <phoneticPr fontId="1"/>
  </si>
  <si>
    <t>2-4</t>
    <phoneticPr fontId="1"/>
  </si>
  <si>
    <t>利用者API</t>
    <rPh sb="0" eb="3">
      <t>リヨウシャ</t>
    </rPh>
    <phoneticPr fontId="1"/>
  </si>
  <si>
    <t>2-5</t>
    <phoneticPr fontId="1"/>
  </si>
  <si>
    <t>連続で失敗した回数が閾値を超えたらロックアウトする機能</t>
    <rPh sb="0" eb="2">
      <t>レンゾク</t>
    </rPh>
    <rPh sb="3" eb="5">
      <t>シッパイ</t>
    </rPh>
    <rPh sb="7" eb="9">
      <t>カイスウ</t>
    </rPh>
    <rPh sb="10" eb="12">
      <t>シキイチ</t>
    </rPh>
    <rPh sb="13" eb="14">
      <t>コ</t>
    </rPh>
    <rPh sb="25" eb="27">
      <t>キノウ</t>
    </rPh>
    <phoneticPr fontId="1"/>
  </si>
  <si>
    <t>3-1</t>
    <phoneticPr fontId="1"/>
  </si>
  <si>
    <t>jndi</t>
    <phoneticPr fontId="1"/>
  </si>
  <si>
    <t>テストサーバーのindexファイルへのアクセスを記録する仕組み。</t>
    <rPh sb="24" eb="26">
      <t>キロク</t>
    </rPh>
    <rPh sb="28" eb="30">
      <t>シク</t>
    </rPh>
    <phoneticPr fontId="1"/>
  </si>
  <si>
    <t>3-2</t>
    <phoneticPr fontId="1"/>
  </si>
  <si>
    <t>c: ANY</t>
    <phoneticPr fontId="1"/>
  </si>
  <si>
    <t>d: ANY</t>
    <phoneticPr fontId="1"/>
  </si>
  <si>
    <t>3-3</t>
    <phoneticPr fontId="1"/>
  </si>
  <si>
    <t>\W[jJ][nN][dD][iI]\W</t>
    <phoneticPr fontId="1"/>
  </si>
  <si>
    <t>3-4</t>
    <phoneticPr fontId="1"/>
  </si>
  <si>
    <t>誤検知による遮断を防ぐことが出来る</t>
    <rPh sb="0" eb="3">
      <t>ゴケンチ</t>
    </rPh>
    <rPh sb="6" eb="8">
      <t>シャダン</t>
    </rPh>
    <rPh sb="9" eb="10">
      <t>フセ</t>
    </rPh>
    <rPh sb="14" eb="16">
      <t>デキ</t>
    </rPh>
    <phoneticPr fontId="1"/>
  </si>
  <si>
    <t>アラートが出た場合に、攻撃かを確認する</t>
    <rPh sb="5" eb="6">
      <t>デ</t>
    </rPh>
    <rPh sb="7" eb="9">
      <t>バアイ</t>
    </rPh>
    <rPh sb="11" eb="13">
      <t>コウゲキ</t>
    </rPh>
    <rPh sb="15" eb="17">
      <t>カクニン</t>
    </rPh>
    <phoneticPr fontId="1"/>
  </si>
  <si>
    <t>PM-2</t>
  </si>
  <si>
    <t>PM-2</t>
    <phoneticPr fontId="1"/>
  </si>
  <si>
    <t>H社</t>
    <rPh sb="1" eb="2">
      <t>シャ</t>
    </rPh>
    <phoneticPr fontId="1"/>
  </si>
  <si>
    <t>HTTPSでアクセス</t>
    <phoneticPr fontId="1"/>
  </si>
  <si>
    <t>ID＋PWでログイン</t>
    <phoneticPr fontId="1"/>
  </si>
  <si>
    <t>H-PC</t>
    <phoneticPr fontId="1"/>
  </si>
  <si>
    <t>リモート接続用PC</t>
    <rPh sb="4" eb="7">
      <t>セツゾクヨウ</t>
    </rPh>
    <phoneticPr fontId="1"/>
  </si>
  <si>
    <t>VPN-GW</t>
    <phoneticPr fontId="1"/>
  </si>
  <si>
    <t>VPN-N</t>
    <phoneticPr fontId="1"/>
  </si>
  <si>
    <t>FW機能</t>
    <rPh sb="2" eb="4">
      <t>キノウ</t>
    </rPh>
    <phoneticPr fontId="1"/>
  </si>
  <si>
    <t>IPとポート</t>
    <phoneticPr fontId="1"/>
  </si>
  <si>
    <t>IPS機能アノマリとシグネチャ</t>
    <rPh sb="3" eb="5">
      <t>キノウ</t>
    </rPh>
    <phoneticPr fontId="1"/>
  </si>
  <si>
    <t>VPNダイアログ</t>
    <phoneticPr fontId="1"/>
  </si>
  <si>
    <t>多要素認証</t>
    <rPh sb="0" eb="5">
      <t>タヨウソニンショウ</t>
    </rPh>
    <phoneticPr fontId="1"/>
  </si>
  <si>
    <t>DDoS攻撃の被害</t>
    <rPh sb="4" eb="6">
      <t>コウゲキ</t>
    </rPh>
    <rPh sb="7" eb="9">
      <t>ヒガイ</t>
    </rPh>
    <phoneticPr fontId="1"/>
  </si>
  <si>
    <t>脆弱性を利用する</t>
    <rPh sb="0" eb="3">
      <t>ゼイジャクセイ</t>
    </rPh>
    <rPh sb="4" eb="6">
      <t>リヨウ</t>
    </rPh>
    <phoneticPr fontId="1"/>
  </si>
  <si>
    <t>ステルス</t>
    <phoneticPr fontId="1"/>
  </si>
  <si>
    <t>VPN-Hへのアクセスは多要素認証</t>
    <rPh sb="12" eb="15">
      <t>タヨウソ</t>
    </rPh>
    <rPh sb="15" eb="17">
      <t>ニンショウ</t>
    </rPh>
    <phoneticPr fontId="1"/>
  </si>
  <si>
    <t>1-1</t>
    <phoneticPr fontId="1"/>
  </si>
  <si>
    <t>公開webサーバーに対して、大量のHTTP GETリクエストを大量に送信する</t>
    <rPh sb="0" eb="2">
      <t>コウカイ</t>
    </rPh>
    <rPh sb="10" eb="11">
      <t>タイ</t>
    </rPh>
    <rPh sb="14" eb="16">
      <t>タイリョウ</t>
    </rPh>
    <rPh sb="31" eb="33">
      <t>タイリョウ</t>
    </rPh>
    <rPh sb="34" eb="36">
      <t>ソウシン</t>
    </rPh>
    <phoneticPr fontId="1"/>
  </si>
  <si>
    <t>1-2</t>
    <phoneticPr fontId="1"/>
  </si>
  <si>
    <t>正常の通信のみの場合でも、攻撃と誤検知してしまう。</t>
    <rPh sb="0" eb="2">
      <t>セイジョウ</t>
    </rPh>
    <rPh sb="3" eb="5">
      <t>ツウシン</t>
    </rPh>
    <rPh sb="8" eb="10">
      <t>バアイ</t>
    </rPh>
    <rPh sb="13" eb="15">
      <t>コウゲキ</t>
    </rPh>
    <rPh sb="16" eb="19">
      <t>ゴケンチ</t>
    </rPh>
    <phoneticPr fontId="1"/>
  </si>
  <si>
    <t>1-3</t>
    <phoneticPr fontId="1"/>
  </si>
  <si>
    <t>DNS-K:権威</t>
    <rPh sb="6" eb="8">
      <t>ケンイ</t>
    </rPh>
    <phoneticPr fontId="1"/>
  </si>
  <si>
    <t>DNS-F：リゾルバ</t>
    <phoneticPr fontId="1"/>
  </si>
  <si>
    <t>b: DNS-K</t>
    <phoneticPr fontId="1"/>
  </si>
  <si>
    <t>c: DNS-F</t>
    <phoneticPr fontId="1"/>
  </si>
  <si>
    <t>d: 攻撃者が、利用者の入力した情報を正規のwebサイトに入力する。正規利用者のデバイスにセキュリティコードが送付される。</t>
    <rPh sb="3" eb="6">
      <t>コウゲキシャ</t>
    </rPh>
    <rPh sb="8" eb="11">
      <t>リヨウシャ</t>
    </rPh>
    <rPh sb="12" eb="14">
      <t>ニュウリョク</t>
    </rPh>
    <rPh sb="16" eb="18">
      <t>ジョウホウ</t>
    </rPh>
    <rPh sb="19" eb="21">
      <t>セイキ</t>
    </rPh>
    <rPh sb="29" eb="31">
      <t>ニュウリョク</t>
    </rPh>
    <rPh sb="34" eb="39">
      <t>セイキリヨウシャ</t>
    </rPh>
    <rPh sb="55" eb="57">
      <t>ソウフ</t>
    </rPh>
    <phoneticPr fontId="1"/>
  </si>
  <si>
    <t>e: 偽のセキュリティコード入力の画面を表示して、正規利用者にセキュリティコードを入力する。攻撃者は入力値を、正規のセキュリティコード入力画面に入力する。</t>
    <rPh sb="3" eb="4">
      <t>ニセ</t>
    </rPh>
    <rPh sb="14" eb="16">
      <t>ニュウリョク</t>
    </rPh>
    <rPh sb="17" eb="19">
      <t>ガメン</t>
    </rPh>
    <rPh sb="20" eb="22">
      <t>ヒョウジ</t>
    </rPh>
    <rPh sb="25" eb="30">
      <t>セイキリヨウシャ</t>
    </rPh>
    <rPh sb="41" eb="43">
      <t>ニュウリョク</t>
    </rPh>
    <rPh sb="46" eb="49">
      <t>コウゲキシャ</t>
    </rPh>
    <rPh sb="50" eb="52">
      <t>ニュウリョク</t>
    </rPh>
    <rPh sb="52" eb="53">
      <t>アタイ</t>
    </rPh>
    <rPh sb="55" eb="57">
      <t>セイキ</t>
    </rPh>
    <rPh sb="67" eb="69">
      <t>ニュウリョク</t>
    </rPh>
    <rPh sb="69" eb="71">
      <t>ガメン</t>
    </rPh>
    <rPh sb="72" eb="74">
      <t>ニュウリョク</t>
    </rPh>
    <phoneticPr fontId="1"/>
  </si>
  <si>
    <t>認証情報の入力は、VPNクライアントソフトの画面のみに入力し、webブラウザの画面に対しては行わない。</t>
    <rPh sb="0" eb="2">
      <t>ニンショウ</t>
    </rPh>
    <rPh sb="2" eb="4">
      <t>ジョウホウ</t>
    </rPh>
    <rPh sb="5" eb="7">
      <t>ニュウリョク</t>
    </rPh>
    <rPh sb="22" eb="24">
      <t>ガメン</t>
    </rPh>
    <rPh sb="27" eb="29">
      <t>ニュウリョク</t>
    </rPh>
    <rPh sb="39" eb="41">
      <t>ガメン</t>
    </rPh>
    <rPh sb="42" eb="43">
      <t>タイ</t>
    </rPh>
    <rPh sb="46" eb="47">
      <t>オコナ</t>
    </rPh>
    <phoneticPr fontId="1"/>
  </si>
  <si>
    <t>取得したパケットの順番通りに、通信要求を送信する</t>
    <rPh sb="0" eb="2">
      <t>シュトク</t>
    </rPh>
    <rPh sb="9" eb="11">
      <t>ジュンバン</t>
    </rPh>
    <rPh sb="11" eb="12">
      <t>トオ</t>
    </rPh>
    <rPh sb="15" eb="17">
      <t>ツウシン</t>
    </rPh>
    <rPh sb="17" eb="19">
      <t>ヨウキュウ</t>
    </rPh>
    <rPh sb="20" eb="22">
      <t>ソウシン</t>
    </rPh>
    <phoneticPr fontId="1"/>
  </si>
  <si>
    <t>先行するランダム値をそのまま利用すると、パケットが破棄されるため。</t>
    <rPh sb="0" eb="2">
      <t>センコウ</t>
    </rPh>
    <rPh sb="8" eb="9">
      <t>アタイ</t>
    </rPh>
    <rPh sb="14" eb="16">
      <t>リヨウ</t>
    </rPh>
    <rPh sb="25" eb="27">
      <t>ハキ</t>
    </rPh>
    <phoneticPr fontId="1"/>
  </si>
  <si>
    <t>4-1</t>
    <phoneticPr fontId="1"/>
  </si>
  <si>
    <t>DDoS対策をゆするCDNサービス</t>
    <rPh sb="4" eb="6">
      <t>タイサク</t>
    </rPh>
    <phoneticPr fontId="1"/>
  </si>
  <si>
    <t>4-2</t>
    <phoneticPr fontId="1"/>
  </si>
  <si>
    <t>VPN経由でない通信をすべてUTMにて拒否することが出来るため</t>
    <rPh sb="3" eb="5">
      <t>ケイユ</t>
    </rPh>
    <rPh sb="8" eb="10">
      <t>ツウシン</t>
    </rPh>
    <rPh sb="19" eb="21">
      <t>キョヒ</t>
    </rPh>
    <rPh sb="26" eb="28">
      <t>デキ</t>
    </rPh>
    <phoneticPr fontId="1"/>
  </si>
  <si>
    <t>UTMの設定変更によって、ボットネットからの通信が遮断されるため</t>
    <rPh sb="4" eb="6">
      <t>セッテイ</t>
    </rPh>
    <rPh sb="6" eb="8">
      <t>ヘンコウ</t>
    </rPh>
    <rPh sb="22" eb="24">
      <t>ツウシン</t>
    </rPh>
    <rPh sb="25" eb="27">
      <t>シャダン</t>
    </rPh>
    <phoneticPr fontId="1"/>
  </si>
  <si>
    <t>S</t>
    <phoneticPr fontId="1"/>
  </si>
  <si>
    <t>ステートレス</t>
    <phoneticPr fontId="1"/>
  </si>
  <si>
    <t>共通モジュールP</t>
    <rPh sb="0" eb="2">
      <t>キョウツウ</t>
    </rPh>
    <phoneticPr fontId="1"/>
  </si>
  <si>
    <t>テストサーバーのindex.htmlにアクセスされたかを確認する</t>
    <rPh sb="28" eb="30">
      <t>カクニン</t>
    </rPh>
    <phoneticPr fontId="1"/>
  </si>
  <si>
    <t>e: Header</t>
    <phoneticPr fontId="1"/>
  </si>
  <si>
    <t>f: Header</t>
    <phoneticPr fontId="1"/>
  </si>
  <si>
    <t>認証用の情報はwebアプリには入力せず、VPNクライアントソフトのみに入力する。</t>
    <rPh sb="0" eb="2">
      <t>ニンショウ</t>
    </rPh>
    <rPh sb="2" eb="3">
      <t>ヨウ</t>
    </rPh>
    <rPh sb="4" eb="6">
      <t>ジョウホウ</t>
    </rPh>
    <rPh sb="15" eb="17">
      <t>ニュウリョク</t>
    </rPh>
    <rPh sb="35" eb="37">
      <t>ニュウリョク</t>
    </rPh>
    <phoneticPr fontId="1"/>
  </si>
  <si>
    <t>受信したパケットをそのまま転送しても、パケットが破棄されるため</t>
    <rPh sb="0" eb="2">
      <t>ジュシン</t>
    </rPh>
    <rPh sb="13" eb="15">
      <t>テンソウ</t>
    </rPh>
    <rPh sb="24" eb="26">
      <t>ハキ</t>
    </rPh>
    <phoneticPr fontId="1"/>
  </si>
  <si>
    <t>Ddos対策を行っているＣＤＮサービス</t>
    <rPh sb="4" eb="6">
      <t>タイサク</t>
    </rPh>
    <rPh sb="7" eb="8">
      <t>オコナ</t>
    </rPh>
    <phoneticPr fontId="1"/>
  </si>
  <si>
    <t>2024-秋</t>
  </si>
  <si>
    <t>2024-秋</t>
    <rPh sb="5" eb="6">
      <t>アキ</t>
    </rPh>
    <phoneticPr fontId="1"/>
  </si>
  <si>
    <t>Lはソフト</t>
    <phoneticPr fontId="1"/>
  </si>
  <si>
    <t>E社SaaS</t>
    <rPh sb="1" eb="2">
      <t>シャ</t>
    </rPh>
    <phoneticPr fontId="1"/>
  </si>
  <si>
    <t>ドメインサーバ</t>
    <phoneticPr fontId="1"/>
  </si>
  <si>
    <t>IDとPW</t>
    <phoneticPr fontId="1"/>
  </si>
  <si>
    <t>Qプログラム</t>
    <phoneticPr fontId="1"/>
  </si>
  <si>
    <t>L社内ホストよりInet</t>
    <rPh sb="1" eb="3">
      <t>シャナイ</t>
    </rPh>
    <phoneticPr fontId="1"/>
  </si>
  <si>
    <t>フィルタリング</t>
    <phoneticPr fontId="1"/>
  </si>
  <si>
    <t>URLフィルタリングでアクセス許可</t>
    <rPh sb="15" eb="17">
      <t>キョカ</t>
    </rPh>
    <phoneticPr fontId="1"/>
  </si>
  <si>
    <t>ドメインユーザーごと</t>
    <phoneticPr fontId="1"/>
  </si>
  <si>
    <t>ベンダ拒否リスト</t>
    <rPh sb="3" eb="5">
      <t>キョヒ</t>
    </rPh>
    <phoneticPr fontId="1"/>
  </si>
  <si>
    <t>◎ウェソフト</t>
    <phoneticPr fontId="1"/>
  </si>
  <si>
    <t>シンクライアントPCよりRDP</t>
    <phoneticPr fontId="1"/>
  </si>
  <si>
    <t>ローカルアドミニストレータ</t>
    <phoneticPr fontId="1"/>
  </si>
  <si>
    <t>PC-xはホスト名を持つ</t>
    <rPh sb="8" eb="9">
      <t>メイ</t>
    </rPh>
    <rPh sb="10" eb="11">
      <t>モ</t>
    </rPh>
    <phoneticPr fontId="1"/>
  </si>
  <si>
    <t>Fツールの開発</t>
    <rPh sb="5" eb="7">
      <t>カイハツ</t>
    </rPh>
    <phoneticPr fontId="1"/>
  </si>
  <si>
    <t>ログ、レジストリの証拠データを収集</t>
    <rPh sb="9" eb="11">
      <t>ショウコ</t>
    </rPh>
    <rPh sb="15" eb="17">
      <t>シュウシュウ</t>
    </rPh>
    <phoneticPr fontId="1"/>
  </si>
  <si>
    <t>ディスクイメージ</t>
    <phoneticPr fontId="1"/>
  </si>
  <si>
    <t>PC-A</t>
    <phoneticPr fontId="1"/>
  </si>
  <si>
    <t>プロキシサービスの通信ログ調査</t>
    <rPh sb="9" eb="11">
      <t>ツウシン</t>
    </rPh>
    <rPh sb="13" eb="15">
      <t>チョウサ</t>
    </rPh>
    <phoneticPr fontId="1"/>
  </si>
  <si>
    <t>PC-C</t>
    <phoneticPr fontId="1"/>
  </si>
  <si>
    <t>filesv</t>
    <phoneticPr fontId="1"/>
  </si>
  <si>
    <t>ad01\user019</t>
    <phoneticPr fontId="1"/>
  </si>
  <si>
    <t>1-4</t>
    <phoneticPr fontId="1"/>
  </si>
  <si>
    <t>無効化</t>
    <rPh sb="0" eb="3">
      <t>ムコウカ</t>
    </rPh>
    <phoneticPr fontId="1"/>
  </si>
  <si>
    <t>1-5</t>
    <phoneticPr fontId="1"/>
  </si>
  <si>
    <t>管理者拒否リストに、すべてのドメインユーザーに対して、https://△△.△.com.、https://〇〇.〇.com.、https://□.□.□.com.を登録する。</t>
    <rPh sb="0" eb="3">
      <t>カンリシャ</t>
    </rPh>
    <rPh sb="3" eb="5">
      <t>キョヒ</t>
    </rPh>
    <rPh sb="23" eb="24">
      <t>タイ</t>
    </rPh>
    <rPh sb="82" eb="84">
      <t>トウロク</t>
    </rPh>
    <phoneticPr fontId="1"/>
  </si>
  <si>
    <t>1-6</t>
    <phoneticPr fontId="1"/>
  </si>
  <si>
    <t>https://△△.△.com/へ接続を試みたPCがほかにないかをtime.csvより確認する。</t>
    <rPh sb="18" eb="20">
      <t>セツゾク</t>
    </rPh>
    <rPh sb="21" eb="22">
      <t>ココロ</t>
    </rPh>
    <rPh sb="44" eb="46">
      <t>カクニン</t>
    </rPh>
    <phoneticPr fontId="1"/>
  </si>
  <si>
    <t>1-7</t>
    <phoneticPr fontId="1"/>
  </si>
  <si>
    <t>i.ps1の動作</t>
    <rPh sb="6" eb="8">
      <t>ドウサ</t>
    </rPh>
    <phoneticPr fontId="1"/>
  </si>
  <si>
    <t>１２・６niDL</t>
    <phoneticPr fontId="1"/>
  </si>
  <si>
    <t>pingでホストを探索</t>
    <rPh sb="9" eb="11">
      <t>タンサク</t>
    </rPh>
    <phoneticPr fontId="1"/>
  </si>
  <si>
    <t>PC-A以外に、他ホストPCに対して、RDPを試みているPCがないか</t>
    <rPh sb="4" eb="6">
      <t>イガイ</t>
    </rPh>
    <rPh sb="8" eb="9">
      <t>ホカ</t>
    </rPh>
    <rPh sb="15" eb="16">
      <t>タイ</t>
    </rPh>
    <rPh sb="23" eb="24">
      <t>ココロ</t>
    </rPh>
    <phoneticPr fontId="1"/>
  </si>
  <si>
    <t>1-8</t>
    <phoneticPr fontId="1"/>
  </si>
  <si>
    <t>・マルウェア対策ソフトが停止されたホストPCがないかを検出する。</t>
    <rPh sb="6" eb="8">
      <t>タイサク</t>
    </rPh>
    <rPh sb="12" eb="14">
      <t>テイシ</t>
    </rPh>
    <rPh sb="27" eb="29">
      <t>ケンシュツ</t>
    </rPh>
    <phoneticPr fontId="1"/>
  </si>
  <si>
    <t>・他PCに対してRDP接続を繰り替えてしているホストPCがないかを検出する。</t>
    <rPh sb="1" eb="2">
      <t>ホカ</t>
    </rPh>
    <rPh sb="5" eb="6">
      <t>タイ</t>
    </rPh>
    <rPh sb="11" eb="13">
      <t>セツゾク</t>
    </rPh>
    <rPh sb="14" eb="15">
      <t>ク</t>
    </rPh>
    <rPh sb="16" eb="17">
      <t>カ</t>
    </rPh>
    <rPh sb="33" eb="35">
      <t>ケンシュツ</t>
    </rPh>
    <phoneticPr fontId="1"/>
  </si>
  <si>
    <t>2</t>
    <phoneticPr fontId="1"/>
  </si>
  <si>
    <t>マルウェア感染への対策以外に技術的対策</t>
    <rPh sb="5" eb="7">
      <t>カンセン</t>
    </rPh>
    <rPh sb="9" eb="11">
      <t>タイサク</t>
    </rPh>
    <rPh sb="11" eb="13">
      <t>イガイ</t>
    </rPh>
    <rPh sb="14" eb="17">
      <t>ギジュツテキ</t>
    </rPh>
    <rPh sb="17" eb="19">
      <t>タイサク</t>
    </rPh>
    <phoneticPr fontId="1"/>
  </si>
  <si>
    <t>他PCに対するRDP接続する際に、接続元の制限を行う</t>
    <rPh sb="0" eb="1">
      <t>ホカ</t>
    </rPh>
    <rPh sb="4" eb="5">
      <t>タイ</t>
    </rPh>
    <rPh sb="10" eb="12">
      <t>セツゾク</t>
    </rPh>
    <rPh sb="14" eb="15">
      <t>サイ</t>
    </rPh>
    <rPh sb="17" eb="20">
      <t>セツゾクモト</t>
    </rPh>
    <rPh sb="21" eb="23">
      <t>セイゲン</t>
    </rPh>
    <rPh sb="24" eb="25">
      <t>オコナ</t>
    </rPh>
    <phoneticPr fontId="1"/>
  </si>
  <si>
    <t>社外に対して、容量の大きいファイルのアップロードに通信制限をかける。</t>
    <rPh sb="0" eb="2">
      <t>シャガイ</t>
    </rPh>
    <rPh sb="3" eb="4">
      <t>タイ</t>
    </rPh>
    <rPh sb="7" eb="9">
      <t>ヨウリョウ</t>
    </rPh>
    <rPh sb="10" eb="11">
      <t>オオ</t>
    </rPh>
    <rPh sb="25" eb="27">
      <t>ツウシン</t>
    </rPh>
    <rPh sb="27" eb="29">
      <t>セイゲン</t>
    </rPh>
    <phoneticPr fontId="1"/>
  </si>
  <si>
    <t>DLPによりファイル持ち出しを制限する</t>
    <rPh sb="10" eb="11">
      <t>モ</t>
    </rPh>
    <rPh sb="12" eb="13">
      <t>ダ</t>
    </rPh>
    <rPh sb="15" eb="17">
      <t>セイゲン</t>
    </rPh>
    <phoneticPr fontId="1"/>
  </si>
  <si>
    <t>ドメイン名変更</t>
    <rPh sb="4" eb="5">
      <t>メイ</t>
    </rPh>
    <rPh sb="5" eb="7">
      <t>ヘンコウ</t>
    </rPh>
    <phoneticPr fontId="1"/>
  </si>
  <si>
    <t>工作機械</t>
    <rPh sb="0" eb="4">
      <t>コウサクキカイ</t>
    </rPh>
    <phoneticPr fontId="1"/>
  </si>
  <si>
    <t>IRとリンク</t>
    <phoneticPr fontId="1"/>
  </si>
  <si>
    <t>ソフトを提供</t>
    <rPh sb="4" eb="6">
      <t>テイキョウ</t>
    </rPh>
    <phoneticPr fontId="1"/>
  </si>
  <si>
    <t>電子メール</t>
    <rPh sb="0" eb="2">
      <t>デンシ</t>
    </rPh>
    <phoneticPr fontId="1"/>
  </si>
  <si>
    <t>A社メールが送られている</t>
    <rPh sb="1" eb="2">
      <t>シャ</t>
    </rPh>
    <rPh sb="6" eb="7">
      <t>オク</t>
    </rPh>
    <phoneticPr fontId="1"/>
  </si>
  <si>
    <t>S社サービス</t>
    <rPh sb="1" eb="2">
      <t>シャ</t>
    </rPh>
    <phoneticPr fontId="1"/>
  </si>
  <si>
    <t>A社ドメイン名</t>
    <rPh sb="1" eb="2">
      <t>シャ</t>
    </rPh>
    <rPh sb="6" eb="7">
      <t>メイ</t>
    </rPh>
    <phoneticPr fontId="1"/>
  </si>
  <si>
    <t>周囲の記載法もしっかりと見よう</t>
    <rPh sb="0" eb="2">
      <t>シュウイ</t>
    </rPh>
    <rPh sb="3" eb="6">
      <t>キサイホウ</t>
    </rPh>
    <rPh sb="12" eb="13">
      <t>ミ</t>
    </rPh>
    <phoneticPr fontId="1"/>
  </si>
  <si>
    <t>DNSサービスは外部</t>
    <rPh sb="8" eb="10">
      <t>ガイブ</t>
    </rPh>
    <phoneticPr fontId="1"/>
  </si>
  <si>
    <t>すべて</t>
    <phoneticPr fontId="1"/>
  </si>
  <si>
    <t>社名変更</t>
    <rPh sb="0" eb="2">
      <t>シャメイ</t>
    </rPh>
    <rPh sb="2" eb="4">
      <t>ヘンコウ</t>
    </rPh>
    <phoneticPr fontId="1"/>
  </si>
  <si>
    <t>Zドメインサイトを立ち上げる</t>
    <rPh sb="9" eb="10">
      <t>タ</t>
    </rPh>
    <rPh sb="11" eb="12">
      <t>ア</t>
    </rPh>
    <phoneticPr fontId="1"/>
  </si>
  <si>
    <t>DKIM署名を追加</t>
    <rPh sb="4" eb="6">
      <t>ショメイ</t>
    </rPh>
    <rPh sb="7" eb="9">
      <t>ツイカ</t>
    </rPh>
    <phoneticPr fontId="1"/>
  </si>
  <si>
    <t>SPFとDKIMのどちらか</t>
    <phoneticPr fontId="1"/>
  </si>
  <si>
    <t>メール確率と拒否</t>
    <rPh sb="3" eb="5">
      <t>カクリツ</t>
    </rPh>
    <rPh sb="6" eb="8">
      <t>キョヒ</t>
    </rPh>
    <phoneticPr fontId="1"/>
  </si>
  <si>
    <t>SMTPS</t>
    <phoneticPr fontId="1"/>
  </si>
  <si>
    <t>利用者アカウントの登録を行う</t>
    <rPh sb="0" eb="3">
      <t>リヨウシャ</t>
    </rPh>
    <rPh sb="9" eb="11">
      <t>トウロク</t>
    </rPh>
    <rPh sb="12" eb="13">
      <t>オコナ</t>
    </rPh>
    <phoneticPr fontId="1"/>
  </si>
  <si>
    <t>Z-Webサイトに同一構成で配置</t>
    <rPh sb="9" eb="11">
      <t>ドウイツ</t>
    </rPh>
    <rPh sb="11" eb="13">
      <t>コウセイ</t>
    </rPh>
    <rPh sb="14" eb="16">
      <t>ハイチ</t>
    </rPh>
    <phoneticPr fontId="1"/>
  </si>
  <si>
    <t>コンテンツを書き換える</t>
    <rPh sb="6" eb="7">
      <t>カ</t>
    </rPh>
    <rPh sb="8" eb="9">
      <t>カ</t>
    </rPh>
    <phoneticPr fontId="1"/>
  </si>
  <si>
    <t>サービス移管</t>
    <rPh sb="4" eb="6">
      <t>イカン</t>
    </rPh>
    <phoneticPr fontId="1"/>
  </si>
  <si>
    <t>A-web→Z-webにリダイレクト</t>
    <phoneticPr fontId="1"/>
  </si>
  <si>
    <t>オ</t>
    <phoneticPr fontId="1"/>
  </si>
  <si>
    <t>イ</t>
    <phoneticPr fontId="1"/>
  </si>
  <si>
    <t>正式のソフトウェアを装った攻撃プログラムをダウンロードさせる</t>
    <rPh sb="0" eb="2">
      <t>セイシキ</t>
    </rPh>
    <rPh sb="10" eb="11">
      <t>ヨソオ</t>
    </rPh>
    <rPh sb="13" eb="15">
      <t>コウゲキ</t>
    </rPh>
    <phoneticPr fontId="1"/>
  </si>
  <si>
    <t>会社の業務内容と関係者の宛先が記載されている</t>
    <rPh sb="0" eb="2">
      <t>カイシャ</t>
    </rPh>
    <rPh sb="3" eb="5">
      <t>ギョウム</t>
    </rPh>
    <rPh sb="5" eb="7">
      <t>ナイヨウ</t>
    </rPh>
    <rPh sb="8" eb="11">
      <t>カンケイシャ</t>
    </rPh>
    <rPh sb="12" eb="14">
      <t>アテサキ</t>
    </rPh>
    <rPh sb="15" eb="17">
      <t>キサイ</t>
    </rPh>
    <phoneticPr fontId="1"/>
  </si>
  <si>
    <t>本人に成りすまして、関係者とやり取りを行い、機密情報を盗み出す。</t>
    <rPh sb="0" eb="2">
      <t>ホンニン</t>
    </rPh>
    <rPh sb="3" eb="4">
      <t>ナ</t>
    </rPh>
    <rPh sb="10" eb="13">
      <t>カンケイシャ</t>
    </rPh>
    <rPh sb="16" eb="17">
      <t>ト</t>
    </rPh>
    <rPh sb="19" eb="20">
      <t>オコナ</t>
    </rPh>
    <rPh sb="22" eb="26">
      <t>キミツジョウホウ</t>
    </rPh>
    <rPh sb="27" eb="28">
      <t>ヌス</t>
    </rPh>
    <rPh sb="29" eb="30">
      <t>ダ</t>
    </rPh>
    <phoneticPr fontId="1"/>
  </si>
  <si>
    <t>4-3</t>
    <phoneticPr fontId="1"/>
  </si>
  <si>
    <t>エ</t>
    <phoneticPr fontId="1"/>
  </si>
  <si>
    <t>DMARCレポート</t>
    <phoneticPr fontId="1"/>
  </si>
  <si>
    <t>5-1</t>
    <phoneticPr fontId="1"/>
  </si>
  <si>
    <t>SPFレコードに、Tサービスのメール送信元IPアドレスを追加する。</t>
    <rPh sb="18" eb="21">
      <t>ソウシンモト</t>
    </rPh>
    <rPh sb="28" eb="30">
      <t>ツイカ</t>
    </rPh>
    <phoneticPr fontId="1"/>
  </si>
  <si>
    <t>5-2</t>
    <phoneticPr fontId="1"/>
  </si>
  <si>
    <t>SPFレコードにYサービス情報が登録されていない状態で、メールがYサービスより送付される。</t>
    <rPh sb="13" eb="15">
      <t>ジョウホウ</t>
    </rPh>
    <rPh sb="16" eb="18">
      <t>トウロク</t>
    </rPh>
    <rPh sb="24" eb="26">
      <t>ジョウタイ</t>
    </rPh>
    <rPh sb="39" eb="41">
      <t>ソウフ</t>
    </rPh>
    <phoneticPr fontId="1"/>
  </si>
  <si>
    <t>DKIMレコードのhタグにsubjectが含まれているのに、Yサービスメールのsubjectが変わる</t>
    <rPh sb="21" eb="22">
      <t>フク</t>
    </rPh>
    <rPh sb="47" eb="48">
      <t>カ</t>
    </rPh>
    <phoneticPr fontId="1"/>
  </si>
  <si>
    <t>1-6</t>
  </si>
  <si>
    <t>1-7</t>
  </si>
  <si>
    <t>2</t>
  </si>
  <si>
    <t>PC-C</t>
    <phoneticPr fontId="1"/>
  </si>
  <si>
    <t>PC-A,C以外にhttps://△△.△.com/に接続したホストPCが他にないかを確認する.</t>
    <rPh sb="6" eb="8">
      <t>イガイ</t>
    </rPh>
    <rPh sb="27" eb="29">
      <t>セツゾク</t>
    </rPh>
    <rPh sb="37" eb="38">
      <t>ホカ</t>
    </rPh>
    <rPh sb="43" eb="45">
      <t>カクニン</t>
    </rPh>
    <phoneticPr fontId="1"/>
  </si>
  <si>
    <t>追加調査が活動する可能性あるホストを見逃した</t>
    <rPh sb="0" eb="2">
      <t>ツイカ</t>
    </rPh>
    <rPh sb="2" eb="4">
      <t>チョウサ</t>
    </rPh>
    <rPh sb="5" eb="7">
      <t>カツドウ</t>
    </rPh>
    <rPh sb="9" eb="12">
      <t>カノウセイ</t>
    </rPh>
    <rPh sb="18" eb="20">
      <t>ミノガ</t>
    </rPh>
    <phoneticPr fontId="1"/>
  </si>
  <si>
    <t>i.ps1よりinstallが実行されたL社内ホストがないかを確認する</t>
    <rPh sb="15" eb="17">
      <t>ジッコウ</t>
    </rPh>
    <rPh sb="21" eb="23">
      <t>シャナイ</t>
    </rPh>
    <rPh sb="31" eb="33">
      <t>カクニン</t>
    </rPh>
    <phoneticPr fontId="1"/>
  </si>
  <si>
    <t>e: 仮想PCへのRDP接続に対してIPアドレスによる接続元制限を行う</t>
    <rPh sb="3" eb="5">
      <t>カソウ</t>
    </rPh>
    <rPh sb="12" eb="14">
      <t>セツゾク</t>
    </rPh>
    <rPh sb="15" eb="16">
      <t>タイ</t>
    </rPh>
    <rPh sb="27" eb="29">
      <t>セツゾク</t>
    </rPh>
    <rPh sb="29" eb="30">
      <t>モト</t>
    </rPh>
    <rPh sb="30" eb="32">
      <t>セイゲン</t>
    </rPh>
    <rPh sb="33" eb="34">
      <t>オコナ</t>
    </rPh>
    <phoneticPr fontId="1"/>
  </si>
  <si>
    <t>f: Lsh内にDLPを導入し、ファイルの持ち出しを制限する</t>
    <rPh sb="6" eb="7">
      <t>ナイ</t>
    </rPh>
    <rPh sb="12" eb="14">
      <t>ドウニュウ</t>
    </rPh>
    <rPh sb="21" eb="22">
      <t>モ</t>
    </rPh>
    <rPh sb="23" eb="24">
      <t>ダ</t>
    </rPh>
    <rPh sb="26" eb="28">
      <t>セイゲン</t>
    </rPh>
    <phoneticPr fontId="1"/>
  </si>
  <si>
    <t>シンクライアントPCよりRDPで接続する</t>
    <rPh sb="16" eb="18">
      <t>セツゾク</t>
    </rPh>
    <phoneticPr fontId="1"/>
  </si>
  <si>
    <t>PC-AからPC-Cに接続→仮想PC間のRDPは不要</t>
    <rPh sb="11" eb="13">
      <t>セツゾク</t>
    </rPh>
    <rPh sb="14" eb="16">
      <t>カソウ</t>
    </rPh>
    <rPh sb="18" eb="19">
      <t>アイダ</t>
    </rPh>
    <rPh sb="24" eb="26">
      <t>フヨウ</t>
    </rPh>
    <phoneticPr fontId="1"/>
  </si>
  <si>
    <t>→オフィスLAN専用のネットワークアドレスが割り当てられている</t>
    <rPh sb="8" eb="10">
      <t>センヨウ</t>
    </rPh>
    <rPh sb="22" eb="23">
      <t>ワ</t>
    </rPh>
    <rPh sb="24" eb="25">
      <t>ア</t>
    </rPh>
    <phoneticPr fontId="1"/>
  </si>
  <si>
    <t>L社内にDLPを導入し、ファイル持ち出しを制限する</t>
    <rPh sb="1" eb="3">
      <t>シャナイ</t>
    </rPh>
    <rPh sb="8" eb="10">
      <t>ドウニュウ</t>
    </rPh>
    <rPh sb="16" eb="17">
      <t>モ</t>
    </rPh>
    <rPh sb="18" eb="19">
      <t>ダ</t>
    </rPh>
    <rPh sb="21" eb="23">
      <t>セイゲン</t>
    </rPh>
    <phoneticPr fontId="1"/>
  </si>
  <si>
    <t>見直し</t>
    <rPh sb="0" eb="2">
      <t>ミナオ</t>
    </rPh>
    <phoneticPr fontId="1"/>
  </si>
  <si>
    <t>アプリケーション</t>
    <phoneticPr fontId="1"/>
  </si>
  <si>
    <t>ドメインを取得→Webサイトを利用</t>
    <rPh sb="5" eb="7">
      <t>シュトク</t>
    </rPh>
    <rPh sb="15" eb="17">
      <t>リヨウ</t>
    </rPh>
    <phoneticPr fontId="1"/>
  </si>
  <si>
    <t>_domainkey.z-sha.co.jp</t>
    <phoneticPr fontId="1"/>
  </si>
  <si>
    <t>利用者がURLにアクセスした際に任意のパスワードを設定し、アカウントをのっとる。</t>
    <rPh sb="0" eb="3">
      <t>リヨウシャ</t>
    </rPh>
    <rPh sb="14" eb="15">
      <t>サイ</t>
    </rPh>
    <rPh sb="16" eb="18">
      <t>ニンイ</t>
    </rPh>
    <rPh sb="25" eb="27">
      <t>セッテイ</t>
    </rPh>
    <phoneticPr fontId="1"/>
  </si>
  <si>
    <t>攻撃者が用意したパスワード再設定画面のURLが記載された</t>
    <rPh sb="0" eb="3">
      <t>コウゲキシャ</t>
    </rPh>
    <rPh sb="4" eb="6">
      <t>ヨウイ</t>
    </rPh>
    <rPh sb="13" eb="16">
      <t>サイセッテイ</t>
    </rPh>
    <rPh sb="16" eb="18">
      <t>ガメン</t>
    </rPh>
    <rPh sb="23" eb="25">
      <t>キサイ</t>
    </rPh>
    <phoneticPr fontId="1"/>
  </si>
  <si>
    <t>ア</t>
    <phoneticPr fontId="1"/>
  </si>
  <si>
    <t>A社ドメインからのメールを拒否できるようにする</t>
    <rPh sb="1" eb="2">
      <t>シャ</t>
    </rPh>
    <rPh sb="13" eb="15">
      <t>キョヒ</t>
    </rPh>
    <phoneticPr fontId="1"/>
  </si>
  <si>
    <t>一斉メールはUサービスでなくTサービスを使う</t>
    <rPh sb="0" eb="2">
      <t>イッセイ</t>
    </rPh>
    <rPh sb="20" eb="21">
      <t>ツカ</t>
    </rPh>
    <phoneticPr fontId="1"/>
  </si>
  <si>
    <t>SPFレコードの変更をしないとメールが届かない</t>
    <rPh sb="8" eb="10">
      <t>ヘンコウ</t>
    </rPh>
    <rPh sb="19" eb="20">
      <t>トド</t>
    </rPh>
    <phoneticPr fontId="1"/>
  </si>
  <si>
    <t>SPFレコードの変更しないとメールが届かない</t>
    <rPh sb="8" eb="10">
      <t>ヘンコウ</t>
    </rPh>
    <rPh sb="18" eb="19">
      <t>トド</t>
    </rPh>
    <phoneticPr fontId="1"/>
  </si>
  <si>
    <t>SPFレコードにTサービスのメール送信元IPアドレスを追加する</t>
    <rPh sb="17" eb="19">
      <t>ソウシン</t>
    </rPh>
    <rPh sb="19" eb="20">
      <t>モト</t>
    </rPh>
    <rPh sb="27" eb="29">
      <t>ツイカ</t>
    </rPh>
    <phoneticPr fontId="1"/>
  </si>
  <si>
    <t>SPFレコードにYサービスの情報が登録されていないのに、メールがYサービスより送られる</t>
    <rPh sb="14" eb="16">
      <t>ジョウホウ</t>
    </rPh>
    <rPh sb="17" eb="19">
      <t>トウロク</t>
    </rPh>
    <rPh sb="39" eb="40">
      <t>オク</t>
    </rPh>
    <phoneticPr fontId="1"/>
  </si>
  <si>
    <t>PM-3</t>
    <phoneticPr fontId="1"/>
  </si>
  <si>
    <t>D社はECサイトなどのwebサイトでは診断アプリ</t>
    <rPh sb="1" eb="2">
      <t>シャ</t>
    </rPh>
    <rPh sb="19" eb="21">
      <t>シンダン</t>
    </rPh>
    <phoneticPr fontId="1"/>
  </si>
  <si>
    <t>インターネットから直接アクセスできないプライベートIpアドレス</t>
    <rPh sb="9" eb="11">
      <t>チョクセツ</t>
    </rPh>
    <phoneticPr fontId="1"/>
  </si>
  <si>
    <t>特定のURLにアクセスして情報取得</t>
    <rPh sb="0" eb="2">
      <t>トクテイ</t>
    </rPh>
    <rPh sb="13" eb="15">
      <t>ジョウホウ</t>
    </rPh>
    <rPh sb="15" eb="17">
      <t>シュトク</t>
    </rPh>
    <phoneticPr fontId="1"/>
  </si>
  <si>
    <t>トークンのULRにPUTでアクセス</t>
    <phoneticPr fontId="1"/>
  </si>
  <si>
    <t>webサーバーX、サーバーYにアクセス→ログイン画面</t>
    <rPh sb="24" eb="26">
      <t>ガメン</t>
    </rPh>
    <phoneticPr fontId="1"/>
  </si>
  <si>
    <t>サイトXログイン</t>
    <phoneticPr fontId="1"/>
  </si>
  <si>
    <t>利用者機能</t>
    <rPh sb="0" eb="3">
      <t>リヨウシャ</t>
    </rPh>
    <rPh sb="3" eb="5">
      <t>キノウ</t>
    </rPh>
    <phoneticPr fontId="1"/>
  </si>
  <si>
    <t>注文機能</t>
    <rPh sb="0" eb="2">
      <t>チュウモン</t>
    </rPh>
    <rPh sb="2" eb="4">
      <t>キノウ</t>
    </rPh>
    <phoneticPr fontId="1"/>
  </si>
  <si>
    <t>サイト管理機能</t>
    <rPh sb="3" eb="5">
      <t>カンリ</t>
    </rPh>
    <rPh sb="5" eb="7">
      <t>キノウ</t>
    </rPh>
    <phoneticPr fontId="1"/>
  </si>
  <si>
    <t>サイトXとYの構築はOK</t>
    <rPh sb="7" eb="9">
      <t>コウチク</t>
    </rPh>
    <phoneticPr fontId="1"/>
  </si>
  <si>
    <t>XSS、CSRF</t>
    <phoneticPr fontId="1"/>
  </si>
  <si>
    <t>攻撃者が、わなスクリプトを仕込んだリンク先を画面に表示する。管理者がリンク先を踏むことで、管理者権限のcookieをwebサイトに送信し、攻撃者が、送付の値を利用することで、管理者としてサイトXにアクセスし、利用者情報を取得する</t>
    <rPh sb="0" eb="3">
      <t>コウゲキシャ</t>
    </rPh>
    <rPh sb="13" eb="15">
      <t>シコ</t>
    </rPh>
    <rPh sb="20" eb="21">
      <t>サキ</t>
    </rPh>
    <rPh sb="22" eb="24">
      <t>ガメン</t>
    </rPh>
    <rPh sb="25" eb="27">
      <t>ヒョウジ</t>
    </rPh>
    <rPh sb="30" eb="33">
      <t>カンリシャ</t>
    </rPh>
    <rPh sb="37" eb="38">
      <t>サキ</t>
    </rPh>
    <rPh sb="39" eb="40">
      <t>フ</t>
    </rPh>
    <rPh sb="45" eb="48">
      <t>カンリシャ</t>
    </rPh>
    <rPh sb="48" eb="50">
      <t>ケンゲン</t>
    </rPh>
    <rPh sb="65" eb="67">
      <t>ソウシン</t>
    </rPh>
    <rPh sb="69" eb="72">
      <t>コウゲキシャ</t>
    </rPh>
    <rPh sb="74" eb="76">
      <t>ソウフ</t>
    </rPh>
    <rPh sb="77" eb="78">
      <t>アタイ</t>
    </rPh>
    <rPh sb="79" eb="81">
      <t>リヨウ</t>
    </rPh>
    <rPh sb="87" eb="90">
      <t>カンリシャ</t>
    </rPh>
    <rPh sb="104" eb="107">
      <t>リヨウシャ</t>
    </rPh>
    <rPh sb="107" eb="109">
      <t>ジョウホウ</t>
    </rPh>
    <rPh sb="110" eb="112">
      <t>シュトク</t>
    </rPh>
    <phoneticPr fontId="1"/>
  </si>
  <si>
    <t>攻撃者が自らのアカウントで取得したcsrf_tokenと一緒に利用者情報をサイトXに送るように構成したわなフォームに、詐欺メールで利用者を誘導し、利用者情報を変更させる</t>
    <rPh sb="0" eb="3">
      <t>コウゲキシャ</t>
    </rPh>
    <rPh sb="4" eb="5">
      <t>ミズカ</t>
    </rPh>
    <rPh sb="13" eb="15">
      <t>シュトク</t>
    </rPh>
    <rPh sb="28" eb="30">
      <t>イッショ</t>
    </rPh>
    <rPh sb="31" eb="34">
      <t>リヨウシャ</t>
    </rPh>
    <rPh sb="34" eb="36">
      <t>ジョウホウ</t>
    </rPh>
    <rPh sb="42" eb="43">
      <t>オク</t>
    </rPh>
    <rPh sb="47" eb="49">
      <t>コウセイ</t>
    </rPh>
    <rPh sb="59" eb="61">
      <t>サギ</t>
    </rPh>
    <rPh sb="65" eb="68">
      <t>リヨウシャ</t>
    </rPh>
    <rPh sb="69" eb="71">
      <t>ユウドウ</t>
    </rPh>
    <rPh sb="73" eb="76">
      <t>リヨウシャ</t>
    </rPh>
    <rPh sb="76" eb="78">
      <t>ジョウホウ</t>
    </rPh>
    <rPh sb="79" eb="81">
      <t>ヘンコウ</t>
    </rPh>
    <phoneticPr fontId="1"/>
  </si>
  <si>
    <t>a:×</t>
    <phoneticPr fontId="1"/>
  </si>
  <si>
    <t>b:×</t>
    <phoneticPr fontId="1"/>
  </si>
  <si>
    <t>c:〇</t>
    <phoneticPr fontId="1"/>
  </si>
  <si>
    <t>d:×</t>
    <phoneticPr fontId="1"/>
  </si>
  <si>
    <t>3-1</t>
    <phoneticPr fontId="1"/>
  </si>
  <si>
    <t>order-codeの下6桁を変えて総当たりで攻撃する</t>
    <rPh sb="11" eb="12">
      <t>シモ</t>
    </rPh>
    <rPh sb="13" eb="14">
      <t>ケタ</t>
    </rPh>
    <rPh sb="15" eb="16">
      <t>カ</t>
    </rPh>
    <rPh sb="18" eb="20">
      <t>ソウア</t>
    </rPh>
    <rPh sb="23" eb="25">
      <t>コウゲキ</t>
    </rPh>
    <phoneticPr fontId="1"/>
  </si>
  <si>
    <t>3-2</t>
    <phoneticPr fontId="1"/>
  </si>
  <si>
    <t>指定されたorder-codeが、利用者に紐づいたものかを確認する</t>
    <rPh sb="0" eb="2">
      <t>シテイ</t>
    </rPh>
    <rPh sb="17" eb="20">
      <t>リヨウシャ</t>
    </rPh>
    <rPh sb="21" eb="22">
      <t>ヒモ</t>
    </rPh>
    <rPh sb="29" eb="31">
      <t>カクニン</t>
    </rPh>
    <phoneticPr fontId="1"/>
  </si>
  <si>
    <t>4-1</t>
    <phoneticPr fontId="1"/>
  </si>
  <si>
    <t>変更あとのURLにPOSTでデータを送付することが出来ないため</t>
    <rPh sb="0" eb="2">
      <t>ヘンコウ</t>
    </rPh>
    <rPh sb="18" eb="20">
      <t>ソウフ</t>
    </rPh>
    <rPh sb="25" eb="27">
      <t>デキ</t>
    </rPh>
    <phoneticPr fontId="1"/>
  </si>
  <si>
    <t>4-2</t>
    <phoneticPr fontId="1"/>
  </si>
  <si>
    <t>パラメータpageの情報を、クレデンシャルを返すページのものに変更する</t>
    <rPh sb="10" eb="12">
      <t>ジョウホウ</t>
    </rPh>
    <rPh sb="22" eb="23">
      <t>カエ</t>
    </rPh>
    <rPh sb="31" eb="33">
      <t>ヘンコウ</t>
    </rPh>
    <phoneticPr fontId="1"/>
  </si>
  <si>
    <t>4-3</t>
    <phoneticPr fontId="1"/>
  </si>
  <si>
    <t>トークンをはこうするURLにPUTメソッドでアクセスしてトークンを入手し、トークンをリクエストヘッダに含めてIMDSのクレデンシャルを返すURLにアクセスする</t>
    <rPh sb="33" eb="35">
      <t>ニュウシュ</t>
    </rPh>
    <rPh sb="51" eb="52">
      <t>フク</t>
    </rPh>
    <rPh sb="67" eb="68">
      <t>カエ</t>
    </rPh>
    <phoneticPr fontId="1"/>
  </si>
  <si>
    <t>4-4</t>
    <phoneticPr fontId="1"/>
  </si>
  <si>
    <t>パラメータpageの値がサイトP以外のURLならエラーにする</t>
    <rPh sb="10" eb="11">
      <t>アタイ</t>
    </rPh>
    <rPh sb="16" eb="18">
      <t>イガイ</t>
    </rPh>
    <phoneticPr fontId="1"/>
  </si>
  <si>
    <t>PM-3</t>
  </si>
  <si>
    <t>L社のシステムはインシデント</t>
    <rPh sb="1" eb="2">
      <t>シャ</t>
    </rPh>
    <phoneticPr fontId="1"/>
  </si>
  <si>
    <t>E社はソフト会社</t>
    <rPh sb="1" eb="2">
      <t>シャ</t>
    </rPh>
    <rPh sb="6" eb="8">
      <t>カイシャ</t>
    </rPh>
    <phoneticPr fontId="1"/>
  </si>
  <si>
    <t>情シス</t>
    <rPh sb="0" eb="1">
      <t>ジョウ</t>
    </rPh>
    <phoneticPr fontId="1"/>
  </si>
  <si>
    <t>SaaSを利用する</t>
    <rPh sb="5" eb="7">
      <t>リヨウ</t>
    </rPh>
    <phoneticPr fontId="1"/>
  </si>
  <si>
    <t>ad01というドメインを活用</t>
    <rPh sb="12" eb="14">
      <t>カツヨウ</t>
    </rPh>
    <phoneticPr fontId="1"/>
  </si>
  <si>
    <t>ホストからインターネット</t>
    <phoneticPr fontId="1"/>
  </si>
  <si>
    <t>管理者許可リスト</t>
    <rPh sb="0" eb="3">
      <t>カンリシャ</t>
    </rPh>
    <rPh sb="3" eb="5">
      <t>キョカ</t>
    </rPh>
    <phoneticPr fontId="1"/>
  </si>
  <si>
    <t>管理者拒否リスト</t>
    <rPh sb="0" eb="3">
      <t>カンリシャ</t>
    </rPh>
    <rPh sb="3" eb="5">
      <t>キョヒ</t>
    </rPh>
    <phoneticPr fontId="1"/>
  </si>
  <si>
    <t>マルウェア対策ソフト</t>
    <rPh sb="5" eb="7">
      <t>タイサク</t>
    </rPh>
    <phoneticPr fontId="1"/>
  </si>
  <si>
    <t>シンクライアント</t>
    <phoneticPr fontId="1"/>
  </si>
  <si>
    <t>ドメインユーザー</t>
    <phoneticPr fontId="1"/>
  </si>
  <si>
    <t>仮想PCのローカルアドミニストレータ</t>
    <rPh sb="0" eb="2">
      <t>カソウ</t>
    </rPh>
    <phoneticPr fontId="1"/>
  </si>
  <si>
    <t>仮想PCにログイン</t>
    <rPh sb="0" eb="2">
      <t>カソウ</t>
    </rPh>
    <phoneticPr fontId="1"/>
  </si>
  <si>
    <t>社外情報L</t>
    <rPh sb="0" eb="2">
      <t>シャガイ</t>
    </rPh>
    <rPh sb="2" eb="4">
      <t>ジョウホウ</t>
    </rPh>
    <phoneticPr fontId="1"/>
  </si>
  <si>
    <t>仮想PC保守PC</t>
    <rPh sb="0" eb="2">
      <t>カソウ</t>
    </rPh>
    <rPh sb="4" eb="6">
      <t>ホシュ</t>
    </rPh>
    <phoneticPr fontId="1"/>
  </si>
  <si>
    <t>保守ツールイン</t>
    <rPh sb="0" eb="2">
      <t>ホシュ</t>
    </rPh>
    <phoneticPr fontId="1"/>
  </si>
  <si>
    <t>Fツール</t>
    <phoneticPr fontId="1"/>
  </si>
  <si>
    <t>12/6プロキシよりアラート</t>
    <phoneticPr fontId="1"/>
  </si>
  <si>
    <t>イベントをトリガーに実行</t>
    <rPh sb="10" eb="12">
      <t>ジッコウ</t>
    </rPh>
    <phoneticPr fontId="1"/>
  </si>
  <si>
    <t>ログオンも記録</t>
    <rPh sb="5" eb="7">
      <t>キロク</t>
    </rPh>
    <phoneticPr fontId="1"/>
  </si>
  <si>
    <t>プロキシよりアラート</t>
    <phoneticPr fontId="1"/>
  </si>
  <si>
    <t>ベンダ拒否</t>
    <rPh sb="3" eb="5">
      <t>キョヒ</t>
    </rPh>
    <phoneticPr fontId="1"/>
  </si>
  <si>
    <t>マルウェアのカテゴリ</t>
    <phoneticPr fontId="1"/>
  </si>
  <si>
    <t>a: PC-C</t>
    <phoneticPr fontId="1"/>
  </si>
  <si>
    <t>b: filesv</t>
    <phoneticPr fontId="1"/>
  </si>
  <si>
    <t>d: 無効化</t>
    <rPh sb="3" eb="6">
      <t>ムコウカ</t>
    </rPh>
    <phoneticPr fontId="1"/>
  </si>
  <si>
    <t>プロキシサーバーでhttps://△△△.com/、https://〇〇〇.com/、https://□□□.com/を管理者拒否リストに設定する。</t>
    <rPh sb="60" eb="63">
      <t>カンリシャ</t>
    </rPh>
    <rPh sb="63" eb="65">
      <t>キョヒ</t>
    </rPh>
    <rPh sb="69" eb="71">
      <t>セッテイ</t>
    </rPh>
    <phoneticPr fontId="1"/>
  </si>
  <si>
    <t>感染を示す証拠となるイベント</t>
    <rPh sb="0" eb="2">
      <t>カンセン</t>
    </rPh>
    <rPh sb="3" eb="4">
      <t>シメ</t>
    </rPh>
    <rPh sb="5" eb="7">
      <t>ショウコ</t>
    </rPh>
    <phoneticPr fontId="1"/>
  </si>
  <si>
    <t>タスク名がinstallであるタスクが登録されているL社内のホストがないか確認する</t>
    <rPh sb="3" eb="4">
      <t>メイ</t>
    </rPh>
    <rPh sb="19" eb="21">
      <t>トウロク</t>
    </rPh>
    <rPh sb="27" eb="29">
      <t>シャナイ</t>
    </rPh>
    <rPh sb="37" eb="39">
      <t>カクニン</t>
    </rPh>
    <phoneticPr fontId="1"/>
  </si>
  <si>
    <t>タスク名: installが登録されたそのほかのホストPCがないかを確認する</t>
    <rPh sb="3" eb="4">
      <t>メイ</t>
    </rPh>
    <rPh sb="14" eb="16">
      <t>トウロク</t>
    </rPh>
    <rPh sb="34" eb="36">
      <t>カクニン</t>
    </rPh>
    <phoneticPr fontId="1"/>
  </si>
  <si>
    <t>タスク： installが実行されていないかを検知する</t>
    <rPh sb="13" eb="15">
      <t>ジッコウ</t>
    </rPh>
    <rPh sb="23" eb="25">
      <t>ケンチ</t>
    </rPh>
    <phoneticPr fontId="1"/>
  </si>
  <si>
    <t>Fツールを使ってという観点で考えると良い</t>
    <rPh sb="5" eb="6">
      <t>ツカ</t>
    </rPh>
    <rPh sb="11" eb="13">
      <t>カンテン</t>
    </rPh>
    <rPh sb="14" eb="15">
      <t>カンガ</t>
    </rPh>
    <rPh sb="18" eb="19">
      <t>ヨ</t>
    </rPh>
    <phoneticPr fontId="1"/>
  </si>
  <si>
    <t>RDP接続を繰り返すホストPCがないかを検知する</t>
    <rPh sb="3" eb="5">
      <t>セツゾク</t>
    </rPh>
    <rPh sb="6" eb="7">
      <t>ク</t>
    </rPh>
    <rPh sb="8" eb="9">
      <t>カエ</t>
    </rPh>
    <rPh sb="20" eb="22">
      <t>ケンチ</t>
    </rPh>
    <phoneticPr fontId="1"/>
  </si>
  <si>
    <t>e: 仮想環境内でのRDP接続が出来ないようにする</t>
    <rPh sb="3" eb="8">
      <t>カソウカンキョウナイ</t>
    </rPh>
    <rPh sb="13" eb="15">
      <t>セツゾク</t>
    </rPh>
    <rPh sb="16" eb="18">
      <t>デキ</t>
    </rPh>
    <phoneticPr fontId="1"/>
  </si>
  <si>
    <t>f: L社内にDLPを導入し、ファイルの持ち出しを禁止する</t>
    <rPh sb="4" eb="6">
      <t>シャナイ</t>
    </rPh>
    <rPh sb="11" eb="13">
      <t>ドウニュウ</t>
    </rPh>
    <rPh sb="20" eb="21">
      <t>モ</t>
    </rPh>
    <rPh sb="22" eb="23">
      <t>ダ</t>
    </rPh>
    <rPh sb="25" eb="27">
      <t>キンシ</t>
    </rPh>
    <phoneticPr fontId="1"/>
  </si>
  <si>
    <t>J社のECサイト</t>
    <rPh sb="1" eb="2">
      <t>シャ</t>
    </rPh>
    <phoneticPr fontId="1"/>
  </si>
  <si>
    <t>アプリPのアプリケーションログ</t>
    <phoneticPr fontId="1"/>
  </si>
  <si>
    <t>元IPアドレスが記録</t>
    <rPh sb="0" eb="1">
      <t>モト</t>
    </rPh>
    <rPh sb="8" eb="10">
      <t>キロク</t>
    </rPh>
    <phoneticPr fontId="1"/>
  </si>
  <si>
    <t>代行サービス</t>
    <rPh sb="0" eb="2">
      <t>ダイコウ</t>
    </rPh>
    <phoneticPr fontId="1"/>
  </si>
  <si>
    <t>D社の提供するトークン</t>
    <rPh sb="1" eb="2">
      <t>シャ</t>
    </rPh>
    <rPh sb="3" eb="5">
      <t>テイキョウ</t>
    </rPh>
    <phoneticPr fontId="1"/>
  </si>
  <si>
    <t>配送先選択</t>
    <rPh sb="0" eb="3">
      <t>ハイソウサキ</t>
    </rPh>
    <rPh sb="3" eb="5">
      <t>センタク</t>
    </rPh>
    <phoneticPr fontId="1"/>
  </si>
  <si>
    <t>電子メール送信される</t>
    <rPh sb="0" eb="2">
      <t>デンシ</t>
    </rPh>
    <rPh sb="5" eb="7">
      <t>ソウシン</t>
    </rPh>
    <phoneticPr fontId="1"/>
  </si>
  <si>
    <t>J社ECサイト</t>
    <rPh sb="1" eb="2">
      <t>シャ</t>
    </rPh>
    <phoneticPr fontId="1"/>
  </si>
  <si>
    <t>偽フォーム</t>
    <rPh sb="0" eb="1">
      <t>ニセ</t>
    </rPh>
    <phoneticPr fontId="1"/>
  </si>
  <si>
    <t>a: 5</t>
    <phoneticPr fontId="1"/>
  </si>
  <si>
    <t>b: XSS</t>
    <phoneticPr fontId="1"/>
  </si>
  <si>
    <t>c: 反射</t>
    <rPh sb="3" eb="5">
      <t>ハンシャ</t>
    </rPh>
    <phoneticPr fontId="1"/>
  </si>
  <si>
    <t>d: 2</t>
    <phoneticPr fontId="1"/>
  </si>
  <si>
    <t>e: SQLインジェクション</t>
    <phoneticPr fontId="1"/>
  </si>
  <si>
    <t>ファイルK</t>
    <phoneticPr fontId="1"/>
  </si>
  <si>
    <t>配送先・支払先選択</t>
    <rPh sb="0" eb="3">
      <t>ハイソウサキ</t>
    </rPh>
    <rPh sb="4" eb="9">
      <t>シハライサキセンタク</t>
    </rPh>
    <phoneticPr fontId="1"/>
  </si>
  <si>
    <t>支払方法</t>
    <rPh sb="0" eb="4">
      <t>シハライホウホウ</t>
    </rPh>
    <phoneticPr fontId="1"/>
  </si>
  <si>
    <t>カード番号</t>
    <rPh sb="3" eb="5">
      <t>バンゴウ</t>
    </rPh>
    <phoneticPr fontId="1"/>
  </si>
  <si>
    <t>有効期限　月/ 年</t>
    <rPh sb="0" eb="4">
      <t>ユウコウキゲン</t>
    </rPh>
    <rPh sb="5" eb="6">
      <t>ツキ</t>
    </rPh>
    <rPh sb="8" eb="9">
      <t>ネン</t>
    </rPh>
    <phoneticPr fontId="1"/>
  </si>
  <si>
    <t>名義</t>
    <rPh sb="0" eb="2">
      <t>メイギ</t>
    </rPh>
    <phoneticPr fontId="1"/>
  </si>
  <si>
    <t>セキュリティコード</t>
    <phoneticPr fontId="1"/>
  </si>
  <si>
    <t>戻る / 次へ</t>
    <rPh sb="0" eb="1">
      <t>モド</t>
    </rPh>
    <rPh sb="5" eb="6">
      <t>ツギ</t>
    </rPh>
    <phoneticPr fontId="1"/>
  </si>
  <si>
    <t>order[Payment]</t>
    <phoneticPr fontId="1"/>
  </si>
  <si>
    <t>値：1</t>
    <rPh sb="0" eb="1">
      <t>アタイ</t>
    </rPh>
    <phoneticPr fontId="1"/>
  </si>
  <si>
    <t>https://i-sha.com/に対して、フォームより入力された値を送信している</t>
    <rPh sb="19" eb="20">
      <t>タイ</t>
    </rPh>
    <rPh sb="29" eb="31">
      <t>ニュウリョク</t>
    </rPh>
    <rPh sb="34" eb="35">
      <t>アタイ</t>
    </rPh>
    <rPh sb="36" eb="38">
      <t>ソウシン</t>
    </rPh>
    <phoneticPr fontId="1"/>
  </si>
  <si>
    <t>WebサーバーのアクセスログのリクエストURIから情報を取得する</t>
    <rPh sb="25" eb="27">
      <t>ジョウホウ</t>
    </rPh>
    <rPh sb="28" eb="30">
      <t>シュトク</t>
    </rPh>
    <phoneticPr fontId="1"/>
  </si>
  <si>
    <t>配送先・支払方法選択画面にアクセスしたアカウント名</t>
    <rPh sb="0" eb="3">
      <t>ハイソウサキ</t>
    </rPh>
    <rPh sb="4" eb="6">
      <t>シハライ</t>
    </rPh>
    <rPh sb="6" eb="8">
      <t>ホウホウ</t>
    </rPh>
    <rPh sb="8" eb="10">
      <t>センタク</t>
    </rPh>
    <rPh sb="10" eb="12">
      <t>ガメン</t>
    </rPh>
    <rPh sb="24" eb="25">
      <t>メイ</t>
    </rPh>
    <phoneticPr fontId="1"/>
  </si>
  <si>
    <t>1</t>
    <phoneticPr fontId="1"/>
  </si>
  <si>
    <t>c: 格納</t>
    <rPh sb="3" eb="5">
      <t>カクノウ</t>
    </rPh>
    <phoneticPr fontId="1"/>
  </si>
  <si>
    <t>DOM型</t>
    <rPh sb="3" eb="4">
      <t>カタ</t>
    </rPh>
    <phoneticPr fontId="1"/>
  </si>
  <si>
    <t>配送先・支払先選択</t>
    <rPh sb="0" eb="3">
      <t>ハイソウサキ</t>
    </rPh>
    <rPh sb="4" eb="7">
      <t>シハライサキ</t>
    </rPh>
    <rPh sb="7" eb="9">
      <t>センタク</t>
    </rPh>
    <phoneticPr fontId="1"/>
  </si>
  <si>
    <t>配送先</t>
    <rPh sb="0" eb="3">
      <t>ハイソウサキ</t>
    </rPh>
    <phoneticPr fontId="1"/>
  </si>
  <si>
    <t>お支払方法</t>
    <rPh sb="1" eb="3">
      <t>シハラ</t>
    </rPh>
    <rPh sb="3" eb="5">
      <t>ホウホウ</t>
    </rPh>
    <phoneticPr fontId="1"/>
  </si>
  <si>
    <t>カード番号</t>
    <rPh sb="3" eb="5">
      <t>バンゴウ</t>
    </rPh>
    <phoneticPr fontId="1"/>
  </si>
  <si>
    <t>有効期限</t>
    <rPh sb="0" eb="4">
      <t>ユウコウキゲン</t>
    </rPh>
    <phoneticPr fontId="1"/>
  </si>
  <si>
    <t>名義</t>
    <rPh sb="0" eb="2">
      <t>メイギ</t>
    </rPh>
    <phoneticPr fontId="1"/>
  </si>
  <si>
    <t>セキュリティコード</t>
    <phoneticPr fontId="1"/>
  </si>
  <si>
    <t>2-3</t>
    <phoneticPr fontId="1"/>
  </si>
  <si>
    <t>addEventListenerイベントにより、配送先・支払選択画面のformに、イベントリスナーを登録し、submit時に情報をi-sha.comに送出する</t>
    <rPh sb="24" eb="27">
      <t>ハイソウサキ</t>
    </rPh>
    <rPh sb="28" eb="30">
      <t>シハライ</t>
    </rPh>
    <rPh sb="30" eb="32">
      <t>センタク</t>
    </rPh>
    <rPh sb="32" eb="34">
      <t>ガメン</t>
    </rPh>
    <rPh sb="50" eb="52">
      <t>トウロク</t>
    </rPh>
    <rPh sb="60" eb="61">
      <t>ジ</t>
    </rPh>
    <rPh sb="62" eb="64">
      <t>ジョウホウ</t>
    </rPh>
    <rPh sb="75" eb="77">
      <t>ソウシュツ</t>
    </rPh>
    <phoneticPr fontId="1"/>
  </si>
  <si>
    <t>3-1</t>
    <phoneticPr fontId="1"/>
  </si>
  <si>
    <t>webサーバーのアクセスログのリクエストURIから情報を取得する。</t>
    <rPh sb="25" eb="27">
      <t>ジョウホウ</t>
    </rPh>
    <rPh sb="28" eb="30">
      <t>シュトク</t>
    </rPh>
    <phoneticPr fontId="1"/>
  </si>
  <si>
    <t>webサーバーのアクセルログのリクエストURIより情報を取得する</t>
    <rPh sb="25" eb="27">
      <t>ジョウホウ</t>
    </rPh>
    <rPh sb="28" eb="30">
      <t>シュトク</t>
    </rPh>
    <phoneticPr fontId="1"/>
  </si>
  <si>
    <t>webサーバーのアクセスログのリクエストURIより情報を取得する</t>
    <rPh sb="25" eb="27">
      <t>ジョウホウ</t>
    </rPh>
    <rPh sb="28" eb="30">
      <t>シュトク</t>
    </rPh>
    <phoneticPr fontId="1"/>
  </si>
  <si>
    <t>PM-4</t>
  </si>
  <si>
    <t>PM-4</t>
    <phoneticPr fontId="1"/>
  </si>
  <si>
    <t>A社加工食品の会社</t>
    <rPh sb="1" eb="2">
      <t>シャ</t>
    </rPh>
    <rPh sb="2" eb="4">
      <t>カコウ</t>
    </rPh>
    <rPh sb="4" eb="6">
      <t>ショクヒン</t>
    </rPh>
    <rPh sb="7" eb="9">
      <t>カイシャ</t>
    </rPh>
    <phoneticPr fontId="1"/>
  </si>
  <si>
    <t>在庫管理システム</t>
    <rPh sb="0" eb="4">
      <t>ザイコカンリ</t>
    </rPh>
    <phoneticPr fontId="1"/>
  </si>
  <si>
    <t>WEB受注システム</t>
    <rPh sb="3" eb="5">
      <t>ジュチュウ</t>
    </rPh>
    <phoneticPr fontId="1"/>
  </si>
  <si>
    <t>委託契約で開発着手</t>
    <rPh sb="0" eb="4">
      <t>イタクケイヤク</t>
    </rPh>
    <rPh sb="5" eb="7">
      <t>カイハツ</t>
    </rPh>
    <rPh sb="7" eb="9">
      <t>チャクシュ</t>
    </rPh>
    <phoneticPr fontId="1"/>
  </si>
  <si>
    <t>想定トランザクション</t>
    <rPh sb="0" eb="2">
      <t>ソウテイ</t>
    </rPh>
    <phoneticPr fontId="1"/>
  </si>
  <si>
    <t>システム基盤ん</t>
    <rPh sb="4" eb="6">
      <t>キバン</t>
    </rPh>
    <phoneticPr fontId="1"/>
  </si>
  <si>
    <t>データベース</t>
    <phoneticPr fontId="1"/>
  </si>
  <si>
    <t>開発APサーバー</t>
    <rPh sb="0" eb="2">
      <t>カイハツ</t>
    </rPh>
    <phoneticPr fontId="1"/>
  </si>
  <si>
    <t>APログ</t>
    <phoneticPr fontId="1"/>
  </si>
  <si>
    <t>リダイレクトして出力</t>
    <rPh sb="8" eb="10">
      <t>シュツリョク</t>
    </rPh>
    <phoneticPr fontId="1"/>
  </si>
  <si>
    <t>personal</t>
    <phoneticPr fontId="1"/>
  </si>
  <si>
    <t>ソースコードセキュリティ</t>
    <phoneticPr fontId="1"/>
  </si>
  <si>
    <t>C社にセキュリティレビュー</t>
    <rPh sb="1" eb="2">
      <t>シャ</t>
    </rPh>
    <phoneticPr fontId="1"/>
  </si>
  <si>
    <t>ユーザー登録機能</t>
    <rPh sb="4" eb="6">
      <t>トウロク</t>
    </rPh>
    <rPh sb="6" eb="8">
      <t>キノウ</t>
    </rPh>
    <phoneticPr fontId="1"/>
  </si>
  <si>
    <t>addUser</t>
    <phoneticPr fontId="1"/>
  </si>
  <si>
    <t>マスターテーブル</t>
    <phoneticPr fontId="1"/>
  </si>
  <si>
    <t>例外</t>
    <rPh sb="0" eb="2">
      <t>レイガイ</t>
    </rPh>
    <phoneticPr fontId="1"/>
  </si>
  <si>
    <t>システム開発者：氏名、パスワード、住所、電話番号、メールアドレス、オ</t>
    <rPh sb="4" eb="7">
      <t>カイハツシャ</t>
    </rPh>
    <rPh sb="8" eb="10">
      <t>シメイ</t>
    </rPh>
    <rPh sb="17" eb="19">
      <t>ジュウショ</t>
    </rPh>
    <rPh sb="20" eb="24">
      <t>デンワバンゴウ</t>
    </rPh>
    <phoneticPr fontId="1"/>
  </si>
  <si>
    <t>システム運用担当：文字列の情報、エ</t>
    <rPh sb="4" eb="6">
      <t>ウンヨウ</t>
    </rPh>
    <rPh sb="6" eb="8">
      <t>タントウ</t>
    </rPh>
    <rPh sb="9" eb="12">
      <t>モジレツ</t>
    </rPh>
    <rPh sb="13" eb="15">
      <t>ジョウホウ</t>
    </rPh>
    <phoneticPr fontId="1"/>
  </si>
  <si>
    <t>SHA-512</t>
    <phoneticPr fontId="1"/>
  </si>
  <si>
    <t>throw new RuntimeException€;</t>
    <phoneticPr fontId="1"/>
  </si>
  <si>
    <t>2-6</t>
    <phoneticPr fontId="1"/>
  </si>
  <si>
    <t>finally</t>
    <phoneticPr fontId="1"/>
  </si>
  <si>
    <t>2-7</t>
    <phoneticPr fontId="1"/>
  </si>
  <si>
    <t>診断はZ社に依頼</t>
    <rPh sb="0" eb="2">
      <t>シンダン</t>
    </rPh>
    <rPh sb="4" eb="5">
      <t>シャ</t>
    </rPh>
    <rPh sb="6" eb="8">
      <t>イライ</t>
    </rPh>
    <phoneticPr fontId="1"/>
  </si>
  <si>
    <t>リリース後も実施</t>
    <rPh sb="4" eb="5">
      <t>アト</t>
    </rPh>
    <rPh sb="6" eb="8">
      <t>ジッシ</t>
    </rPh>
    <phoneticPr fontId="1"/>
  </si>
  <si>
    <t>CMSより構築</t>
    <rPh sb="5" eb="7">
      <t>コウチク</t>
    </rPh>
    <phoneticPr fontId="1"/>
  </si>
  <si>
    <t>サイトPを利用</t>
    <rPh sb="5" eb="7">
      <t>リヨウ</t>
    </rPh>
    <phoneticPr fontId="1"/>
  </si>
  <si>
    <t>ストレージWを利用する</t>
    <rPh sb="7" eb="9">
      <t>リヨウ</t>
    </rPh>
    <phoneticPr fontId="1"/>
  </si>
  <si>
    <t>Wアクセスはクレデンシャルによりリクエストに含める</t>
    <rPh sb="22" eb="23">
      <t>フク</t>
    </rPh>
    <phoneticPr fontId="1"/>
  </si>
  <si>
    <t>サイトXはＥＣサイト</t>
    <phoneticPr fontId="1"/>
  </si>
  <si>
    <t>ログインセッション管理</t>
    <rPh sb="9" eb="11">
      <t>カンリ</t>
    </rPh>
    <phoneticPr fontId="1"/>
  </si>
  <si>
    <t>サイトY</t>
    <phoneticPr fontId="1"/>
  </si>
  <si>
    <t>XSSを利用して利用者情報を取得</t>
    <rPh sb="4" eb="6">
      <t>リヨウ</t>
    </rPh>
    <rPh sb="8" eb="11">
      <t>リヨウシャ</t>
    </rPh>
    <rPh sb="11" eb="13">
      <t>ジョウホウ</t>
    </rPh>
    <rPh sb="14" eb="16">
      <t>シュトク</t>
    </rPh>
    <phoneticPr fontId="1"/>
  </si>
  <si>
    <t>罠サイトにcookieを送出するリンクを用意しておき、管理者権限のcookieを入手し、値を読取り、管理者としてサイトXにログインすることで利用者情報を入手する。</t>
    <rPh sb="0" eb="1">
      <t>ワナ</t>
    </rPh>
    <rPh sb="12" eb="14">
      <t>ソウシュツ</t>
    </rPh>
    <rPh sb="20" eb="22">
      <t>ヨウイ</t>
    </rPh>
    <rPh sb="27" eb="30">
      <t>カンリシャ</t>
    </rPh>
    <rPh sb="30" eb="32">
      <t>ケンゲン</t>
    </rPh>
    <rPh sb="40" eb="42">
      <t>ニュウシュ</t>
    </rPh>
    <rPh sb="44" eb="45">
      <t>アタイ</t>
    </rPh>
    <rPh sb="46" eb="48">
      <t>ヨミト</t>
    </rPh>
    <rPh sb="50" eb="53">
      <t>カンリシャ</t>
    </rPh>
    <rPh sb="70" eb="73">
      <t>リヨウシャ</t>
    </rPh>
    <rPh sb="73" eb="75">
      <t>ジョウホウ</t>
    </rPh>
    <rPh sb="76" eb="78">
      <t>ニュウシュ</t>
    </rPh>
    <phoneticPr fontId="1"/>
  </si>
  <si>
    <t>実在するほかの利用者IDを探し当てて、本人の情報を編集する。</t>
    <rPh sb="0" eb="2">
      <t>ジツザイ</t>
    </rPh>
    <rPh sb="7" eb="10">
      <t>リヨウシャ</t>
    </rPh>
    <rPh sb="13" eb="14">
      <t>サガ</t>
    </rPh>
    <rPh sb="15" eb="16">
      <t>ア</t>
    </rPh>
    <rPh sb="19" eb="21">
      <t>ホンニン</t>
    </rPh>
    <rPh sb="22" eb="24">
      <t>ジョウホウ</t>
    </rPh>
    <rPh sb="25" eb="27">
      <t>ヘンシュウ</t>
    </rPh>
    <phoneticPr fontId="1"/>
  </si>
  <si>
    <t>c:×</t>
    <phoneticPr fontId="1"/>
  </si>
  <si>
    <t>d: 〇</t>
    <phoneticPr fontId="1"/>
  </si>
  <si>
    <t>oder-codeの下６桁を総当たりに変更してアクセスする。</t>
    <rPh sb="10" eb="11">
      <t>シモ</t>
    </rPh>
    <rPh sb="12" eb="13">
      <t>ケタ</t>
    </rPh>
    <rPh sb="14" eb="16">
      <t>ソウア</t>
    </rPh>
    <rPh sb="19" eb="21">
      <t>ヘンコウ</t>
    </rPh>
    <phoneticPr fontId="1"/>
  </si>
  <si>
    <t>cookieの値より利用者アカウントを特定して、order-codeより特定したものと異なっていた場合エラーとする</t>
    <rPh sb="7" eb="8">
      <t>アタイ</t>
    </rPh>
    <rPh sb="10" eb="13">
      <t>リヨウシャ</t>
    </rPh>
    <rPh sb="19" eb="21">
      <t>トクテイ</t>
    </rPh>
    <rPh sb="36" eb="38">
      <t>トクテイ</t>
    </rPh>
    <rPh sb="43" eb="44">
      <t>コト</t>
    </rPh>
    <rPh sb="49" eb="51">
      <t>バアイ</t>
    </rPh>
    <phoneticPr fontId="1"/>
  </si>
  <si>
    <t>サイトYでSSSF脆弱性</t>
    <rPh sb="9" eb="12">
      <t>ゼイジャクセイ</t>
    </rPh>
    <phoneticPr fontId="1"/>
  </si>
  <si>
    <t>CMSの管理ログイン</t>
    <rPh sb="4" eb="6">
      <t>カンリ</t>
    </rPh>
    <phoneticPr fontId="1"/>
  </si>
  <si>
    <t>変更後のURLにPOSTデータを送付することが出来ないため</t>
    <rPh sb="0" eb="3">
      <t>ヘンコウゴ</t>
    </rPh>
    <rPh sb="16" eb="18">
      <t>ソウフ</t>
    </rPh>
    <rPh sb="23" eb="25">
      <t>デキ</t>
    </rPh>
    <phoneticPr fontId="1"/>
  </si>
  <si>
    <t>IMDSにVPCの特定のサーバよりGETメソッドでアクセスする</t>
    <rPh sb="9" eb="11">
      <t>トクテイ</t>
    </rPh>
    <phoneticPr fontId="1"/>
  </si>
  <si>
    <t>方式G</t>
    <rPh sb="0" eb="2">
      <t>ホウシキ</t>
    </rPh>
    <phoneticPr fontId="1"/>
  </si>
  <si>
    <t>トークンをどうやって入手するか</t>
    <rPh sb="10" eb="12">
      <t>ニュウシュ</t>
    </rPh>
    <phoneticPr fontId="1"/>
  </si>
  <si>
    <t>トークンを発行するURLにPUTメソッドでアクセスしトークンを入手し、トークンをリクエストヘッダに含めて、IMDSのクレデンシャル情報を返すURLにアクセスする</t>
    <rPh sb="5" eb="7">
      <t>ハッコウ</t>
    </rPh>
    <rPh sb="31" eb="33">
      <t>ニュウシュ</t>
    </rPh>
    <rPh sb="49" eb="50">
      <t>フク</t>
    </rPh>
    <rPh sb="65" eb="67">
      <t>ジョウホウ</t>
    </rPh>
    <rPh sb="68" eb="69">
      <t>カエ</t>
    </rPh>
    <phoneticPr fontId="1"/>
  </si>
  <si>
    <t>pageに指定できるURLを、サイトＹに関連するもののみに制限する</t>
    <rPh sb="5" eb="7">
      <t>シテイ</t>
    </rPh>
    <rPh sb="20" eb="22">
      <t>カンレン</t>
    </rPh>
    <rPh sb="29" eb="31">
      <t>セイゲン</t>
    </rPh>
    <phoneticPr fontId="1"/>
  </si>
  <si>
    <t>加工食品の記者</t>
    <rPh sb="0" eb="4">
      <t>カコウショクヒン</t>
    </rPh>
    <rPh sb="5" eb="7">
      <t>キシャ</t>
    </rPh>
    <phoneticPr fontId="1"/>
  </si>
  <si>
    <t>業務システム</t>
    <rPh sb="0" eb="2">
      <t>ギョウム</t>
    </rPh>
    <phoneticPr fontId="1"/>
  </si>
  <si>
    <t>ギフト販売</t>
    <rPh sb="3" eb="5">
      <t>ハンバイ</t>
    </rPh>
    <phoneticPr fontId="1"/>
  </si>
  <si>
    <t>受注システム</t>
    <rPh sb="0" eb="2">
      <t>ジュチュウ</t>
    </rPh>
    <phoneticPr fontId="1"/>
  </si>
  <si>
    <t>重要情報</t>
    <rPh sb="0" eb="4">
      <t>ジュウヨウジョウホウ</t>
    </rPh>
    <phoneticPr fontId="1"/>
  </si>
  <si>
    <t>ｃｓｖでデータ連携</t>
    <rPh sb="7" eb="9">
      <t>レンケイ</t>
    </rPh>
    <phoneticPr fontId="1"/>
  </si>
  <si>
    <t>連携ファイルで連携</t>
    <rPh sb="0" eb="2">
      <t>レンケイ</t>
    </rPh>
    <rPh sb="7" eb="9">
      <t>レンケイ</t>
    </rPh>
    <phoneticPr fontId="1"/>
  </si>
  <si>
    <t>業務システムと連携機能</t>
    <rPh sb="0" eb="2">
      <t>ギョウム</t>
    </rPh>
    <rPh sb="7" eb="9">
      <t>レンケイ</t>
    </rPh>
    <rPh sb="9" eb="11">
      <t>キノウ</t>
    </rPh>
    <phoneticPr fontId="1"/>
  </si>
  <si>
    <t>a: ア</t>
    <phoneticPr fontId="1"/>
  </si>
  <si>
    <t>b: personal</t>
    <phoneticPr fontId="1"/>
  </si>
  <si>
    <t>c: 4</t>
    <phoneticPr fontId="1"/>
  </si>
  <si>
    <t>UserData</t>
    <phoneticPr fontId="1"/>
  </si>
  <si>
    <t>ユーザーID</t>
    <phoneticPr fontId="1"/>
  </si>
  <si>
    <t>パスワード</t>
    <phoneticPr fontId="1"/>
  </si>
  <si>
    <t>d: 5</t>
    <phoneticPr fontId="1"/>
  </si>
  <si>
    <t>e: NoSuchAlgorithmException</t>
    <phoneticPr fontId="1"/>
  </si>
  <si>
    <t>システム開発：オ、氏名、住所、電話番号、メールアドレス、パスワード</t>
    <rPh sb="4" eb="6">
      <t>カイハツ</t>
    </rPh>
    <rPh sb="9" eb="11">
      <t>シメイ</t>
    </rPh>
    <rPh sb="12" eb="14">
      <t>ジュウショ</t>
    </rPh>
    <rPh sb="15" eb="19">
      <t>デンワバンゴウ</t>
    </rPh>
    <phoneticPr fontId="1"/>
  </si>
  <si>
    <t>システム運用：エ、氏名、住所、電話番号、メールアドレス、パスワード</t>
    <rPh sb="4" eb="6">
      <t>ウンヨウ</t>
    </rPh>
    <phoneticPr fontId="1"/>
  </si>
  <si>
    <t>SHA-256,SHA-512,SHA-384</t>
    <phoneticPr fontId="1"/>
  </si>
  <si>
    <t>CRYPTRECに記載ならOK</t>
    <rPh sb="9" eb="11">
      <t>キサイ</t>
    </rPh>
    <phoneticPr fontId="1"/>
  </si>
  <si>
    <t>throw new RuntimeException€</t>
    <phoneticPr fontId="1"/>
  </si>
  <si>
    <t>サイトX:ECサイト</t>
    <phoneticPr fontId="1"/>
  </si>
  <si>
    <t>サイトY：商品企画サイト</t>
    <rPh sb="5" eb="7">
      <t>ショウヒン</t>
    </rPh>
    <rPh sb="7" eb="9">
      <t>キカク</t>
    </rPh>
    <phoneticPr fontId="1"/>
  </si>
  <si>
    <t>CMSで構築</t>
    <rPh sb="4" eb="6">
      <t>コウチク</t>
    </rPh>
    <phoneticPr fontId="1"/>
  </si>
  <si>
    <t>サイトPにて共同研究</t>
    <rPh sb="6" eb="10">
      <t>キョウドウケンキュウ</t>
    </rPh>
    <phoneticPr fontId="1"/>
  </si>
  <si>
    <t>ストレージW</t>
    <phoneticPr fontId="1"/>
  </si>
  <si>
    <t>クラウドW</t>
    <phoneticPr fontId="1"/>
  </si>
  <si>
    <t>利用者ID、クレデンシャル情報必要</t>
    <rPh sb="0" eb="3">
      <t>リヨウシャ</t>
    </rPh>
    <rPh sb="13" eb="15">
      <t>ジョウホウ</t>
    </rPh>
    <rPh sb="15" eb="17">
      <t>ヒツヨウ</t>
    </rPh>
    <phoneticPr fontId="1"/>
  </si>
  <si>
    <t>攻撃者が自らのアカウントで入手したトークンと利用者情報をサイトXに送るように構成したフォームに、利用者を誘導の上、利用者情報を変更させる</t>
    <rPh sb="0" eb="3">
      <t>コウゲキシャ</t>
    </rPh>
    <rPh sb="4" eb="5">
      <t>ミズカ</t>
    </rPh>
    <rPh sb="13" eb="15">
      <t>ニュウシュ</t>
    </rPh>
    <rPh sb="22" eb="25">
      <t>リヨウシャ</t>
    </rPh>
    <rPh sb="25" eb="27">
      <t>ジョウホウ</t>
    </rPh>
    <rPh sb="33" eb="34">
      <t>オク</t>
    </rPh>
    <rPh sb="38" eb="40">
      <t>コウセイ</t>
    </rPh>
    <rPh sb="48" eb="51">
      <t>リヨウシャ</t>
    </rPh>
    <rPh sb="52" eb="54">
      <t>ユウドウ</t>
    </rPh>
    <rPh sb="55" eb="56">
      <t>ウエ</t>
    </rPh>
    <rPh sb="57" eb="60">
      <t>リヨウシャ</t>
    </rPh>
    <rPh sb="60" eb="62">
      <t>ジョウホウ</t>
    </rPh>
    <rPh sb="63" eb="65">
      <t>ヘンコウ</t>
    </rPh>
    <phoneticPr fontId="1"/>
  </si>
  <si>
    <t>a: ×</t>
    <phoneticPr fontId="1"/>
  </si>
  <si>
    <t>b: ×</t>
    <phoneticPr fontId="1"/>
  </si>
  <si>
    <t>c: 〇</t>
    <phoneticPr fontId="1"/>
  </si>
  <si>
    <t>d: ×</t>
    <phoneticPr fontId="1"/>
  </si>
  <si>
    <t>GETメソッドによるログインが出来ないため</t>
    <rPh sb="15" eb="17">
      <t>デキ</t>
    </rPh>
    <phoneticPr fontId="1"/>
  </si>
  <si>
    <t>変更後のURLにPOSTデータを送ることが出来ないため</t>
    <rPh sb="0" eb="3">
      <t>ヘンコウアト</t>
    </rPh>
    <rPh sb="16" eb="17">
      <t>オク</t>
    </rPh>
    <rPh sb="21" eb="23">
      <t>デキ</t>
    </rPh>
    <phoneticPr fontId="1"/>
  </si>
  <si>
    <t>pageをクレデンシャルを返すURLに変更の上、リクエストを送付する</t>
    <rPh sb="13" eb="14">
      <t>カエ</t>
    </rPh>
    <rPh sb="19" eb="21">
      <t>ヘンコウ</t>
    </rPh>
    <rPh sb="22" eb="23">
      <t>ウエ</t>
    </rPh>
    <rPh sb="30" eb="32">
      <t>ソウフ</t>
    </rPh>
    <phoneticPr fontId="1"/>
  </si>
  <si>
    <t>トークンを発行するURLにPUTメソッドでアクセスしてトークンを入手して、トークンをリクエストヘッダに含めてIMDSのクレデンシャル情報を返すURLにアクセスする</t>
    <rPh sb="5" eb="7">
      <t>ハッコウ</t>
    </rPh>
    <rPh sb="32" eb="34">
      <t>ニュウシュ</t>
    </rPh>
    <rPh sb="51" eb="52">
      <t>フク</t>
    </rPh>
    <rPh sb="66" eb="68">
      <t>ジョウホウ</t>
    </rPh>
    <rPh sb="69" eb="70">
      <t>カエ</t>
    </rPh>
    <phoneticPr fontId="1"/>
  </si>
  <si>
    <t>e: 例外</t>
    <rPh sb="3" eb="5">
      <t>レイガイ</t>
    </rPh>
    <phoneticPr fontId="1"/>
  </si>
  <si>
    <t>セキュリティサービス</t>
    <phoneticPr fontId="1"/>
  </si>
  <si>
    <t>Mサイト</t>
    <phoneticPr fontId="1"/>
  </si>
  <si>
    <t>データベースマッチング</t>
    <phoneticPr fontId="1"/>
  </si>
  <si>
    <t>web API</t>
    <phoneticPr fontId="1"/>
  </si>
  <si>
    <t>APIより情報やりとり</t>
    <rPh sb="5" eb="7">
      <t>ジョウホウ</t>
    </rPh>
    <phoneticPr fontId="1"/>
  </si>
  <si>
    <t>利用者IDにkey</t>
    <rPh sb="0" eb="3">
      <t>リヨウシャ</t>
    </rPh>
    <phoneticPr fontId="1"/>
  </si>
  <si>
    <t>kpiは有効期限か、発行済みかを確認</t>
    <rPh sb="4" eb="8">
      <t>ユウコウキゲン</t>
    </rPh>
    <rPh sb="10" eb="13">
      <t>ハッコウズ</t>
    </rPh>
    <rPh sb="16" eb="18">
      <t>カクニン</t>
    </rPh>
    <phoneticPr fontId="1"/>
  </si>
  <si>
    <t>apiは契約企業のみ</t>
    <rPh sb="4" eb="6">
      <t>ケイヤク</t>
    </rPh>
    <rPh sb="6" eb="8">
      <t>キギョウ</t>
    </rPh>
    <phoneticPr fontId="1"/>
  </si>
  <si>
    <t>IDに複keuを発行</t>
    <rPh sb="3" eb="4">
      <t>フク</t>
    </rPh>
    <rPh sb="8" eb="10">
      <t>ハッコウ</t>
    </rPh>
    <phoneticPr fontId="1"/>
  </si>
  <si>
    <t xml:space="preserve"> https://test.△△△.jp/</t>
    <phoneticPr fontId="1"/>
  </si>
  <si>
    <t>ログイン</t>
    <phoneticPr fontId="1"/>
  </si>
  <si>
    <t>session idを無効化して、新しいsession idを発行する</t>
    <rPh sb="11" eb="14">
      <t>ムコウカ</t>
    </rPh>
    <rPh sb="17" eb="18">
      <t>アタラ</t>
    </rPh>
    <rPh sb="31" eb="33">
      <t>ハッコウ</t>
    </rPh>
    <phoneticPr fontId="1"/>
  </si>
  <si>
    <t>e: HTTPによるアクセスを、HTTPSに置き換えてアクセスさせる</t>
    <rPh sb="22" eb="23">
      <t>オ</t>
    </rPh>
    <rPh sb="24" eb="25">
      <t>カ</t>
    </rPh>
    <phoneticPr fontId="1"/>
  </si>
  <si>
    <t>f: 攻撃者がHTTPヘッダーの内容を悪用できないように、ヘッダーの内容を固定する</t>
    <rPh sb="3" eb="6">
      <t>コウゲキシャ</t>
    </rPh>
    <rPh sb="16" eb="18">
      <t>ナイヨウ</t>
    </rPh>
    <rPh sb="19" eb="21">
      <t>アクヨウ</t>
    </rPh>
    <rPh sb="34" eb="36">
      <t>ナイヨウ</t>
    </rPh>
    <rPh sb="37" eb="39">
      <t>コテイ</t>
    </rPh>
    <phoneticPr fontId="1"/>
  </si>
  <si>
    <t>Mサイトのコンテンツに対して、content-typeヘッダーで指定したMIMEタイプを強制的に適用することが出来る</t>
    <rPh sb="11" eb="12">
      <t>タイ</t>
    </rPh>
    <rPh sb="32" eb="34">
      <t>シテイ</t>
    </rPh>
    <rPh sb="44" eb="46">
      <t>キョウセイ</t>
    </rPh>
    <rPh sb="46" eb="47">
      <t>テキ</t>
    </rPh>
    <rPh sb="48" eb="50">
      <t>テキヨウ</t>
    </rPh>
    <rPh sb="55" eb="57">
      <t>デキ</t>
    </rPh>
    <phoneticPr fontId="1"/>
  </si>
  <si>
    <t>2-g</t>
    <phoneticPr fontId="1"/>
  </si>
  <si>
    <t>求人企業マイページ変更画面より、メールアドレスを攻撃者のメールアドレスに変更する</t>
    <rPh sb="0" eb="2">
      <t>キュウジン</t>
    </rPh>
    <rPh sb="2" eb="4">
      <t>キギョウ</t>
    </rPh>
    <rPh sb="9" eb="11">
      <t>ヘンコウ</t>
    </rPh>
    <rPh sb="11" eb="13">
      <t>ガメン</t>
    </rPh>
    <rPh sb="24" eb="27">
      <t>コウゲキシャ</t>
    </rPh>
    <rPh sb="36" eb="38">
      <t>ヘンコウ</t>
    </rPh>
    <phoneticPr fontId="1"/>
  </si>
  <si>
    <t>2-h</t>
    <phoneticPr fontId="1"/>
  </si>
  <si>
    <t>APIkey確認ボタンよりwebapiを確認する</t>
    <rPh sb="6" eb="8">
      <t>カクニン</t>
    </rPh>
    <rPh sb="20" eb="22">
      <t>カクニン</t>
    </rPh>
    <phoneticPr fontId="1"/>
  </si>
  <si>
    <t>3-i</t>
    <phoneticPr fontId="1"/>
  </si>
  <si>
    <t>web apiを管理可能なIPアドレスを制限する</t>
    <rPh sb="8" eb="10">
      <t>カンリ</t>
    </rPh>
    <rPh sb="10" eb="12">
      <t>カノウ</t>
    </rPh>
    <rPh sb="20" eb="22">
      <t>セイゲン</t>
    </rPh>
    <phoneticPr fontId="1"/>
  </si>
  <si>
    <t>3-j</t>
    <phoneticPr fontId="1"/>
  </si>
  <si>
    <t>攻撃者による不正なアクセスを困難にするため</t>
    <rPh sb="0" eb="3">
      <t>コウゲキシャ</t>
    </rPh>
    <rPh sb="6" eb="8">
      <t>フセイ</t>
    </rPh>
    <rPh sb="14" eb="16">
      <t>コンナン</t>
    </rPh>
    <phoneticPr fontId="1"/>
  </si>
  <si>
    <t>3-k</t>
    <phoneticPr fontId="1"/>
  </si>
  <si>
    <t>求職者IDをランダムな文字列に変換する</t>
    <rPh sb="0" eb="3">
      <t>キュウショクシャ</t>
    </rPh>
    <rPh sb="11" eb="14">
      <t>モジレツ</t>
    </rPh>
    <rPh sb="15" eb="17">
      <t>ヘンカン</t>
    </rPh>
    <phoneticPr fontId="1"/>
  </si>
  <si>
    <t>3-l</t>
    <phoneticPr fontId="1"/>
  </si>
  <si>
    <t>API経由での個人情報取得の難易度を困難にするため</t>
    <rPh sb="3" eb="5">
      <t>ケイユ</t>
    </rPh>
    <rPh sb="7" eb="11">
      <t>コジンジョウホウ</t>
    </rPh>
    <rPh sb="11" eb="13">
      <t>シュトク</t>
    </rPh>
    <rPh sb="14" eb="17">
      <t>ナンイド</t>
    </rPh>
    <rPh sb="18" eb="20">
      <t>コンナン</t>
    </rPh>
    <phoneticPr fontId="1"/>
  </si>
  <si>
    <t>A社は工作機械</t>
    <rPh sb="1" eb="2">
      <t>シャ</t>
    </rPh>
    <rPh sb="3" eb="7">
      <t>コウサクキカイ</t>
    </rPh>
    <phoneticPr fontId="1"/>
  </si>
  <si>
    <t>アプリと修正プログラム</t>
    <rPh sb="4" eb="6">
      <t>シュウセイ</t>
    </rPh>
    <phoneticPr fontId="1"/>
  </si>
  <si>
    <t>メールを用いて情報やり取り</t>
    <rPh sb="4" eb="5">
      <t>モチ</t>
    </rPh>
    <rPh sb="7" eb="9">
      <t>ジョウホウ</t>
    </rPh>
    <rPh sb="11" eb="12">
      <t>ト</t>
    </rPh>
    <phoneticPr fontId="1"/>
  </si>
  <si>
    <t>ドメイン取得</t>
    <rPh sb="4" eb="6">
      <t>シュトク</t>
    </rPh>
    <phoneticPr fontId="1"/>
  </si>
  <si>
    <t>メール詐称対策</t>
    <rPh sb="3" eb="7">
      <t>サショウタイサク</t>
    </rPh>
    <phoneticPr fontId="1"/>
  </si>
  <si>
    <t>Z社ドメイン</t>
    <rPh sb="1" eb="2">
      <t>シャ</t>
    </rPh>
    <phoneticPr fontId="1"/>
  </si>
  <si>
    <t>DKIM署名を付与</t>
    <rPh sb="4" eb="6">
      <t>ショメイ</t>
    </rPh>
    <rPh sb="7" eb="9">
      <t>フヨ</t>
    </rPh>
    <phoneticPr fontId="1"/>
  </si>
  <si>
    <t>エンベロープドメインをZ社</t>
    <rPh sb="12" eb="13">
      <t>シャ</t>
    </rPh>
    <phoneticPr fontId="1"/>
  </si>
  <si>
    <t>DMARCポリシーで認証</t>
    <rPh sb="10" eb="12">
      <t>ニンショウ</t>
    </rPh>
    <phoneticPr fontId="1"/>
  </si>
  <si>
    <t>DKIM署名</t>
    <rPh sb="4" eb="6">
      <t>ショメイ</t>
    </rPh>
    <phoneticPr fontId="1"/>
  </si>
  <si>
    <t>DMARCを分析</t>
    <rPh sb="6" eb="8">
      <t>ブンセキ</t>
    </rPh>
    <phoneticPr fontId="1"/>
  </si>
  <si>
    <t>Z社全体でドメイン取得</t>
    <rPh sb="1" eb="2">
      <t>シャ</t>
    </rPh>
    <rPh sb="2" eb="4">
      <t>ゼンタイ</t>
    </rPh>
    <rPh sb="9" eb="11">
      <t>シュトク</t>
    </rPh>
    <phoneticPr fontId="1"/>
  </si>
  <si>
    <t>A社ドメインは削除</t>
    <rPh sb="1" eb="2">
      <t>シャ</t>
    </rPh>
    <rPh sb="7" eb="9">
      <t>サクジョ</t>
    </rPh>
    <phoneticPr fontId="1"/>
  </si>
  <si>
    <t>p</t>
    <phoneticPr fontId="1"/>
  </si>
  <si>
    <t>none</t>
    <phoneticPr fontId="1"/>
  </si>
  <si>
    <t>quarantine</t>
    <phoneticPr fontId="1"/>
  </si>
  <si>
    <t>reject</t>
    <phoneticPr fontId="1"/>
  </si>
  <si>
    <t>A社ドメインの扱い</t>
    <rPh sb="1" eb="2">
      <t>シャ</t>
    </rPh>
    <rPh sb="7" eb="8">
      <t>アツカ</t>
    </rPh>
    <phoneticPr fontId="1"/>
  </si>
  <si>
    <t>悪用</t>
    <rPh sb="0" eb="2">
      <t>アクヨウ</t>
    </rPh>
    <phoneticPr fontId="1"/>
  </si>
  <si>
    <t>メール送信</t>
    <rPh sb="3" eb="5">
      <t>ソウシン</t>
    </rPh>
    <phoneticPr fontId="1"/>
  </si>
  <si>
    <t>メール受信</t>
    <rPh sb="3" eb="5">
      <t>ジュシン</t>
    </rPh>
    <phoneticPr fontId="1"/>
  </si>
  <si>
    <t>コンテンツを変えてマルウェアを送付するのが一番考えやすい</t>
    <rPh sb="6" eb="7">
      <t>カ</t>
    </rPh>
    <rPh sb="15" eb="17">
      <t>ソウフ</t>
    </rPh>
    <rPh sb="21" eb="23">
      <t>イチバン</t>
    </rPh>
    <rPh sb="23" eb="24">
      <t>カンガ</t>
    </rPh>
    <phoneticPr fontId="1"/>
  </si>
  <si>
    <t>ソフトウェア修正プログラムに似せたマルウェアをリンク先に配置する</t>
    <rPh sb="6" eb="8">
      <t>シュウセイ</t>
    </rPh>
    <rPh sb="14" eb="15">
      <t>ニ</t>
    </rPh>
    <rPh sb="26" eb="27">
      <t>サキ</t>
    </rPh>
    <rPh sb="28" eb="30">
      <t>ハイチ</t>
    </rPh>
    <phoneticPr fontId="1"/>
  </si>
  <si>
    <t>パスワード再設定用のリンク先を送付する</t>
    <rPh sb="5" eb="8">
      <t>サイセッテイ</t>
    </rPh>
    <rPh sb="8" eb="9">
      <t>ヨウ</t>
    </rPh>
    <rPh sb="13" eb="14">
      <t>サキ</t>
    </rPh>
    <rPh sb="15" eb="17">
      <t>ソウフ</t>
    </rPh>
    <phoneticPr fontId="1"/>
  </si>
  <si>
    <t>任意のパスワードに書き換えてアカウントを乗っ取る</t>
    <rPh sb="0" eb="2">
      <t>ニンイ</t>
    </rPh>
    <rPh sb="9" eb="10">
      <t>カ</t>
    </rPh>
    <rPh sb="11" eb="12">
      <t>カ</t>
    </rPh>
    <rPh sb="20" eb="21">
      <t>ノ</t>
    </rPh>
    <rPh sb="22" eb="23">
      <t>ト</t>
    </rPh>
    <phoneticPr fontId="1"/>
  </si>
  <si>
    <t>SPFレコードにTサービスの送信元IPアドレスを追加する</t>
    <rPh sb="14" eb="17">
      <t>ソウシンモト</t>
    </rPh>
    <rPh sb="24" eb="26">
      <t>ツイカ</t>
    </rPh>
    <phoneticPr fontId="1"/>
  </si>
  <si>
    <t>SPF: SPFレコードにYサービスの情報が登録されていないのに、メールがサービスより送付される</t>
    <rPh sb="19" eb="21">
      <t>ジョウホウ</t>
    </rPh>
    <rPh sb="22" eb="24">
      <t>トウロク</t>
    </rPh>
    <rPh sb="43" eb="45">
      <t>ソウフ</t>
    </rPh>
    <phoneticPr fontId="1"/>
  </si>
  <si>
    <t>DKIM:レコードのhタグにsubjectが含まれているのに、YさーびすのSubjectが変化する</t>
    <rPh sb="22" eb="23">
      <t>フク</t>
    </rPh>
    <rPh sb="45" eb="47">
      <t>ヘンカ</t>
    </rPh>
    <phoneticPr fontId="1"/>
  </si>
  <si>
    <t>問題見直し</t>
    <rPh sb="0" eb="2">
      <t>モンダイ</t>
    </rPh>
    <rPh sb="2" eb="4">
      <t>ミナオ</t>
    </rPh>
    <phoneticPr fontId="1"/>
  </si>
  <si>
    <t>SPF: SMTP接続元のIPアドレスはYサービスだが、SPFレコードとして登録されていため</t>
    <rPh sb="9" eb="11">
      <t>セツゾク</t>
    </rPh>
    <rPh sb="11" eb="12">
      <t>モト</t>
    </rPh>
    <rPh sb="38" eb="40">
      <t>トウロク</t>
    </rPh>
    <phoneticPr fontId="1"/>
  </si>
  <si>
    <t>DKIM: レコードのhタグにsubjectが含まれているのに、Yサービスのsubjectに変化するため</t>
    <rPh sb="23" eb="24">
      <t>フク</t>
    </rPh>
    <rPh sb="46" eb="48">
      <t>ヘンカ</t>
    </rPh>
    <phoneticPr fontId="1"/>
  </si>
  <si>
    <t>DKIMレコードのhタグにsubjectが含まれているが、Yサービスのsubjectが連番の負荷により変化するため、デジタル署名が一致しなくなるため</t>
    <rPh sb="21" eb="22">
      <t>フク</t>
    </rPh>
    <rPh sb="43" eb="45">
      <t>レンバン</t>
    </rPh>
    <rPh sb="46" eb="48">
      <t>フカ</t>
    </rPh>
    <rPh sb="51" eb="53">
      <t>ヘンカ</t>
    </rPh>
    <rPh sb="62" eb="64">
      <t>ショメイ</t>
    </rPh>
    <rPh sb="65" eb="67">
      <t>イッチ</t>
    </rPh>
    <phoneticPr fontId="1"/>
  </si>
  <si>
    <t>正解判定</t>
    <rPh sb="0" eb="4">
      <t>セイカイハンテイ</t>
    </rPh>
    <phoneticPr fontId="1"/>
  </si>
  <si>
    <t>Mサイトのデータベースに保存</t>
    <rPh sb="12" eb="14">
      <t>ホゾン</t>
    </rPh>
    <phoneticPr fontId="1"/>
  </si>
  <si>
    <t>マッチング</t>
    <phoneticPr fontId="1"/>
  </si>
  <si>
    <t>インターフェースの開発</t>
    <rPh sb="9" eb="11">
      <t>カイハツ</t>
    </rPh>
    <phoneticPr fontId="1"/>
  </si>
  <si>
    <t>利用者がログイン</t>
    <rPh sb="0" eb="3">
      <t>リヨウシャ</t>
    </rPh>
    <phoneticPr fontId="1"/>
  </si>
  <si>
    <t>e: Mサイトへアクセスするスキーマをhttpsに限定する</t>
    <rPh sb="25" eb="27">
      <t>ゲンテイ</t>
    </rPh>
    <phoneticPr fontId="1"/>
  </si>
  <si>
    <t>f: 攻撃者がHTTPヘッダーの内容を悪用できないように、コンテンツのMIMEタイプを固定する</t>
    <rPh sb="3" eb="6">
      <t>コウゲキシャ</t>
    </rPh>
    <rPh sb="16" eb="18">
      <t>ナイヨウ</t>
    </rPh>
    <rPh sb="19" eb="21">
      <t>アクヨウ</t>
    </rPh>
    <rPh sb="43" eb="45">
      <t>コテイ</t>
    </rPh>
    <phoneticPr fontId="1"/>
  </si>
  <si>
    <t>対象企業のページよりAPIkeyを確認、もしくは発行を行い、APIkeyを入手する</t>
    <rPh sb="0" eb="2">
      <t>タイショウ</t>
    </rPh>
    <rPh sb="2" eb="4">
      <t>キギョウ</t>
    </rPh>
    <rPh sb="17" eb="19">
      <t>カクニン</t>
    </rPh>
    <rPh sb="24" eb="26">
      <t>ハッコウ</t>
    </rPh>
    <rPh sb="27" eb="28">
      <t>オコナ</t>
    </rPh>
    <rPh sb="37" eb="39">
      <t>ニュウシュ</t>
    </rPh>
    <phoneticPr fontId="1"/>
  </si>
  <si>
    <t>考えるべきはUI</t>
    <rPh sb="0" eb="1">
      <t>カンガ</t>
    </rPh>
    <phoneticPr fontId="1"/>
  </si>
  <si>
    <t>ログイン時に多要素認証を導入する</t>
    <rPh sb="4" eb="5">
      <t>ジ</t>
    </rPh>
    <rPh sb="6" eb="9">
      <t>タヨウソ</t>
    </rPh>
    <rPh sb="9" eb="11">
      <t>ニンショウ</t>
    </rPh>
    <rPh sb="12" eb="14">
      <t>ドウニュウ</t>
    </rPh>
    <phoneticPr fontId="1"/>
  </si>
  <si>
    <t>アカウントの乗っ取りや悪用を防ぐ</t>
    <rPh sb="6" eb="7">
      <t>ノ</t>
    </rPh>
    <rPh sb="8" eb="9">
      <t>ト</t>
    </rPh>
    <rPh sb="11" eb="13">
      <t>アクヨウ</t>
    </rPh>
    <rPh sb="14" eb="15">
      <t>フセ</t>
    </rPh>
    <phoneticPr fontId="1"/>
  </si>
  <si>
    <t>D社webアプリ</t>
    <rPh sb="1" eb="2">
      <t>シャ</t>
    </rPh>
    <phoneticPr fontId="1"/>
  </si>
  <si>
    <t>webアプリ診断</t>
    <rPh sb="6" eb="8">
      <t>シンダン</t>
    </rPh>
    <phoneticPr fontId="1"/>
  </si>
  <si>
    <t>手動分析も行う</t>
    <rPh sb="0" eb="2">
      <t>シュドウ</t>
    </rPh>
    <rPh sb="2" eb="4">
      <t>ブンセキ</t>
    </rPh>
    <rPh sb="5" eb="6">
      <t>オコナ</t>
    </rPh>
    <phoneticPr fontId="1"/>
  </si>
  <si>
    <t>サイトX</t>
    <phoneticPr fontId="1"/>
  </si>
  <si>
    <t>サイトP</t>
    <phoneticPr fontId="1"/>
  </si>
  <si>
    <t>ストレージ</t>
    <phoneticPr fontId="1"/>
  </si>
  <si>
    <t>IMDS</t>
    <phoneticPr fontId="1"/>
  </si>
  <si>
    <t>VG</t>
    <phoneticPr fontId="1"/>
  </si>
  <si>
    <t>VPC</t>
    <phoneticPr fontId="1"/>
  </si>
  <si>
    <t>クレデンシャル</t>
    <phoneticPr fontId="1"/>
  </si>
  <si>
    <t>URLアクセスで取得</t>
    <rPh sb="8" eb="10">
      <t>シュトク</t>
    </rPh>
    <phoneticPr fontId="1"/>
  </si>
  <si>
    <t>PUTで</t>
    <phoneticPr fontId="1"/>
  </si>
  <si>
    <t>トークンで入手</t>
    <rPh sb="5" eb="7">
      <t>ニュウシュ</t>
    </rPh>
    <phoneticPr fontId="1"/>
  </si>
  <si>
    <t>CMS</t>
    <phoneticPr fontId="1"/>
  </si>
  <si>
    <t>会員の利用者アカウント</t>
    <rPh sb="0" eb="2">
      <t>カイイン</t>
    </rPh>
    <rPh sb="3" eb="6">
      <t>リヨウシャ</t>
    </rPh>
    <phoneticPr fontId="1"/>
  </si>
  <si>
    <t>cookieパラメータ</t>
    <phoneticPr fontId="1"/>
  </si>
  <si>
    <t>Session</t>
    <phoneticPr fontId="1"/>
  </si>
  <si>
    <t>利用者</t>
    <rPh sb="0" eb="3">
      <t>リヨウシャ</t>
    </rPh>
    <phoneticPr fontId="1"/>
  </si>
  <si>
    <t>注文年月</t>
    <rPh sb="0" eb="4">
      <t>チュウモンネンゲツ</t>
    </rPh>
    <phoneticPr fontId="1"/>
  </si>
  <si>
    <t>利用者情報</t>
    <rPh sb="0" eb="3">
      <t>リヨウシャ</t>
    </rPh>
    <rPh sb="3" eb="5">
      <t>ジョウホウ</t>
    </rPh>
    <phoneticPr fontId="1"/>
  </si>
  <si>
    <t>商品情報を登録</t>
    <rPh sb="0" eb="2">
      <t>ショウヒン</t>
    </rPh>
    <rPh sb="2" eb="4">
      <t>ジョウホウ</t>
    </rPh>
    <rPh sb="5" eb="7">
      <t>トウロク</t>
    </rPh>
    <phoneticPr fontId="1"/>
  </si>
  <si>
    <t>XSS</t>
    <phoneticPr fontId="1"/>
  </si>
  <si>
    <t>CSRF</t>
    <phoneticPr fontId="1"/>
  </si>
  <si>
    <t>認可制御の不備</t>
    <rPh sb="0" eb="2">
      <t>ニンカ</t>
    </rPh>
    <rPh sb="2" eb="4">
      <t>セイギョ</t>
    </rPh>
    <rPh sb="5" eb="7">
      <t>フビ</t>
    </rPh>
    <phoneticPr fontId="1"/>
  </si>
  <si>
    <t>会員編集機能</t>
    <rPh sb="0" eb="2">
      <t>カイイン</t>
    </rPh>
    <rPh sb="2" eb="4">
      <t>ヘンシュウ</t>
    </rPh>
    <rPh sb="4" eb="6">
      <t>キノウ</t>
    </rPh>
    <phoneticPr fontId="1"/>
  </si>
  <si>
    <t>攻撃者がわなリンクを用意し、管理者にそのリンクを踏ませることで管理者権限のcookieを攻撃者のwebサイトに送信させ、その値を利用して管理者としてサイトXにアクセス、利用者情報を取得する</t>
    <rPh sb="0" eb="3">
      <t>コウゲキシャ</t>
    </rPh>
    <rPh sb="10" eb="12">
      <t>ヨウイ</t>
    </rPh>
    <rPh sb="14" eb="17">
      <t>カンリシャ</t>
    </rPh>
    <rPh sb="24" eb="25">
      <t>フ</t>
    </rPh>
    <rPh sb="31" eb="34">
      <t>カンリシャ</t>
    </rPh>
    <rPh sb="34" eb="36">
      <t>ケンゲン</t>
    </rPh>
    <rPh sb="44" eb="47">
      <t>コウゲキシャ</t>
    </rPh>
    <rPh sb="55" eb="57">
      <t>ソウシン</t>
    </rPh>
    <rPh sb="62" eb="63">
      <t>アタイ</t>
    </rPh>
    <rPh sb="64" eb="66">
      <t>リヨウ</t>
    </rPh>
    <rPh sb="68" eb="71">
      <t>カンリシャ</t>
    </rPh>
    <rPh sb="84" eb="87">
      <t>リヨウシャ</t>
    </rPh>
    <rPh sb="87" eb="89">
      <t>ジョウホウ</t>
    </rPh>
    <rPh sb="90" eb="92">
      <t>シュトク</t>
    </rPh>
    <phoneticPr fontId="1"/>
  </si>
  <si>
    <t>攻撃者が、別の利用者になりすまして、会員情報を書き換えする</t>
    <rPh sb="0" eb="3">
      <t>コウゲキシャ</t>
    </rPh>
    <rPh sb="5" eb="6">
      <t>ベツ</t>
    </rPh>
    <rPh sb="7" eb="10">
      <t>リヨウシャ</t>
    </rPh>
    <rPh sb="18" eb="20">
      <t>カイイン</t>
    </rPh>
    <rPh sb="20" eb="22">
      <t>ジョウホウ</t>
    </rPh>
    <rPh sb="23" eb="24">
      <t>カ</t>
    </rPh>
    <rPh sb="25" eb="26">
      <t>カ</t>
    </rPh>
    <phoneticPr fontId="1"/>
  </si>
  <si>
    <t>×</t>
    <phoneticPr fontId="1"/>
  </si>
  <si>
    <t>〇</t>
    <phoneticPr fontId="1"/>
  </si>
  <si>
    <t>202404-以下６桁を総当たりで変更してログイン試行する</t>
    <rPh sb="7" eb="9">
      <t>イカ</t>
    </rPh>
    <rPh sb="10" eb="11">
      <t>ケタ</t>
    </rPh>
    <rPh sb="12" eb="14">
      <t>ソウア</t>
    </rPh>
    <rPh sb="17" eb="19">
      <t>ヘンコウ</t>
    </rPh>
    <rPh sb="25" eb="27">
      <t>シコウ</t>
    </rPh>
    <phoneticPr fontId="1"/>
  </si>
  <si>
    <t>order-codeから利用者を特定の上、正式な利用者かを確認する</t>
    <rPh sb="12" eb="15">
      <t>リヨウシャ</t>
    </rPh>
    <rPh sb="16" eb="18">
      <t>トクテイ</t>
    </rPh>
    <rPh sb="19" eb="20">
      <t>ウエ</t>
    </rPh>
    <rPh sb="21" eb="23">
      <t>セイシキ</t>
    </rPh>
    <rPh sb="24" eb="27">
      <t>リヨウシャ</t>
    </rPh>
    <rPh sb="29" eb="31">
      <t>カクニン</t>
    </rPh>
    <phoneticPr fontId="1"/>
  </si>
  <si>
    <t>POSTメソッドでないとログインできないため</t>
    <phoneticPr fontId="1"/>
  </si>
  <si>
    <t>SSRFしてもGETメソッドでのログインが出来ないため</t>
    <rPh sb="21" eb="23">
      <t>デキ</t>
    </rPh>
    <phoneticPr fontId="1"/>
  </si>
  <si>
    <t>pageいかにクレデンシャルを返すURLを指定の上、GETリクエストをサイトPのtopページに送信する。</t>
    <rPh sb="15" eb="16">
      <t>カエ</t>
    </rPh>
    <rPh sb="21" eb="23">
      <t>シテイ</t>
    </rPh>
    <rPh sb="24" eb="25">
      <t>ウエ</t>
    </rPh>
    <rPh sb="47" eb="49">
      <t>ソウシン</t>
    </rPh>
    <phoneticPr fontId="1"/>
  </si>
  <si>
    <t>サイトPのtopページにIMDSのURLを指定の上、getリクエストを送付する</t>
    <rPh sb="21" eb="23">
      <t>シテイ</t>
    </rPh>
    <rPh sb="24" eb="25">
      <t>ウエ</t>
    </rPh>
    <rPh sb="35" eb="37">
      <t>ソウフ</t>
    </rPh>
    <phoneticPr fontId="1"/>
  </si>
  <si>
    <t>トークンを発行するURLにPUTメソッドでアクセスしてトークンを入手して、リクエストヘッダに含めて、IMDSのクレデンシャルを返すURLにアクセスする</t>
    <rPh sb="5" eb="7">
      <t>ハッコウ</t>
    </rPh>
    <rPh sb="32" eb="34">
      <t>ニュウシュ</t>
    </rPh>
    <rPh sb="46" eb="47">
      <t>フク</t>
    </rPh>
    <rPh sb="63" eb="64">
      <t>カエ</t>
    </rPh>
    <phoneticPr fontId="1"/>
  </si>
  <si>
    <t>パラメータpageの値がサイトP以外のURLならばエラーとする</t>
    <rPh sb="10" eb="11">
      <t>アタイ</t>
    </rPh>
    <rPh sb="16" eb="18">
      <t>イガイ</t>
    </rPh>
    <phoneticPr fontId="1"/>
  </si>
  <si>
    <t>サイバー攻撃</t>
    <rPh sb="4" eb="6">
      <t>コウゲキ</t>
    </rPh>
    <phoneticPr fontId="1"/>
  </si>
  <si>
    <t>HTTPS</t>
    <phoneticPr fontId="1"/>
  </si>
  <si>
    <t>FW</t>
    <phoneticPr fontId="1"/>
  </si>
  <si>
    <t>R-PC</t>
    <phoneticPr fontId="1"/>
  </si>
  <si>
    <t>VPN-H</t>
    <phoneticPr fontId="1"/>
  </si>
  <si>
    <t>ID+PW認証</t>
    <rPh sb="5" eb="7">
      <t>ニンショウ</t>
    </rPh>
    <phoneticPr fontId="1"/>
  </si>
  <si>
    <t>SMS</t>
    <phoneticPr fontId="1"/>
  </si>
  <si>
    <t>アノマリ検知</t>
    <rPh sb="4" eb="6">
      <t>ケンチ</t>
    </rPh>
    <phoneticPr fontId="1"/>
  </si>
  <si>
    <t>WAF</t>
    <phoneticPr fontId="1"/>
  </si>
  <si>
    <t>ID＋PW</t>
    <phoneticPr fontId="1"/>
  </si>
  <si>
    <t>クライアント認証</t>
    <rPh sb="6" eb="8">
      <t>ニンショウ</t>
    </rPh>
    <phoneticPr fontId="1"/>
  </si>
  <si>
    <t>スマホでSMS</t>
    <phoneticPr fontId="1"/>
  </si>
  <si>
    <t>脆弱性</t>
    <rPh sb="0" eb="3">
      <t>ゼイジャクセイ</t>
    </rPh>
    <phoneticPr fontId="1"/>
  </si>
  <si>
    <t>公開webサーバー、取引先webサーバに対して、HTTP getリクエストを繰り返し送付する。</t>
    <rPh sb="0" eb="2">
      <t>コウカイ</t>
    </rPh>
    <rPh sb="10" eb="13">
      <t>トリヒキサキ</t>
    </rPh>
    <rPh sb="20" eb="21">
      <t>タイ</t>
    </rPh>
    <rPh sb="38" eb="39">
      <t>ク</t>
    </rPh>
    <rPh sb="40" eb="41">
      <t>カエ</t>
    </rPh>
    <rPh sb="42" eb="44">
      <t>ソウフ</t>
    </rPh>
    <phoneticPr fontId="1"/>
  </si>
  <si>
    <t>ポートは返さない</t>
    <rPh sb="4" eb="5">
      <t>カエ</t>
    </rPh>
    <phoneticPr fontId="1"/>
  </si>
  <si>
    <t>正常な通信を異常として判定する</t>
    <rPh sb="0" eb="2">
      <t>セイジョウ</t>
    </rPh>
    <rPh sb="3" eb="5">
      <t>ツウシン</t>
    </rPh>
    <rPh sb="6" eb="8">
      <t>イジョウ</t>
    </rPh>
    <rPh sb="11" eb="13">
      <t>ハンテイ</t>
    </rPh>
    <phoneticPr fontId="1"/>
  </si>
  <si>
    <t>DNS-K</t>
    <phoneticPr fontId="1"/>
  </si>
  <si>
    <t>DNS-F</t>
    <phoneticPr fontId="1"/>
  </si>
  <si>
    <t>攻撃者が正規サイトに入手したIDやPWを入力の後、SMS入力の画面を表示する</t>
    <rPh sb="0" eb="3">
      <t>コウゲキシャ</t>
    </rPh>
    <rPh sb="4" eb="6">
      <t>セイキ</t>
    </rPh>
    <rPh sb="10" eb="12">
      <t>ニュウシュ</t>
    </rPh>
    <rPh sb="20" eb="22">
      <t>ニュウリョク</t>
    </rPh>
    <rPh sb="23" eb="24">
      <t>アト</t>
    </rPh>
    <rPh sb="28" eb="30">
      <t>ニュウリョク</t>
    </rPh>
    <rPh sb="31" eb="33">
      <t>ガメン</t>
    </rPh>
    <rPh sb="34" eb="36">
      <t>ヒョウジ</t>
    </rPh>
    <phoneticPr fontId="1"/>
  </si>
  <si>
    <t>利用者が入力したSMSを、正規SMSの入力ページに入力する</t>
    <rPh sb="0" eb="3">
      <t>リヨウシャ</t>
    </rPh>
    <rPh sb="4" eb="6">
      <t>ニュウリョク</t>
    </rPh>
    <rPh sb="13" eb="15">
      <t>セイキ</t>
    </rPh>
    <rPh sb="19" eb="21">
      <t>ニュウリョク</t>
    </rPh>
    <rPh sb="25" eb="27">
      <t>ニュウリョク</t>
    </rPh>
    <phoneticPr fontId="1"/>
  </si>
  <si>
    <t>ログイン情報を入力してよいのは、クライアントソフトのみとする</t>
    <rPh sb="4" eb="6">
      <t>ジョウホウ</t>
    </rPh>
    <rPh sb="7" eb="9">
      <t>ニュウリョク</t>
    </rPh>
    <phoneticPr fontId="1"/>
  </si>
  <si>
    <t>V-3</t>
    <phoneticPr fontId="1"/>
  </si>
  <si>
    <t>ポートの対策</t>
    <rPh sb="4" eb="6">
      <t>タイサク</t>
    </rPh>
    <phoneticPr fontId="1"/>
  </si>
  <si>
    <t>VPN-Hに対しての通信を盗聴し、受信した順番通りにVPN-Hに送信を行う</t>
    <rPh sb="6" eb="7">
      <t>タイ</t>
    </rPh>
    <rPh sb="10" eb="12">
      <t>ツウシン</t>
    </rPh>
    <rPh sb="13" eb="15">
      <t>トウチョウ</t>
    </rPh>
    <rPh sb="17" eb="19">
      <t>ジュシン</t>
    </rPh>
    <rPh sb="21" eb="23">
      <t>ジュンバン</t>
    </rPh>
    <rPh sb="23" eb="24">
      <t>トオ</t>
    </rPh>
    <rPh sb="32" eb="34">
      <t>ソウシン</t>
    </rPh>
    <rPh sb="35" eb="36">
      <t>オコナ</t>
    </rPh>
    <phoneticPr fontId="1"/>
  </si>
  <si>
    <t>同じパケットを送信した場合、SPAパケットは破棄されるため。</t>
    <rPh sb="0" eb="1">
      <t>オナ</t>
    </rPh>
    <rPh sb="7" eb="9">
      <t>ソウシン</t>
    </rPh>
    <rPh sb="11" eb="13">
      <t>バアイ</t>
    </rPh>
    <rPh sb="22" eb="24">
      <t>ハキ</t>
    </rPh>
    <phoneticPr fontId="1"/>
  </si>
  <si>
    <t>Sソフト</t>
    <phoneticPr fontId="1"/>
  </si>
  <si>
    <t>HMACベース</t>
    <phoneticPr fontId="1"/>
  </si>
  <si>
    <t>DDoS対策機能を有するCDNサービス</t>
    <rPh sb="4" eb="6">
      <t>タイサク</t>
    </rPh>
    <rPh sb="6" eb="8">
      <t>キノウ</t>
    </rPh>
    <rPh sb="9" eb="10">
      <t>ユウ</t>
    </rPh>
    <phoneticPr fontId="1"/>
  </si>
  <si>
    <t>ISPが提供すDDoS防御サービス</t>
    <rPh sb="4" eb="6">
      <t>テイキョウ</t>
    </rPh>
    <rPh sb="11" eb="13">
      <t>ボウギョ</t>
    </rPh>
    <phoneticPr fontId="1"/>
  </si>
  <si>
    <t>取引さ専用PC以外からの通信が、webサーバーに到達しないため</t>
    <rPh sb="0" eb="2">
      <t>トリヒキ</t>
    </rPh>
    <rPh sb="3" eb="5">
      <t>センヨウ</t>
    </rPh>
    <rPh sb="7" eb="9">
      <t>イガイ</t>
    </rPh>
    <rPh sb="12" eb="14">
      <t>ツウシン</t>
    </rPh>
    <rPh sb="24" eb="26">
      <t>トウタツ</t>
    </rPh>
    <phoneticPr fontId="1"/>
  </si>
  <si>
    <t>A社ドメイン</t>
    <rPh sb="1" eb="2">
      <t>シャ</t>
    </rPh>
    <phoneticPr fontId="1"/>
  </si>
  <si>
    <t>A-webサイト</t>
    <phoneticPr fontId="1"/>
  </si>
  <si>
    <t>Wサービス</t>
    <phoneticPr fontId="1"/>
  </si>
  <si>
    <t>全て</t>
    <rPh sb="0" eb="1">
      <t>スベ</t>
    </rPh>
    <phoneticPr fontId="1"/>
  </si>
  <si>
    <t>修正プログラムに似せたマルウェアを配置しておき、利用者にダウンロードさせる攻撃</t>
    <rPh sb="0" eb="2">
      <t>シュウセイ</t>
    </rPh>
    <rPh sb="8" eb="9">
      <t>ニ</t>
    </rPh>
    <rPh sb="17" eb="19">
      <t>ハイチ</t>
    </rPh>
    <rPh sb="24" eb="27">
      <t>リヨウシャ</t>
    </rPh>
    <rPh sb="37" eb="39">
      <t>コウゲキ</t>
    </rPh>
    <phoneticPr fontId="1"/>
  </si>
  <si>
    <t>利用者にパスワード再発行画面に似せた攻撃用サイトに誘導し、利用者の正規サイトのIDとパスワードを入手する</t>
    <rPh sb="0" eb="3">
      <t>リヨウシャ</t>
    </rPh>
    <rPh sb="9" eb="12">
      <t>サイハッコウ</t>
    </rPh>
    <rPh sb="12" eb="14">
      <t>ガメン</t>
    </rPh>
    <rPh sb="15" eb="16">
      <t>ニ</t>
    </rPh>
    <rPh sb="18" eb="21">
      <t>コウゲキヨウ</t>
    </rPh>
    <rPh sb="25" eb="27">
      <t>ユウドウ</t>
    </rPh>
    <rPh sb="29" eb="32">
      <t>リヨウシャ</t>
    </rPh>
    <rPh sb="33" eb="35">
      <t>セイキ</t>
    </rPh>
    <rPh sb="48" eb="50">
      <t>ニュウシュ</t>
    </rPh>
    <phoneticPr fontId="1"/>
  </si>
  <si>
    <t>任意のパスワードを設定し、アカウントを乗っ取る</t>
    <rPh sb="0" eb="2">
      <t>ニンイ</t>
    </rPh>
    <rPh sb="9" eb="11">
      <t>セッテイ</t>
    </rPh>
    <rPh sb="19" eb="20">
      <t>ノ</t>
    </rPh>
    <rPh sb="21" eb="22">
      <t>ト</t>
    </rPh>
    <phoneticPr fontId="1"/>
  </si>
  <si>
    <t>SPFレコードにTサービスを登録する</t>
    <rPh sb="14" eb="16">
      <t>トウロク</t>
    </rPh>
    <phoneticPr fontId="1"/>
  </si>
  <si>
    <t>WebAPI</t>
    <phoneticPr fontId="1"/>
  </si>
  <si>
    <t>webアプリ</t>
    <phoneticPr fontId="1"/>
  </si>
  <si>
    <t>検証ではIP制限</t>
    <rPh sb="0" eb="2">
      <t>ケンショウ</t>
    </rPh>
    <rPh sb="6" eb="8">
      <t>セイゲン</t>
    </rPh>
    <phoneticPr fontId="1"/>
  </si>
  <si>
    <t>診断PCよりIner</t>
    <rPh sb="0" eb="2">
      <t>シンダン</t>
    </rPh>
    <phoneticPr fontId="1"/>
  </si>
  <si>
    <t>診断ツール</t>
    <rPh sb="0" eb="2">
      <t>シンダン</t>
    </rPh>
    <phoneticPr fontId="1"/>
  </si>
  <si>
    <t>https://test.△△△.jp/</t>
    <phoneticPr fontId="1"/>
  </si>
  <si>
    <t>Mサイトへのログイン</t>
    <phoneticPr fontId="1"/>
  </si>
  <si>
    <t>セッションIDを毎回更新する</t>
    <rPh sb="8" eb="10">
      <t>マイカイ</t>
    </rPh>
    <rPh sb="10" eb="12">
      <t>コウシン</t>
    </rPh>
    <phoneticPr fontId="1"/>
  </si>
  <si>
    <t>HTTPSでのサイトへのアクセスを強制する</t>
    <rPh sb="17" eb="19">
      <t>キョウセイ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</si>
</sst>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0" fontId="3" fillId="0" borderId="0" xfId="1" applyAlignment="1">
      <alignment wrapText="1"/>
    </xf>
    <xf numFmtId="0" fontId="0" fillId="0" borderId="0" xfId="0" quotePrefix="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142875</xdr:colOff>
          <xdr:row>1</xdr:row>
          <xdr:rowOff>38100</xdr:rowOff>
        </xdr:from>
        <xdr:to>
          <xdr:col>10</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3</xdr:row>
          <xdr:rowOff>104775</xdr:rowOff>
        </xdr:from>
        <xdr:to>
          <xdr:col>10</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hyperlink" Target="https://&#9651;&#9651;.&#9651;.com/&#12408;&#25509;&#32154;&#12434;&#35430;&#12415;&#12383;PC&#12364;&#12411;&#12363;&#12395;&#12394;&#12356;&#12363;&#12434;time.csv&#12424;&#12426;&#30906;&#35469;&#12377;&#12427;&#12290;"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i-sha.com/&#12395;&#23550;&#12375;&#12390;&#12289;&#12501;&#12457;&#12540;&#12512;&#12424;&#12426;&#20837;&#21147;&#12373;&#12428;&#12383;&#20516;&#12434;&#36865;&#20449;&#12375;&#12390;&#12356;&#1242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6"/>
  <sheetViews>
    <sheetView zoomScale="115" zoomScaleNormal="115" workbookViewId="0">
      <selection activeCell="G11" sqref="G11"/>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38</v>
      </c>
      <c r="E2">
        <v>50</v>
      </c>
    </row>
    <row r="3" spans="1:6">
      <c r="A3">
        <v>2</v>
      </c>
      <c r="B3" s="2" t="s">
        <v>12</v>
      </c>
      <c r="C3" s="2" t="s">
        <v>59</v>
      </c>
      <c r="D3">
        <v>38</v>
      </c>
      <c r="E3">
        <v>50</v>
      </c>
    </row>
    <row r="4" spans="1:6">
      <c r="A4">
        <v>3</v>
      </c>
      <c r="B4" s="2" t="s">
        <v>105</v>
      </c>
      <c r="C4" s="2" t="s">
        <v>14</v>
      </c>
      <c r="D4">
        <v>31</v>
      </c>
      <c r="E4">
        <v>50</v>
      </c>
    </row>
    <row r="5" spans="1:6">
      <c r="A5">
        <v>4</v>
      </c>
      <c r="B5" s="2" t="s">
        <v>105</v>
      </c>
      <c r="C5" s="2" t="s">
        <v>59</v>
      </c>
      <c r="D5">
        <v>27</v>
      </c>
      <c r="E5">
        <v>50</v>
      </c>
    </row>
    <row r="6" spans="1:6">
      <c r="A6">
        <v>5</v>
      </c>
      <c r="B6" s="2" t="s">
        <v>12</v>
      </c>
      <c r="C6" s="2" t="s">
        <v>239</v>
      </c>
      <c r="D6">
        <v>33</v>
      </c>
      <c r="E6">
        <v>50</v>
      </c>
    </row>
    <row r="7" spans="1:6">
      <c r="A7">
        <v>6</v>
      </c>
      <c r="B7" s="2" t="s">
        <v>105</v>
      </c>
      <c r="C7" s="2" t="s">
        <v>14</v>
      </c>
      <c r="D7">
        <v>40</v>
      </c>
      <c r="E7">
        <v>50</v>
      </c>
    </row>
    <row r="8" spans="1:6">
      <c r="A8">
        <v>7</v>
      </c>
      <c r="B8" s="2" t="s">
        <v>105</v>
      </c>
      <c r="C8" s="2" t="s">
        <v>239</v>
      </c>
      <c r="D8">
        <v>29</v>
      </c>
      <c r="E8">
        <v>50</v>
      </c>
    </row>
    <row r="9" spans="1:6">
      <c r="A9">
        <v>8</v>
      </c>
      <c r="B9" s="2" t="s">
        <v>12</v>
      </c>
      <c r="C9" s="2" t="s">
        <v>318</v>
      </c>
      <c r="D9">
        <v>39</v>
      </c>
      <c r="E9">
        <v>50</v>
      </c>
    </row>
    <row r="10" spans="1:6">
      <c r="A10">
        <v>9</v>
      </c>
      <c r="B10" s="2" t="s">
        <v>12</v>
      </c>
      <c r="C10" s="2" t="s">
        <v>239</v>
      </c>
      <c r="D10">
        <v>31</v>
      </c>
      <c r="E10">
        <v>50</v>
      </c>
    </row>
    <row r="11" spans="1:6">
      <c r="A11">
        <v>10</v>
      </c>
      <c r="B11" s="2" t="s">
        <v>12</v>
      </c>
      <c r="C11" s="2" t="s">
        <v>318</v>
      </c>
      <c r="D11">
        <v>48</v>
      </c>
      <c r="E11">
        <v>50</v>
      </c>
    </row>
    <row r="12" spans="1:6">
      <c r="A12">
        <v>11</v>
      </c>
      <c r="B12" s="2" t="s">
        <v>105</v>
      </c>
      <c r="C12" s="2" t="s">
        <v>318</v>
      </c>
      <c r="D12">
        <v>29</v>
      </c>
      <c r="E12">
        <v>50</v>
      </c>
    </row>
    <row r="13" spans="1:6">
      <c r="A13">
        <v>12</v>
      </c>
      <c r="B13" s="2" t="s">
        <v>105</v>
      </c>
      <c r="C13" s="2" t="s">
        <v>59</v>
      </c>
      <c r="D13">
        <v>32</v>
      </c>
      <c r="E13">
        <v>50</v>
      </c>
    </row>
    <row r="14" spans="1:6">
      <c r="A14">
        <v>13</v>
      </c>
      <c r="B14" s="2" t="s">
        <v>12</v>
      </c>
      <c r="C14" s="2" t="s">
        <v>239</v>
      </c>
      <c r="D14">
        <v>41</v>
      </c>
      <c r="E14">
        <v>50</v>
      </c>
    </row>
    <row r="15" spans="1:6">
      <c r="A15">
        <v>14</v>
      </c>
      <c r="B15" s="2" t="s">
        <v>12</v>
      </c>
      <c r="C15" s="2" t="s">
        <v>59</v>
      </c>
      <c r="D15">
        <v>46</v>
      </c>
      <c r="E15">
        <v>50</v>
      </c>
    </row>
    <row r="16" spans="1:6">
      <c r="A16">
        <v>15</v>
      </c>
      <c r="B16" s="2" t="s">
        <v>105</v>
      </c>
      <c r="C16" s="2" t="s">
        <v>59</v>
      </c>
      <c r="D16">
        <v>50</v>
      </c>
      <c r="E16">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9</xdr:col>
                    <xdr:colOff>142875</xdr:colOff>
                    <xdr:row>1</xdr:row>
                    <xdr:rowOff>38100</xdr:rowOff>
                  </from>
                  <to>
                    <xdr:col>10</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9</xdr:col>
                    <xdr:colOff>200025</xdr:colOff>
                    <xdr:row>3</xdr:row>
                    <xdr:rowOff>104775</xdr:rowOff>
                  </from>
                  <to>
                    <xdr:col>10</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17339-672A-4CD2-9C30-1F97D055E686}">
  <sheetPr codeName="Sheet4"/>
  <dimension ref="A1:O167"/>
  <sheetViews>
    <sheetView zoomScale="85" zoomScaleNormal="8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1.5" style="1" customWidth="1"/>
    <col min="3" max="3" width="9.75" customWidth="1"/>
  </cols>
  <sheetData>
    <row r="1" spans="1:15">
      <c r="A1" s="2" t="s">
        <v>0</v>
      </c>
      <c r="B1" s="1" t="s">
        <v>13</v>
      </c>
      <c r="K1" t="s">
        <v>49</v>
      </c>
    </row>
    <row r="2" spans="1:15">
      <c r="A2" s="2" t="s">
        <v>2</v>
      </c>
      <c r="B2" s="3" t="s">
        <v>15</v>
      </c>
      <c r="D2">
        <f>SUM(D4:D1000)</f>
        <v>38</v>
      </c>
      <c r="E2">
        <f>SUM(E4:E1000)</f>
        <v>50</v>
      </c>
    </row>
    <row r="3" spans="1:15">
      <c r="A3" s="2" t="s">
        <v>1</v>
      </c>
      <c r="B3" s="1" t="s">
        <v>3</v>
      </c>
      <c r="C3" t="s">
        <v>6</v>
      </c>
      <c r="D3" t="s">
        <v>4</v>
      </c>
      <c r="E3" t="s">
        <v>5</v>
      </c>
    </row>
    <row r="4" spans="1:15">
      <c r="A4" s="2" t="s">
        <v>19</v>
      </c>
      <c r="B4" s="1" t="s">
        <v>20</v>
      </c>
      <c r="C4">
        <f>IF(B4&lt;&gt;"",LEN(B4),"")</f>
        <v>8</v>
      </c>
      <c r="D4">
        <f>E4*F4</f>
        <v>0</v>
      </c>
      <c r="E4">
        <v>3</v>
      </c>
      <c r="F4">
        <v>0</v>
      </c>
      <c r="G4" t="s">
        <v>16</v>
      </c>
      <c r="I4" t="s">
        <v>21</v>
      </c>
      <c r="K4" t="s">
        <v>26</v>
      </c>
      <c r="M4" t="s">
        <v>31</v>
      </c>
      <c r="O4" t="s">
        <v>40</v>
      </c>
    </row>
    <row r="5" spans="1:15">
      <c r="A5" s="2" t="s">
        <v>32</v>
      </c>
      <c r="B5" s="1">
        <v>500</v>
      </c>
      <c r="C5">
        <f t="shared" ref="C5:C68" si="0">IF(B5&lt;&gt;"",LEN(B5),"")</f>
        <v>3</v>
      </c>
      <c r="D5">
        <f t="shared" ref="D5:D16" si="1">E5*F5</f>
        <v>3</v>
      </c>
      <c r="E5">
        <v>3</v>
      </c>
      <c r="F5">
        <v>1</v>
      </c>
      <c r="G5" t="s">
        <v>17</v>
      </c>
      <c r="I5" t="s">
        <v>22</v>
      </c>
      <c r="K5" t="s">
        <v>27</v>
      </c>
      <c r="M5" t="s">
        <v>33</v>
      </c>
      <c r="O5" t="s">
        <v>41</v>
      </c>
    </row>
    <row r="6" spans="1:15">
      <c r="A6" s="2" t="s">
        <v>34</v>
      </c>
      <c r="B6" s="1" t="s">
        <v>37</v>
      </c>
      <c r="C6">
        <f t="shared" si="0"/>
        <v>14</v>
      </c>
      <c r="D6">
        <f t="shared" si="1"/>
        <v>2</v>
      </c>
      <c r="E6">
        <v>2</v>
      </c>
      <c r="F6">
        <v>1</v>
      </c>
      <c r="G6" t="s">
        <v>18</v>
      </c>
      <c r="I6" t="s">
        <v>23</v>
      </c>
      <c r="K6" t="s">
        <v>28</v>
      </c>
      <c r="M6" t="s">
        <v>35</v>
      </c>
      <c r="O6" t="s">
        <v>42</v>
      </c>
    </row>
    <row r="7" spans="1:15">
      <c r="B7" s="1" t="s">
        <v>38</v>
      </c>
      <c r="C7">
        <f t="shared" si="0"/>
        <v>14</v>
      </c>
      <c r="D7">
        <f t="shared" si="1"/>
        <v>3</v>
      </c>
      <c r="E7">
        <v>3</v>
      </c>
      <c r="F7">
        <v>1</v>
      </c>
      <c r="I7" t="s">
        <v>24</v>
      </c>
      <c r="K7" t="s">
        <v>29</v>
      </c>
      <c r="M7" t="s">
        <v>36</v>
      </c>
    </row>
    <row r="8" spans="1:15">
      <c r="A8" s="2" t="s">
        <v>39</v>
      </c>
      <c r="B8" s="1" t="s">
        <v>43</v>
      </c>
      <c r="C8">
        <f t="shared" si="0"/>
        <v>28</v>
      </c>
      <c r="D8">
        <f t="shared" si="1"/>
        <v>5</v>
      </c>
      <c r="E8">
        <v>5</v>
      </c>
      <c r="F8">
        <v>1</v>
      </c>
      <c r="I8" t="s">
        <v>25</v>
      </c>
      <c r="K8" t="s">
        <v>30</v>
      </c>
    </row>
    <row r="9" spans="1:15">
      <c r="A9" s="2" t="s">
        <v>44</v>
      </c>
      <c r="B9" s="1" t="s">
        <v>45</v>
      </c>
      <c r="C9">
        <f t="shared" si="0"/>
        <v>6</v>
      </c>
      <c r="D9">
        <f t="shared" si="1"/>
        <v>0</v>
      </c>
      <c r="E9">
        <v>3</v>
      </c>
      <c r="F9">
        <v>0</v>
      </c>
    </row>
    <row r="10" spans="1:15">
      <c r="A10" s="2" t="s">
        <v>46</v>
      </c>
      <c r="B10" s="1" t="s">
        <v>47</v>
      </c>
      <c r="C10">
        <f t="shared" si="0"/>
        <v>27</v>
      </c>
      <c r="D10">
        <f t="shared" si="1"/>
        <v>5</v>
      </c>
      <c r="E10">
        <v>5</v>
      </c>
      <c r="F10">
        <v>1</v>
      </c>
      <c r="I10" t="s">
        <v>96</v>
      </c>
    </row>
    <row r="11" spans="1:15" ht="37.5">
      <c r="A11" s="2" t="s">
        <v>48</v>
      </c>
      <c r="B11" s="1" t="s">
        <v>50</v>
      </c>
      <c r="C11">
        <f t="shared" si="0"/>
        <v>32</v>
      </c>
      <c r="D11">
        <f t="shared" si="1"/>
        <v>5</v>
      </c>
      <c r="E11">
        <v>5</v>
      </c>
      <c r="F11">
        <v>1</v>
      </c>
    </row>
    <row r="12" spans="1:15">
      <c r="A12" s="2" t="s">
        <v>51</v>
      </c>
      <c r="B12" s="1" t="s">
        <v>52</v>
      </c>
      <c r="C12">
        <f t="shared" si="0"/>
        <v>6</v>
      </c>
      <c r="D12">
        <f t="shared" si="1"/>
        <v>0</v>
      </c>
      <c r="E12">
        <v>3</v>
      </c>
      <c r="F12">
        <v>0</v>
      </c>
    </row>
    <row r="13" spans="1:15">
      <c r="B13" s="1" t="s">
        <v>53</v>
      </c>
      <c r="C13">
        <f t="shared" si="0"/>
        <v>6</v>
      </c>
      <c r="D13">
        <f t="shared" si="1"/>
        <v>0</v>
      </c>
      <c r="E13">
        <v>3</v>
      </c>
      <c r="F13">
        <v>0</v>
      </c>
    </row>
    <row r="14" spans="1:15">
      <c r="A14" s="2" t="s">
        <v>54</v>
      </c>
      <c r="B14" s="1" t="s">
        <v>55</v>
      </c>
      <c r="C14">
        <f t="shared" si="0"/>
        <v>20</v>
      </c>
      <c r="D14">
        <f t="shared" si="1"/>
        <v>5</v>
      </c>
      <c r="E14">
        <v>5</v>
      </c>
      <c r="F14">
        <v>1</v>
      </c>
    </row>
    <row r="15" spans="1:15">
      <c r="A15" s="2" t="s">
        <v>56</v>
      </c>
      <c r="B15" s="1" t="s">
        <v>57</v>
      </c>
      <c r="C15">
        <f t="shared" si="0"/>
        <v>17</v>
      </c>
      <c r="D15">
        <f t="shared" si="1"/>
        <v>5</v>
      </c>
      <c r="E15">
        <v>5</v>
      </c>
      <c r="F15">
        <v>1</v>
      </c>
    </row>
    <row r="16" spans="1:15">
      <c r="B16" s="1" t="s">
        <v>58</v>
      </c>
      <c r="C16">
        <f t="shared" si="0"/>
        <v>19</v>
      </c>
      <c r="D16">
        <f t="shared" si="1"/>
        <v>5</v>
      </c>
      <c r="E16">
        <v>5</v>
      </c>
      <c r="F16">
        <v>1</v>
      </c>
    </row>
    <row r="17" spans="1:3">
      <c r="C17" t="str">
        <f t="shared" si="0"/>
        <v/>
      </c>
    </row>
    <row r="18" spans="1:3">
      <c r="C18" t="str">
        <f t="shared" si="0"/>
        <v/>
      </c>
    </row>
    <row r="19" spans="1:3">
      <c r="C19" t="str">
        <f t="shared" si="0"/>
        <v/>
      </c>
    </row>
    <row r="20" spans="1:3">
      <c r="C20" t="str">
        <f t="shared" si="0"/>
        <v/>
      </c>
    </row>
    <row r="21" spans="1:3">
      <c r="A21" s="2" t="s">
        <v>19</v>
      </c>
      <c r="B21" s="1" t="s">
        <v>97</v>
      </c>
      <c r="C21">
        <v>1</v>
      </c>
    </row>
    <row r="22" spans="1:3">
      <c r="A22" s="2" t="s">
        <v>44</v>
      </c>
      <c r="B22" s="1" t="s">
        <v>98</v>
      </c>
      <c r="C22">
        <v>1</v>
      </c>
    </row>
    <row r="23" spans="1:3">
      <c r="A23" s="2" t="s">
        <v>48</v>
      </c>
      <c r="B23" s="1" t="s">
        <v>99</v>
      </c>
      <c r="C23">
        <v>0</v>
      </c>
    </row>
    <row r="24" spans="1:3">
      <c r="A24" s="2" t="s">
        <v>51</v>
      </c>
      <c r="B24" s="1" t="s">
        <v>100</v>
      </c>
      <c r="C24">
        <v>1</v>
      </c>
    </row>
    <row r="25" spans="1:3">
      <c r="B25" s="1" t="s">
        <v>101</v>
      </c>
      <c r="C25">
        <v>1</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D2E17339-672A-4CD2-9C30-1F97D055E686}"/>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BB793-0035-4387-8243-0F6D485095AB}">
  <sheetPr codeName="Sheet5"/>
  <dimension ref="A1:O167"/>
  <sheetViews>
    <sheetView zoomScale="85" zoomScaleNormal="85" workbookViewId="0">
      <pane xSplit="1" ySplit="3" topLeftCell="B10"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6.375" style="1" customWidth="1"/>
    <col min="3" max="3" width="9.75" customWidth="1"/>
  </cols>
  <sheetData>
    <row r="1" spans="1:15">
      <c r="A1" s="2" t="s">
        <v>0</v>
      </c>
      <c r="B1" s="1" t="s">
        <v>13</v>
      </c>
    </row>
    <row r="2" spans="1:15">
      <c r="A2" s="2" t="s">
        <v>2</v>
      </c>
      <c r="B2" s="3" t="s">
        <v>60</v>
      </c>
      <c r="D2">
        <f>SUM(D4:D1000)</f>
        <v>38</v>
      </c>
      <c r="E2">
        <f>SUM(E4:E1000)</f>
        <v>50</v>
      </c>
    </row>
    <row r="3" spans="1:15">
      <c r="A3" s="2" t="s">
        <v>1</v>
      </c>
      <c r="B3" s="1" t="s">
        <v>3</v>
      </c>
      <c r="C3" t="s">
        <v>6</v>
      </c>
      <c r="D3" t="s">
        <v>4</v>
      </c>
      <c r="E3" t="s">
        <v>5</v>
      </c>
    </row>
    <row r="4" spans="1:15" ht="37.5">
      <c r="A4" s="2" t="s">
        <v>77</v>
      </c>
      <c r="B4" s="1" t="s">
        <v>78</v>
      </c>
      <c r="C4">
        <f>IF(B4&lt;&gt;"",LEN(B4),"")</f>
        <v>38</v>
      </c>
      <c r="D4">
        <f>E4*F4</f>
        <v>5</v>
      </c>
      <c r="E4">
        <v>5</v>
      </c>
      <c r="F4">
        <v>1</v>
      </c>
      <c r="G4" t="s">
        <v>61</v>
      </c>
      <c r="I4" t="s">
        <v>65</v>
      </c>
      <c r="K4" t="s">
        <v>69</v>
      </c>
      <c r="M4" t="s">
        <v>66</v>
      </c>
      <c r="O4" t="s">
        <v>76</v>
      </c>
    </row>
    <row r="5" spans="1:15">
      <c r="A5" s="2" t="s">
        <v>79</v>
      </c>
      <c r="B5" s="1" t="s">
        <v>80</v>
      </c>
      <c r="C5">
        <f t="shared" ref="C5:C68" si="0">IF(B5&lt;&gt;"",LEN(B5),"")</f>
        <v>25</v>
      </c>
      <c r="D5">
        <f t="shared" ref="D5:D14" si="1">E5*F5</f>
        <v>4</v>
      </c>
      <c r="E5">
        <v>4</v>
      </c>
      <c r="F5">
        <v>1</v>
      </c>
      <c r="G5" t="s">
        <v>62</v>
      </c>
      <c r="I5" t="s">
        <v>66</v>
      </c>
      <c r="K5" t="s">
        <v>70</v>
      </c>
      <c r="M5" t="s">
        <v>73</v>
      </c>
      <c r="O5" t="s">
        <v>82</v>
      </c>
    </row>
    <row r="6" spans="1:15">
      <c r="A6" s="2" t="s">
        <v>81</v>
      </c>
      <c r="B6" s="1" t="s">
        <v>84</v>
      </c>
      <c r="C6">
        <f t="shared" si="0"/>
        <v>8</v>
      </c>
      <c r="D6">
        <f t="shared" si="1"/>
        <v>3</v>
      </c>
      <c r="E6">
        <v>3</v>
      </c>
      <c r="F6">
        <v>1</v>
      </c>
      <c r="G6" t="s">
        <v>63</v>
      </c>
      <c r="I6" t="s">
        <v>67</v>
      </c>
      <c r="K6" t="s">
        <v>71</v>
      </c>
      <c r="M6" t="s">
        <v>74</v>
      </c>
      <c r="O6" t="s">
        <v>83</v>
      </c>
    </row>
    <row r="7" spans="1:15">
      <c r="B7" s="1" t="s">
        <v>85</v>
      </c>
      <c r="C7">
        <f t="shared" si="0"/>
        <v>8</v>
      </c>
      <c r="D7">
        <f t="shared" si="1"/>
        <v>3</v>
      </c>
      <c r="E7">
        <v>3</v>
      </c>
      <c r="F7">
        <v>1</v>
      </c>
      <c r="G7" t="s">
        <v>64</v>
      </c>
      <c r="I7" t="s">
        <v>68</v>
      </c>
      <c r="K7" t="s">
        <v>72</v>
      </c>
      <c r="M7" t="s">
        <v>75</v>
      </c>
    </row>
    <row r="8" spans="1:15" ht="37.5">
      <c r="A8" s="2" t="s">
        <v>32</v>
      </c>
      <c r="B8" s="1" t="s">
        <v>86</v>
      </c>
      <c r="C8">
        <f t="shared" si="0"/>
        <v>61</v>
      </c>
      <c r="D8">
        <f t="shared" si="1"/>
        <v>5</v>
      </c>
      <c r="E8">
        <v>5</v>
      </c>
      <c r="F8">
        <v>1</v>
      </c>
    </row>
    <row r="9" spans="1:15" ht="56.25">
      <c r="B9" s="1" t="s">
        <v>87</v>
      </c>
      <c r="C9">
        <f t="shared" si="0"/>
        <v>77</v>
      </c>
      <c r="D9">
        <f t="shared" si="1"/>
        <v>5</v>
      </c>
      <c r="E9">
        <v>5</v>
      </c>
      <c r="F9">
        <v>1</v>
      </c>
    </row>
    <row r="10" spans="1:15" ht="37.5">
      <c r="A10" s="2" t="s">
        <v>34</v>
      </c>
      <c r="B10" s="1" t="s">
        <v>88</v>
      </c>
      <c r="C10">
        <f t="shared" si="0"/>
        <v>51</v>
      </c>
      <c r="D10">
        <f t="shared" si="1"/>
        <v>0</v>
      </c>
      <c r="E10">
        <v>5</v>
      </c>
      <c r="F10">
        <v>0</v>
      </c>
    </row>
    <row r="11" spans="1:15">
      <c r="A11" s="2" t="s">
        <v>48</v>
      </c>
      <c r="B11" s="1" t="s">
        <v>89</v>
      </c>
      <c r="C11">
        <f t="shared" si="0"/>
        <v>24</v>
      </c>
      <c r="D11">
        <f t="shared" si="1"/>
        <v>5</v>
      </c>
      <c r="E11">
        <v>5</v>
      </c>
      <c r="F11">
        <v>1</v>
      </c>
    </row>
    <row r="12" spans="1:15" ht="37.5">
      <c r="A12" s="2" t="s">
        <v>51</v>
      </c>
      <c r="B12" s="1" t="s">
        <v>90</v>
      </c>
      <c r="C12">
        <f t="shared" si="0"/>
        <v>33</v>
      </c>
      <c r="D12">
        <f t="shared" si="1"/>
        <v>3</v>
      </c>
      <c r="E12">
        <v>6</v>
      </c>
      <c r="F12">
        <v>0.5</v>
      </c>
    </row>
    <row r="13" spans="1:15">
      <c r="A13" s="2" t="s">
        <v>91</v>
      </c>
      <c r="B13" s="1" t="s">
        <v>92</v>
      </c>
      <c r="C13">
        <f t="shared" si="0"/>
        <v>17</v>
      </c>
      <c r="D13">
        <f t="shared" si="1"/>
        <v>0</v>
      </c>
      <c r="E13">
        <v>4</v>
      </c>
      <c r="F13">
        <v>0</v>
      </c>
    </row>
    <row r="14" spans="1:15">
      <c r="A14" s="2" t="s">
        <v>93</v>
      </c>
      <c r="B14" s="1" t="s">
        <v>94</v>
      </c>
      <c r="C14">
        <f t="shared" si="0"/>
        <v>31</v>
      </c>
      <c r="D14">
        <f t="shared" si="1"/>
        <v>5</v>
      </c>
      <c r="E14">
        <v>5</v>
      </c>
      <c r="F14">
        <v>1</v>
      </c>
    </row>
    <row r="15" spans="1:15">
      <c r="C15" t="str">
        <f t="shared" si="0"/>
        <v/>
      </c>
    </row>
    <row r="16" spans="1:15" ht="37.5">
      <c r="B16" s="1" t="s">
        <v>95</v>
      </c>
      <c r="C16">
        <f t="shared" si="0"/>
        <v>32</v>
      </c>
    </row>
    <row r="17" spans="1:3">
      <c r="C17" t="str">
        <f t="shared" si="0"/>
        <v/>
      </c>
    </row>
    <row r="18" spans="1:3">
      <c r="C18" t="str">
        <f t="shared" si="0"/>
        <v/>
      </c>
    </row>
    <row r="19" spans="1:3" ht="37.5">
      <c r="A19" s="2" t="s">
        <v>34</v>
      </c>
      <c r="B19" s="1" t="s">
        <v>102</v>
      </c>
      <c r="C19">
        <v>1</v>
      </c>
    </row>
    <row r="20" spans="1:3" ht="37.5">
      <c r="A20" s="2" t="s">
        <v>51</v>
      </c>
      <c r="B20" s="1" t="s">
        <v>103</v>
      </c>
      <c r="C20">
        <v>1</v>
      </c>
    </row>
    <row r="21" spans="1:3">
      <c r="A21" s="2" t="s">
        <v>91</v>
      </c>
      <c r="B21" s="1" t="s">
        <v>104</v>
      </c>
      <c r="C21">
        <v>1</v>
      </c>
    </row>
    <row r="22" spans="1:3">
      <c r="C22" t="str">
        <f t="shared" si="0"/>
        <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O167" xr:uid="{082BB793-0035-4387-8243-0F6D485095A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E5984-A1F3-465F-AF17-C32F022971DA}">
  <sheetPr codeName="Sheet6"/>
  <dimension ref="A1:M167"/>
  <sheetViews>
    <sheetView zoomScale="85" zoomScaleNormal="85" workbookViewId="0">
      <pane xSplit="1" ySplit="3" topLeftCell="B16"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3.75" style="1" customWidth="1"/>
    <col min="3" max="3" width="9.75" customWidth="1"/>
  </cols>
  <sheetData>
    <row r="1" spans="1:13">
      <c r="A1" s="2" t="s">
        <v>0</v>
      </c>
      <c r="B1" s="1" t="s">
        <v>106</v>
      </c>
    </row>
    <row r="2" spans="1:13">
      <c r="A2" s="2" t="s">
        <v>2</v>
      </c>
      <c r="B2" s="3" t="s">
        <v>15</v>
      </c>
      <c r="D2">
        <f>SUM(D4:D1000)</f>
        <v>31</v>
      </c>
      <c r="E2">
        <f>SUM(E4:E1000)</f>
        <v>50</v>
      </c>
    </row>
    <row r="3" spans="1:13">
      <c r="A3" s="2" t="s">
        <v>1</v>
      </c>
      <c r="B3" s="1" t="s">
        <v>3</v>
      </c>
      <c r="C3" t="s">
        <v>6</v>
      </c>
      <c r="D3" t="s">
        <v>4</v>
      </c>
      <c r="E3" t="s">
        <v>5</v>
      </c>
    </row>
    <row r="4" spans="1:13">
      <c r="A4" s="2" t="s">
        <v>77</v>
      </c>
      <c r="B4" s="1" t="s">
        <v>126</v>
      </c>
      <c r="C4">
        <f>IF(B4&lt;&gt;"",LEN(B4),"")</f>
        <v>4</v>
      </c>
      <c r="D4">
        <f>E4*F4</f>
        <v>3</v>
      </c>
      <c r="E4">
        <v>3</v>
      </c>
      <c r="F4">
        <v>1</v>
      </c>
      <c r="G4" t="s">
        <v>107</v>
      </c>
      <c r="I4" t="s">
        <v>113</v>
      </c>
      <c r="K4" t="s">
        <v>119</v>
      </c>
      <c r="M4" t="s">
        <v>125</v>
      </c>
    </row>
    <row r="5" spans="1:13">
      <c r="A5" s="2" t="s">
        <v>79</v>
      </c>
      <c r="B5" s="1" t="s">
        <v>127</v>
      </c>
      <c r="C5">
        <f t="shared" ref="C5:C68" si="0">IF(B5&lt;&gt;"",LEN(B5),"")</f>
        <v>6</v>
      </c>
      <c r="D5">
        <f t="shared" ref="D5:D14" si="1">E5*F5</f>
        <v>3</v>
      </c>
      <c r="E5">
        <v>3</v>
      </c>
      <c r="F5">
        <v>1</v>
      </c>
      <c r="G5" t="s">
        <v>108</v>
      </c>
      <c r="I5" t="s">
        <v>114</v>
      </c>
      <c r="K5" t="s">
        <v>120</v>
      </c>
      <c r="M5" t="s">
        <v>136</v>
      </c>
    </row>
    <row r="6" spans="1:13">
      <c r="A6" s="2" t="s">
        <v>81</v>
      </c>
      <c r="B6" s="1" t="s">
        <v>128</v>
      </c>
      <c r="C6">
        <f t="shared" si="0"/>
        <v>12</v>
      </c>
      <c r="D6">
        <f t="shared" si="1"/>
        <v>3</v>
      </c>
      <c r="E6">
        <v>3</v>
      </c>
      <c r="F6">
        <v>1</v>
      </c>
      <c r="G6" t="s">
        <v>109</v>
      </c>
      <c r="I6" t="s">
        <v>115</v>
      </c>
      <c r="K6" t="s">
        <v>121</v>
      </c>
      <c r="M6" t="s">
        <v>137</v>
      </c>
    </row>
    <row r="7" spans="1:13">
      <c r="A7" s="2" t="s">
        <v>129</v>
      </c>
      <c r="B7" s="1" t="s">
        <v>130</v>
      </c>
      <c r="C7">
        <f t="shared" si="0"/>
        <v>3</v>
      </c>
      <c r="D7">
        <f t="shared" si="1"/>
        <v>3</v>
      </c>
      <c r="E7">
        <v>3</v>
      </c>
      <c r="F7">
        <v>1</v>
      </c>
      <c r="G7" t="s">
        <v>110</v>
      </c>
      <c r="I7" t="s">
        <v>116</v>
      </c>
      <c r="K7" t="s">
        <v>122</v>
      </c>
    </row>
    <row r="8" spans="1:13" ht="37.5">
      <c r="A8" s="2" t="s">
        <v>131</v>
      </c>
      <c r="B8" s="1" t="s">
        <v>132</v>
      </c>
      <c r="C8">
        <f t="shared" si="0"/>
        <v>87</v>
      </c>
      <c r="D8">
        <f t="shared" si="1"/>
        <v>6</v>
      </c>
      <c r="E8">
        <v>6</v>
      </c>
      <c r="F8">
        <v>1</v>
      </c>
      <c r="G8" t="s">
        <v>111</v>
      </c>
      <c r="I8" t="s">
        <v>117</v>
      </c>
      <c r="K8" t="s">
        <v>123</v>
      </c>
      <c r="M8" t="s">
        <v>138</v>
      </c>
    </row>
    <row r="9" spans="1:13" ht="37.5">
      <c r="A9" s="2" t="s">
        <v>133</v>
      </c>
      <c r="B9" s="4" t="s">
        <v>134</v>
      </c>
      <c r="C9">
        <f t="shared" si="0"/>
        <v>49</v>
      </c>
      <c r="D9">
        <f t="shared" si="1"/>
        <v>0</v>
      </c>
      <c r="E9">
        <v>6</v>
      </c>
      <c r="F9">
        <v>0</v>
      </c>
      <c r="G9" t="s">
        <v>112</v>
      </c>
      <c r="I9" t="s">
        <v>118</v>
      </c>
      <c r="K9" t="s">
        <v>124</v>
      </c>
      <c r="M9" t="s">
        <v>144</v>
      </c>
    </row>
    <row r="10" spans="1:13">
      <c r="A10" s="2" t="s">
        <v>135</v>
      </c>
      <c r="B10" s="1" t="s">
        <v>139</v>
      </c>
      <c r="C10">
        <f t="shared" si="0"/>
        <v>34</v>
      </c>
      <c r="D10">
        <f t="shared" si="1"/>
        <v>0</v>
      </c>
      <c r="E10">
        <v>6</v>
      </c>
      <c r="F10">
        <v>0</v>
      </c>
    </row>
    <row r="11" spans="1:13">
      <c r="A11" s="2" t="s">
        <v>140</v>
      </c>
      <c r="B11" s="1" t="s">
        <v>141</v>
      </c>
      <c r="C11">
        <f t="shared" si="0"/>
        <v>32</v>
      </c>
      <c r="D11">
        <f t="shared" si="1"/>
        <v>5</v>
      </c>
      <c r="E11">
        <v>5</v>
      </c>
      <c r="F11">
        <v>1</v>
      </c>
    </row>
    <row r="12" spans="1:13" ht="37.5">
      <c r="B12" s="1" t="s">
        <v>142</v>
      </c>
      <c r="C12">
        <f t="shared" si="0"/>
        <v>38</v>
      </c>
      <c r="D12">
        <f t="shared" si="1"/>
        <v>5</v>
      </c>
      <c r="E12">
        <v>5</v>
      </c>
      <c r="F12">
        <v>1</v>
      </c>
      <c r="H12" t="s">
        <v>147</v>
      </c>
    </row>
    <row r="13" spans="1:13">
      <c r="A13" s="2" t="s">
        <v>143</v>
      </c>
      <c r="B13" s="1" t="s">
        <v>145</v>
      </c>
      <c r="C13">
        <f t="shared" si="0"/>
        <v>26</v>
      </c>
      <c r="D13">
        <v>3</v>
      </c>
      <c r="E13">
        <v>5</v>
      </c>
      <c r="F13">
        <v>0.5</v>
      </c>
    </row>
    <row r="14" spans="1:13" ht="37.5">
      <c r="B14" s="1" t="s">
        <v>146</v>
      </c>
      <c r="C14">
        <f t="shared" si="0"/>
        <v>34</v>
      </c>
      <c r="D14">
        <f t="shared" si="1"/>
        <v>0</v>
      </c>
      <c r="E14">
        <v>5</v>
      </c>
      <c r="F14">
        <v>0</v>
      </c>
    </row>
    <row r="15" spans="1:13">
      <c r="C15" t="str">
        <f t="shared" si="0"/>
        <v/>
      </c>
      <c r="H15" t="s">
        <v>188</v>
      </c>
    </row>
    <row r="16" spans="1:13">
      <c r="B16" s="1" t="s">
        <v>186</v>
      </c>
      <c r="C16">
        <f t="shared" si="0"/>
        <v>4</v>
      </c>
    </row>
    <row r="17" spans="1:3">
      <c r="C17" t="str">
        <f t="shared" si="0"/>
        <v/>
      </c>
    </row>
    <row r="18" spans="1:3">
      <c r="C18" t="str">
        <f t="shared" si="0"/>
        <v/>
      </c>
    </row>
    <row r="19" spans="1:3">
      <c r="C19" t="str">
        <f t="shared" si="0"/>
        <v/>
      </c>
    </row>
    <row r="20" spans="1:3">
      <c r="A20" s="2" t="s">
        <v>1</v>
      </c>
      <c r="B20" s="1" t="s">
        <v>3</v>
      </c>
    </row>
    <row r="21" spans="1:3" ht="37.5">
      <c r="A21" s="2" t="s">
        <v>183</v>
      </c>
      <c r="B21" s="1" t="s">
        <v>187</v>
      </c>
      <c r="C21">
        <v>1</v>
      </c>
    </row>
    <row r="22" spans="1:3">
      <c r="A22" s="2" t="s">
        <v>184</v>
      </c>
      <c r="B22" s="1" t="s">
        <v>189</v>
      </c>
      <c r="C22">
        <v>0.5</v>
      </c>
    </row>
    <row r="23" spans="1:3">
      <c r="A23" s="2" t="s">
        <v>185</v>
      </c>
      <c r="B23" s="1" t="s">
        <v>190</v>
      </c>
    </row>
    <row r="24" spans="1:3">
      <c r="B24" s="1" t="s">
        <v>191</v>
      </c>
    </row>
    <row r="25" spans="1:3">
      <c r="C25" t="str">
        <f t="shared" si="0"/>
        <v/>
      </c>
    </row>
    <row r="26" spans="1:3">
      <c r="B26" s="1" t="s">
        <v>192</v>
      </c>
      <c r="C26">
        <f t="shared" si="0"/>
        <v>20</v>
      </c>
    </row>
    <row r="27" spans="1:3">
      <c r="B27" s="1" t="s">
        <v>193</v>
      </c>
      <c r="C27">
        <f t="shared" si="0"/>
        <v>26</v>
      </c>
    </row>
    <row r="28" spans="1:3">
      <c r="B28" s="1" t="s">
        <v>194</v>
      </c>
      <c r="C28">
        <f t="shared" si="0"/>
        <v>31</v>
      </c>
    </row>
    <row r="29" spans="1:3">
      <c r="C29" t="str">
        <f t="shared" si="0"/>
        <v/>
      </c>
    </row>
    <row r="30" spans="1:3">
      <c r="B30" s="1" t="s">
        <v>195</v>
      </c>
      <c r="C30">
        <f t="shared" si="0"/>
        <v>25</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AECE5984-A1F3-465F-AF17-C32F022971DA}"/>
  <phoneticPr fontId="1"/>
  <hyperlinks>
    <hyperlink ref="B9" r:id="rId1" xr:uid="{CE18F807-FFBC-45F7-878A-EF42CD5CE5D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B68B-ED49-4F89-A8C4-EE5AEDDDC9F5}">
  <sheetPr codeName="Sheet7"/>
  <dimension ref="A1:M167"/>
  <sheetViews>
    <sheetView zoomScale="85" zoomScaleNormal="85" workbookViewId="0">
      <pane xSplit="1" ySplit="3" topLeftCell="B7"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53.875" style="1" customWidth="1"/>
    <col min="3" max="3" width="9.75" customWidth="1"/>
  </cols>
  <sheetData>
    <row r="1" spans="1:13">
      <c r="A1" s="2" t="s">
        <v>0</v>
      </c>
      <c r="B1" s="1" t="s">
        <v>106</v>
      </c>
    </row>
    <row r="2" spans="1:13">
      <c r="A2" s="2" t="s">
        <v>2</v>
      </c>
      <c r="B2" s="3" t="s">
        <v>60</v>
      </c>
      <c r="D2">
        <f>SUM(D4:D1000)</f>
        <v>31</v>
      </c>
      <c r="E2">
        <f>SUM(E4:E1000)</f>
        <v>50</v>
      </c>
    </row>
    <row r="3" spans="1:13">
      <c r="A3" s="2" t="s">
        <v>1</v>
      </c>
      <c r="B3" s="1" t="s">
        <v>3</v>
      </c>
      <c r="C3" t="s">
        <v>6</v>
      </c>
      <c r="D3" t="s">
        <v>4</v>
      </c>
      <c r="E3" t="s">
        <v>5</v>
      </c>
    </row>
    <row r="4" spans="1:13">
      <c r="A4" s="2" t="s">
        <v>77</v>
      </c>
      <c r="B4" s="1" t="s">
        <v>155</v>
      </c>
      <c r="C4">
        <f>IF(B4&lt;&gt;"",LEN(B4),"")</f>
        <v>7</v>
      </c>
      <c r="D4">
        <f>E4*F4</f>
        <v>3</v>
      </c>
      <c r="E4">
        <v>3</v>
      </c>
      <c r="F4">
        <v>1</v>
      </c>
      <c r="G4" t="s">
        <v>148</v>
      </c>
      <c r="I4" t="s">
        <v>153</v>
      </c>
      <c r="K4" t="s">
        <v>160</v>
      </c>
      <c r="M4" t="s">
        <v>166</v>
      </c>
    </row>
    <row r="5" spans="1:13">
      <c r="A5" s="2" t="s">
        <v>79</v>
      </c>
      <c r="B5" s="1" t="s">
        <v>158</v>
      </c>
      <c r="C5">
        <f t="shared" ref="C5:C68" si="0">IF(B5&lt;&gt;"",LEN(B5),"")</f>
        <v>3</v>
      </c>
      <c r="D5">
        <f t="shared" ref="D5:D15" si="1">E5*F5</f>
        <v>3</v>
      </c>
      <c r="E5">
        <v>3</v>
      </c>
      <c r="F5">
        <v>1</v>
      </c>
      <c r="G5" t="s">
        <v>149</v>
      </c>
      <c r="I5" t="s">
        <v>154</v>
      </c>
      <c r="K5" t="s">
        <v>161</v>
      </c>
      <c r="M5" t="s">
        <v>167</v>
      </c>
    </row>
    <row r="6" spans="1:13">
      <c r="A6" s="2" t="s">
        <v>143</v>
      </c>
      <c r="B6" s="1" t="s">
        <v>164</v>
      </c>
      <c r="C6">
        <f t="shared" si="0"/>
        <v>5</v>
      </c>
      <c r="D6">
        <f t="shared" si="1"/>
        <v>3</v>
      </c>
      <c r="E6">
        <v>3</v>
      </c>
      <c r="F6">
        <v>1</v>
      </c>
      <c r="G6" t="s">
        <v>150</v>
      </c>
      <c r="I6" t="s">
        <v>156</v>
      </c>
      <c r="K6" t="s">
        <v>162</v>
      </c>
      <c r="M6" t="s">
        <v>168</v>
      </c>
    </row>
    <row r="7" spans="1:13">
      <c r="A7" s="2" t="s">
        <v>48</v>
      </c>
      <c r="B7" s="1" t="s">
        <v>170</v>
      </c>
      <c r="C7">
        <f t="shared" si="0"/>
        <v>1</v>
      </c>
      <c r="D7">
        <f t="shared" si="1"/>
        <v>0</v>
      </c>
      <c r="E7">
        <v>3</v>
      </c>
      <c r="F7">
        <v>0</v>
      </c>
      <c r="G7" t="s">
        <v>151</v>
      </c>
      <c r="I7" t="s">
        <v>157</v>
      </c>
      <c r="K7" t="s">
        <v>163</v>
      </c>
      <c r="M7" t="s">
        <v>169</v>
      </c>
    </row>
    <row r="8" spans="1:13">
      <c r="A8" s="2" t="s">
        <v>51</v>
      </c>
      <c r="B8" s="1" t="s">
        <v>171</v>
      </c>
      <c r="C8">
        <f t="shared" si="0"/>
        <v>1</v>
      </c>
      <c r="D8">
        <f t="shared" si="1"/>
        <v>3</v>
      </c>
      <c r="E8">
        <v>3</v>
      </c>
      <c r="F8">
        <v>1</v>
      </c>
      <c r="G8" t="s">
        <v>152</v>
      </c>
      <c r="I8" t="s">
        <v>159</v>
      </c>
      <c r="K8" t="s">
        <v>165</v>
      </c>
      <c r="M8" t="s">
        <v>177</v>
      </c>
    </row>
    <row r="9" spans="1:13" ht="37.5">
      <c r="A9" s="2" t="s">
        <v>91</v>
      </c>
      <c r="B9" s="1" t="s">
        <v>172</v>
      </c>
      <c r="C9">
        <f t="shared" si="0"/>
        <v>30</v>
      </c>
      <c r="D9">
        <f t="shared" si="1"/>
        <v>6</v>
      </c>
      <c r="E9">
        <v>6</v>
      </c>
      <c r="F9">
        <v>1</v>
      </c>
      <c r="M9" t="s">
        <v>149</v>
      </c>
    </row>
    <row r="10" spans="1:13">
      <c r="A10" s="2" t="s">
        <v>93</v>
      </c>
      <c r="B10" s="1" t="s">
        <v>173</v>
      </c>
      <c r="C10">
        <f t="shared" si="0"/>
        <v>22</v>
      </c>
      <c r="D10">
        <f t="shared" si="1"/>
        <v>0</v>
      </c>
      <c r="E10">
        <v>4</v>
      </c>
      <c r="F10">
        <v>0</v>
      </c>
      <c r="M10" t="s">
        <v>197</v>
      </c>
    </row>
    <row r="11" spans="1:13" ht="37.5">
      <c r="B11" s="1" t="s">
        <v>174</v>
      </c>
      <c r="C11">
        <f t="shared" si="0"/>
        <v>32</v>
      </c>
      <c r="D11">
        <f t="shared" si="1"/>
        <v>0</v>
      </c>
      <c r="E11">
        <v>4</v>
      </c>
      <c r="F11">
        <v>0</v>
      </c>
      <c r="M11" t="s">
        <v>198</v>
      </c>
    </row>
    <row r="12" spans="1:13">
      <c r="A12" s="2" t="s">
        <v>175</v>
      </c>
      <c r="B12" s="1" t="s">
        <v>176</v>
      </c>
      <c r="C12">
        <f t="shared" si="0"/>
        <v>1</v>
      </c>
      <c r="D12">
        <f t="shared" si="1"/>
        <v>0</v>
      </c>
      <c r="E12">
        <v>3</v>
      </c>
      <c r="F12">
        <v>0</v>
      </c>
    </row>
    <row r="13" spans="1:13" ht="37.5">
      <c r="A13" s="2" t="s">
        <v>178</v>
      </c>
      <c r="B13" s="1" t="s">
        <v>179</v>
      </c>
      <c r="C13">
        <f t="shared" si="0"/>
        <v>33</v>
      </c>
      <c r="D13">
        <f t="shared" si="1"/>
        <v>3</v>
      </c>
      <c r="E13">
        <v>6</v>
      </c>
      <c r="F13">
        <v>0.5</v>
      </c>
    </row>
    <row r="14" spans="1:13" ht="37.5">
      <c r="A14" s="2" t="s">
        <v>180</v>
      </c>
      <c r="B14" s="1" t="s">
        <v>181</v>
      </c>
      <c r="C14">
        <f t="shared" si="0"/>
        <v>45</v>
      </c>
      <c r="D14">
        <f t="shared" si="1"/>
        <v>6</v>
      </c>
      <c r="E14">
        <v>6</v>
      </c>
      <c r="F14">
        <v>1</v>
      </c>
    </row>
    <row r="15" spans="1:13" ht="37.5">
      <c r="B15" s="1" t="s">
        <v>182</v>
      </c>
      <c r="C15">
        <f t="shared" si="0"/>
        <v>50</v>
      </c>
      <c r="D15">
        <f t="shared" si="1"/>
        <v>0</v>
      </c>
      <c r="E15">
        <v>6</v>
      </c>
      <c r="F15">
        <v>0</v>
      </c>
    </row>
    <row r="16" spans="1:13">
      <c r="C16" t="str">
        <f t="shared" si="0"/>
        <v/>
      </c>
    </row>
    <row r="17" spans="1:9">
      <c r="C17" t="str">
        <f t="shared" si="0"/>
        <v/>
      </c>
    </row>
    <row r="18" spans="1:9">
      <c r="B18" s="1" t="s">
        <v>196</v>
      </c>
      <c r="C18">
        <f t="shared" si="0"/>
        <v>3</v>
      </c>
    </row>
    <row r="19" spans="1:9">
      <c r="A19" s="2" t="s">
        <v>48</v>
      </c>
      <c r="B19" s="1" t="s">
        <v>176</v>
      </c>
      <c r="C19">
        <f t="shared" si="0"/>
        <v>1</v>
      </c>
      <c r="D19">
        <v>1</v>
      </c>
      <c r="I19" t="s">
        <v>199</v>
      </c>
    </row>
    <row r="20" spans="1:9">
      <c r="A20" s="2" t="s">
        <v>93</v>
      </c>
      <c r="B20" s="1" t="s">
        <v>201</v>
      </c>
      <c r="C20">
        <f t="shared" si="0"/>
        <v>28</v>
      </c>
      <c r="D20">
        <v>1</v>
      </c>
      <c r="I20" t="s">
        <v>203</v>
      </c>
    </row>
    <row r="21" spans="1:9" ht="37.5">
      <c r="B21" s="1" t="s">
        <v>200</v>
      </c>
      <c r="C21">
        <f t="shared" si="0"/>
        <v>40</v>
      </c>
      <c r="D21">
        <v>1</v>
      </c>
      <c r="I21" t="s">
        <v>204</v>
      </c>
    </row>
    <row r="22" spans="1:9">
      <c r="A22" s="2" t="s">
        <v>175</v>
      </c>
      <c r="B22" s="1" t="s">
        <v>202</v>
      </c>
      <c r="C22">
        <f t="shared" si="0"/>
        <v>1</v>
      </c>
      <c r="D22">
        <v>1</v>
      </c>
      <c r="I22" t="s">
        <v>205</v>
      </c>
    </row>
    <row r="23" spans="1:9">
      <c r="A23" s="2" t="s">
        <v>178</v>
      </c>
      <c r="B23" s="1" t="s">
        <v>207</v>
      </c>
      <c r="C23">
        <f t="shared" si="0"/>
        <v>31</v>
      </c>
      <c r="I23" t="s">
        <v>206</v>
      </c>
    </row>
    <row r="24" spans="1:9" ht="37.5">
      <c r="A24" s="2" t="s">
        <v>180</v>
      </c>
      <c r="B24" s="1" t="s">
        <v>208</v>
      </c>
      <c r="C24">
        <f t="shared" si="0"/>
        <v>43</v>
      </c>
    </row>
    <row r="25" spans="1:9">
      <c r="C25" t="str">
        <f t="shared" si="0"/>
        <v/>
      </c>
    </row>
    <row r="26" spans="1:9">
      <c r="C26" t="str">
        <f t="shared" si="0"/>
        <v/>
      </c>
    </row>
    <row r="27" spans="1:9">
      <c r="C27" t="str">
        <f t="shared" si="0"/>
        <v/>
      </c>
    </row>
    <row r="28" spans="1:9">
      <c r="C28" t="str">
        <f t="shared" si="0"/>
        <v/>
      </c>
    </row>
    <row r="29" spans="1:9">
      <c r="C29" t="str">
        <f t="shared" si="0"/>
        <v/>
      </c>
    </row>
    <row r="30" spans="1:9">
      <c r="C30" t="str">
        <f t="shared" si="0"/>
        <v/>
      </c>
    </row>
    <row r="31" spans="1:9">
      <c r="C31" t="str">
        <f t="shared" si="0"/>
        <v/>
      </c>
    </row>
    <row r="32" spans="1:9">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autoFilter ref="A3:M167" xr:uid="{D668B68B-ED49-4F89-A8C4-EE5AEDDDC9F5}"/>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9F301-FE55-4F56-BB31-63C8F44DB1F0}">
  <sheetPr codeName="Sheet8"/>
  <dimension ref="A1:K167"/>
  <sheetViews>
    <sheetView zoomScale="115" zoomScaleNormal="115" workbookViewId="0">
      <pane xSplit="1" ySplit="3" topLeftCell="B4" activePane="bottomRight" state="frozen"/>
      <selection activeCell="C24" sqref="C24"/>
      <selection pane="topRight" activeCell="C24" sqref="C24"/>
      <selection pane="bottomLeft" activeCell="C24" sqref="C24"/>
      <selection pane="bottomRight" activeCell="C24" sqref="C24"/>
    </sheetView>
  </sheetViews>
  <sheetFormatPr defaultRowHeight="18.75"/>
  <cols>
    <col min="1" max="1" width="9" style="2"/>
    <col min="2" max="2" width="66" style="1" customWidth="1"/>
    <col min="3" max="3" width="9.75" customWidth="1"/>
  </cols>
  <sheetData>
    <row r="1" spans="1:11">
      <c r="A1" s="2" t="s">
        <v>0</v>
      </c>
      <c r="B1" s="1" t="s">
        <v>13</v>
      </c>
    </row>
    <row r="2" spans="1:11">
      <c r="A2" s="2" t="s">
        <v>2</v>
      </c>
      <c r="B2" s="3" t="s">
        <v>209</v>
      </c>
      <c r="D2">
        <f>SUM(D4:D1000)</f>
        <v>33</v>
      </c>
      <c r="E2">
        <f>SUM(E4:E1000)</f>
        <v>50</v>
      </c>
    </row>
    <row r="3" spans="1:11">
      <c r="A3" s="2" t="s">
        <v>1</v>
      </c>
      <c r="B3" s="1" t="s">
        <v>3</v>
      </c>
      <c r="C3" t="s">
        <v>6</v>
      </c>
      <c r="D3" t="s">
        <v>4</v>
      </c>
      <c r="E3" t="s">
        <v>5</v>
      </c>
    </row>
    <row r="4" spans="1:11">
      <c r="A4" s="2" t="s">
        <v>77</v>
      </c>
      <c r="B4" s="1">
        <v>9</v>
      </c>
      <c r="C4">
        <f>IF(B4&lt;&gt;"",LEN(B4),"")</f>
        <v>1</v>
      </c>
      <c r="D4">
        <f>E4*F4</f>
        <v>3</v>
      </c>
      <c r="E4">
        <v>3</v>
      </c>
      <c r="F4">
        <v>1</v>
      </c>
      <c r="G4" t="s">
        <v>210</v>
      </c>
      <c r="I4" t="s">
        <v>215</v>
      </c>
      <c r="K4" t="s">
        <v>220</v>
      </c>
    </row>
    <row r="5" spans="1:11" ht="75">
      <c r="A5" s="2" t="s">
        <v>79</v>
      </c>
      <c r="B5" s="1" t="s">
        <v>221</v>
      </c>
      <c r="C5">
        <f t="shared" ref="C5:C68" si="0">IF(B5&lt;&gt;"",LEN(B5),"")</f>
        <v>114</v>
      </c>
      <c r="D5">
        <f t="shared" ref="D5:D16" si="1">E5*F5</f>
        <v>3</v>
      </c>
      <c r="E5">
        <v>5</v>
      </c>
      <c r="F5">
        <v>0.6</v>
      </c>
      <c r="G5" t="s">
        <v>211</v>
      </c>
      <c r="I5" t="s">
        <v>216</v>
      </c>
    </row>
    <row r="6" spans="1:11" ht="56.25">
      <c r="A6" s="2" t="s">
        <v>32</v>
      </c>
      <c r="B6" s="1" t="s">
        <v>222</v>
      </c>
      <c r="C6">
        <f t="shared" si="0"/>
        <v>84</v>
      </c>
      <c r="D6">
        <f t="shared" si="1"/>
        <v>0</v>
      </c>
      <c r="E6">
        <v>5</v>
      </c>
      <c r="F6">
        <v>0</v>
      </c>
      <c r="G6" t="s">
        <v>212</v>
      </c>
      <c r="I6" t="s">
        <v>217</v>
      </c>
    </row>
    <row r="7" spans="1:11">
      <c r="A7" s="2" t="s">
        <v>34</v>
      </c>
      <c r="B7" s="1" t="s">
        <v>223</v>
      </c>
      <c r="C7">
        <f t="shared" si="0"/>
        <v>3</v>
      </c>
      <c r="D7">
        <f t="shared" si="1"/>
        <v>2</v>
      </c>
      <c r="E7">
        <v>2</v>
      </c>
      <c r="F7">
        <v>1</v>
      </c>
      <c r="G7" t="s">
        <v>213</v>
      </c>
      <c r="I7" t="s">
        <v>218</v>
      </c>
    </row>
    <row r="8" spans="1:11">
      <c r="B8" s="1" t="s">
        <v>224</v>
      </c>
      <c r="C8">
        <f t="shared" si="0"/>
        <v>3</v>
      </c>
      <c r="D8">
        <f t="shared" si="1"/>
        <v>2</v>
      </c>
      <c r="E8">
        <v>2</v>
      </c>
      <c r="F8">
        <v>1</v>
      </c>
      <c r="G8" t="s">
        <v>214</v>
      </c>
      <c r="I8" t="s">
        <v>219</v>
      </c>
    </row>
    <row r="9" spans="1:11">
      <c r="B9" s="1" t="s">
        <v>225</v>
      </c>
      <c r="C9">
        <f t="shared" si="0"/>
        <v>3</v>
      </c>
      <c r="D9">
        <f t="shared" si="1"/>
        <v>2</v>
      </c>
      <c r="E9">
        <v>2</v>
      </c>
      <c r="F9">
        <v>1</v>
      </c>
    </row>
    <row r="10" spans="1:11">
      <c r="B10" s="1" t="s">
        <v>226</v>
      </c>
      <c r="C10">
        <f t="shared" si="0"/>
        <v>3</v>
      </c>
      <c r="D10">
        <f t="shared" si="1"/>
        <v>2</v>
      </c>
      <c r="E10">
        <v>2</v>
      </c>
      <c r="F10">
        <v>1</v>
      </c>
    </row>
    <row r="11" spans="1:11">
      <c r="A11" s="2" t="s">
        <v>227</v>
      </c>
      <c r="B11" s="1" t="s">
        <v>228</v>
      </c>
      <c r="C11">
        <f t="shared" si="0"/>
        <v>27</v>
      </c>
      <c r="D11">
        <f t="shared" si="1"/>
        <v>4</v>
      </c>
      <c r="E11">
        <v>4</v>
      </c>
      <c r="F11">
        <v>1</v>
      </c>
    </row>
    <row r="12" spans="1:11">
      <c r="A12" s="2" t="s">
        <v>229</v>
      </c>
      <c r="B12" s="1" t="s">
        <v>230</v>
      </c>
      <c r="C12">
        <f t="shared" si="0"/>
        <v>33</v>
      </c>
      <c r="D12">
        <f t="shared" si="1"/>
        <v>5</v>
      </c>
      <c r="E12">
        <v>5</v>
      </c>
      <c r="F12">
        <v>1</v>
      </c>
    </row>
    <row r="13" spans="1:11">
      <c r="A13" s="2" t="s">
        <v>231</v>
      </c>
      <c r="B13" s="1" t="s">
        <v>232</v>
      </c>
      <c r="C13">
        <f t="shared" si="0"/>
        <v>31</v>
      </c>
      <c r="D13">
        <f t="shared" si="1"/>
        <v>5</v>
      </c>
      <c r="E13">
        <v>5</v>
      </c>
      <c r="F13">
        <v>1</v>
      </c>
    </row>
    <row r="14" spans="1:11">
      <c r="A14" s="2" t="s">
        <v>233</v>
      </c>
      <c r="B14" s="1" t="s">
        <v>234</v>
      </c>
      <c r="C14">
        <f t="shared" si="0"/>
        <v>35</v>
      </c>
      <c r="D14">
        <f t="shared" si="1"/>
        <v>5</v>
      </c>
      <c r="E14">
        <v>5</v>
      </c>
      <c r="F14">
        <v>1</v>
      </c>
    </row>
    <row r="15" spans="1:11" ht="56.25">
      <c r="A15" s="2" t="s">
        <v>235</v>
      </c>
      <c r="B15" s="1" t="s">
        <v>236</v>
      </c>
      <c r="C15">
        <f t="shared" si="0"/>
        <v>79</v>
      </c>
      <c r="D15">
        <f t="shared" si="1"/>
        <v>0</v>
      </c>
      <c r="E15">
        <v>5</v>
      </c>
      <c r="F15">
        <v>0</v>
      </c>
    </row>
    <row r="16" spans="1:11">
      <c r="A16" s="2" t="s">
        <v>237</v>
      </c>
      <c r="B16" s="1" t="s">
        <v>238</v>
      </c>
      <c r="C16">
        <f t="shared" si="0"/>
        <v>30</v>
      </c>
      <c r="D16">
        <f t="shared" si="1"/>
        <v>0</v>
      </c>
      <c r="E16">
        <v>5</v>
      </c>
      <c r="F16">
        <v>0</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1BEB0-A0CE-4826-A893-25C1851F01D7}">
  <sheetPr codeName="Sheet9"/>
  <dimension ref="A1:O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2.75" style="1" customWidth="1"/>
    <col min="3" max="3" width="9.75" customWidth="1"/>
  </cols>
  <sheetData>
    <row r="1" spans="1:15">
      <c r="A1" s="2" t="s">
        <v>0</v>
      </c>
      <c r="B1" s="1" t="s">
        <v>106</v>
      </c>
    </row>
    <row r="2" spans="1:15">
      <c r="A2" s="2" t="s">
        <v>2</v>
      </c>
      <c r="B2" s="3" t="s">
        <v>15</v>
      </c>
      <c r="D2">
        <f>SUM(D4:D1000)</f>
        <v>40</v>
      </c>
      <c r="E2">
        <f>SUM(E4:E1000)</f>
        <v>50</v>
      </c>
    </row>
    <row r="3" spans="1:15">
      <c r="A3" s="2" t="s">
        <v>1</v>
      </c>
      <c r="B3" s="1" t="s">
        <v>3</v>
      </c>
      <c r="C3" t="s">
        <v>6</v>
      </c>
      <c r="D3" t="s">
        <v>4</v>
      </c>
      <c r="E3" t="s">
        <v>5</v>
      </c>
    </row>
    <row r="4" spans="1:15">
      <c r="A4" s="2" t="s">
        <v>77</v>
      </c>
      <c r="B4" s="1" t="s">
        <v>263</v>
      </c>
      <c r="C4">
        <f>IF(B4&lt;&gt;"",LEN(B4),"")</f>
        <v>7</v>
      </c>
      <c r="D4">
        <f>E4*F4</f>
        <v>3</v>
      </c>
      <c r="E4">
        <v>3</v>
      </c>
      <c r="F4">
        <v>1</v>
      </c>
      <c r="G4" t="s">
        <v>240</v>
      </c>
      <c r="I4" t="s">
        <v>111</v>
      </c>
      <c r="K4" t="s">
        <v>249</v>
      </c>
      <c r="M4" t="s">
        <v>254</v>
      </c>
      <c r="O4" t="s">
        <v>258</v>
      </c>
    </row>
    <row r="5" spans="1:15">
      <c r="A5" s="2" t="s">
        <v>79</v>
      </c>
      <c r="B5" s="1" t="s">
        <v>264</v>
      </c>
      <c r="C5">
        <f t="shared" ref="C5:C68" si="0">IF(B5&lt;&gt;"",LEN(B5),"")</f>
        <v>9</v>
      </c>
      <c r="D5">
        <f t="shared" ref="D5:D14" si="1">E5*F5</f>
        <v>3</v>
      </c>
      <c r="E5">
        <v>3</v>
      </c>
      <c r="F5">
        <v>1</v>
      </c>
      <c r="G5" t="s">
        <v>241</v>
      </c>
      <c r="I5" t="s">
        <v>245</v>
      </c>
      <c r="K5" t="s">
        <v>250</v>
      </c>
      <c r="M5" t="s">
        <v>255</v>
      </c>
      <c r="O5" t="s">
        <v>259</v>
      </c>
    </row>
    <row r="6" spans="1:15">
      <c r="A6" s="2" t="s">
        <v>81</v>
      </c>
      <c r="B6" s="1" t="s">
        <v>128</v>
      </c>
      <c r="C6">
        <f t="shared" si="0"/>
        <v>12</v>
      </c>
      <c r="D6">
        <f t="shared" si="1"/>
        <v>3</v>
      </c>
      <c r="E6">
        <v>3</v>
      </c>
      <c r="F6">
        <v>1</v>
      </c>
      <c r="G6" t="s">
        <v>242</v>
      </c>
      <c r="I6" t="s">
        <v>246</v>
      </c>
      <c r="K6" t="s">
        <v>251</v>
      </c>
      <c r="M6" t="s">
        <v>256</v>
      </c>
      <c r="O6" t="s">
        <v>260</v>
      </c>
    </row>
    <row r="7" spans="1:15">
      <c r="A7" s="2" t="s">
        <v>129</v>
      </c>
      <c r="B7" s="1" t="s">
        <v>265</v>
      </c>
      <c r="C7">
        <f t="shared" si="0"/>
        <v>6</v>
      </c>
      <c r="D7">
        <f t="shared" si="1"/>
        <v>3</v>
      </c>
      <c r="E7">
        <v>3</v>
      </c>
      <c r="F7">
        <v>1</v>
      </c>
      <c r="G7" t="s">
        <v>243</v>
      </c>
      <c r="I7" t="s">
        <v>247</v>
      </c>
      <c r="K7" t="s">
        <v>252</v>
      </c>
      <c r="M7" t="s">
        <v>257</v>
      </c>
      <c r="O7" t="s">
        <v>261</v>
      </c>
    </row>
    <row r="8" spans="1:15" ht="56.25">
      <c r="A8" s="2" t="s">
        <v>131</v>
      </c>
      <c r="B8" s="1" t="s">
        <v>266</v>
      </c>
      <c r="C8">
        <f t="shared" si="0"/>
        <v>74</v>
      </c>
      <c r="D8">
        <f t="shared" si="1"/>
        <v>6</v>
      </c>
      <c r="E8">
        <v>6</v>
      </c>
      <c r="F8">
        <v>1</v>
      </c>
      <c r="G8" t="s">
        <v>244</v>
      </c>
      <c r="I8" t="s">
        <v>248</v>
      </c>
      <c r="K8" t="s">
        <v>253</v>
      </c>
      <c r="M8" t="s">
        <v>256</v>
      </c>
      <c r="O8" t="s">
        <v>262</v>
      </c>
    </row>
    <row r="9" spans="1:15" ht="37.5">
      <c r="A9" s="2" t="s">
        <v>133</v>
      </c>
      <c r="B9" s="1" t="s">
        <v>268</v>
      </c>
      <c r="C9">
        <f t="shared" si="0"/>
        <v>41</v>
      </c>
      <c r="D9">
        <f t="shared" si="1"/>
        <v>6</v>
      </c>
      <c r="E9">
        <v>6</v>
      </c>
      <c r="F9">
        <v>1</v>
      </c>
      <c r="G9" t="s">
        <v>267</v>
      </c>
    </row>
    <row r="10" spans="1:15" ht="37.5">
      <c r="A10" s="2" t="s">
        <v>135</v>
      </c>
      <c r="B10" s="1" t="s">
        <v>269</v>
      </c>
      <c r="C10">
        <f t="shared" si="0"/>
        <v>38</v>
      </c>
      <c r="D10">
        <f t="shared" si="1"/>
        <v>6</v>
      </c>
      <c r="E10">
        <v>6</v>
      </c>
      <c r="F10">
        <v>1</v>
      </c>
    </row>
    <row r="11" spans="1:15">
      <c r="A11" s="2" t="s">
        <v>140</v>
      </c>
      <c r="B11" s="1" t="s">
        <v>270</v>
      </c>
      <c r="C11">
        <f t="shared" si="0"/>
        <v>27</v>
      </c>
      <c r="D11">
        <f t="shared" si="1"/>
        <v>0</v>
      </c>
      <c r="E11">
        <v>5</v>
      </c>
      <c r="F11">
        <v>0</v>
      </c>
      <c r="G11" t="s">
        <v>271</v>
      </c>
    </row>
    <row r="12" spans="1:15">
      <c r="B12" s="1" t="s">
        <v>272</v>
      </c>
      <c r="C12">
        <f t="shared" si="0"/>
        <v>24</v>
      </c>
      <c r="D12">
        <f t="shared" si="1"/>
        <v>5</v>
      </c>
      <c r="E12">
        <v>5</v>
      </c>
      <c r="F12">
        <v>1</v>
      </c>
    </row>
    <row r="13" spans="1:15">
      <c r="A13" s="2" t="s">
        <v>143</v>
      </c>
      <c r="B13" s="1" t="s">
        <v>273</v>
      </c>
      <c r="C13">
        <f t="shared" si="0"/>
        <v>25</v>
      </c>
      <c r="D13">
        <f t="shared" si="1"/>
        <v>5</v>
      </c>
      <c r="E13">
        <v>5</v>
      </c>
      <c r="F13">
        <v>1</v>
      </c>
    </row>
    <row r="14" spans="1:15">
      <c r="B14" s="1" t="s">
        <v>274</v>
      </c>
      <c r="C14">
        <f t="shared" si="0"/>
        <v>29</v>
      </c>
      <c r="D14">
        <f t="shared" si="1"/>
        <v>0</v>
      </c>
      <c r="E14">
        <v>5</v>
      </c>
      <c r="F14">
        <v>0</v>
      </c>
    </row>
    <row r="15" spans="1:15">
      <c r="C15" t="str">
        <f t="shared" si="0"/>
        <v/>
      </c>
    </row>
    <row r="16" spans="1: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C4DA6-29DE-49D7-80A8-951103098717}">
  <sheetPr codeName="Sheet10"/>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875" style="1" customWidth="1"/>
    <col min="3" max="3" width="9.75" customWidth="1"/>
  </cols>
  <sheetData>
    <row r="1" spans="1:11">
      <c r="A1" s="2" t="s">
        <v>0</v>
      </c>
      <c r="B1" s="1" t="s">
        <v>106</v>
      </c>
      <c r="I1" t="s">
        <v>304</v>
      </c>
    </row>
    <row r="2" spans="1:11">
      <c r="A2" s="2" t="s">
        <v>2</v>
      </c>
      <c r="B2" s="3" t="s">
        <v>209</v>
      </c>
      <c r="D2">
        <f>SUM(D4:D1000)</f>
        <v>29</v>
      </c>
      <c r="E2">
        <f>SUM(E4:E1000)</f>
        <v>50</v>
      </c>
    </row>
    <row r="3" spans="1:11">
      <c r="A3" s="2" t="s">
        <v>1</v>
      </c>
      <c r="B3" s="1" t="s">
        <v>3</v>
      </c>
      <c r="C3" t="s">
        <v>6</v>
      </c>
      <c r="D3" t="s">
        <v>4</v>
      </c>
      <c r="E3" t="s">
        <v>5</v>
      </c>
    </row>
    <row r="4" spans="1:11">
      <c r="A4" s="2" t="s">
        <v>19</v>
      </c>
      <c r="B4" s="1" t="s">
        <v>284</v>
      </c>
      <c r="C4">
        <f>IF(B4&lt;&gt;"",LEN(B4),"")</f>
        <v>4</v>
      </c>
      <c r="D4">
        <f>E4*F4</f>
        <v>3</v>
      </c>
      <c r="E4">
        <v>3</v>
      </c>
      <c r="F4">
        <v>1</v>
      </c>
      <c r="G4" t="s">
        <v>275</v>
      </c>
      <c r="I4" t="s">
        <v>280</v>
      </c>
      <c r="K4" t="s">
        <v>289</v>
      </c>
    </row>
    <row r="5" spans="1:11">
      <c r="B5" s="1" t="s">
        <v>285</v>
      </c>
      <c r="C5">
        <f t="shared" ref="C5:C68" si="0">IF(B5&lt;&gt;"",LEN(B5),"")</f>
        <v>6</v>
      </c>
      <c r="D5">
        <f t="shared" ref="D5:D20" si="1">E5*F5</f>
        <v>3</v>
      </c>
      <c r="E5">
        <v>3</v>
      </c>
      <c r="F5">
        <v>1</v>
      </c>
      <c r="G5" t="s">
        <v>276</v>
      </c>
      <c r="I5" t="s">
        <v>281</v>
      </c>
    </row>
    <row r="6" spans="1:11">
      <c r="B6" s="1" t="s">
        <v>286</v>
      </c>
      <c r="C6">
        <f t="shared" si="0"/>
        <v>5</v>
      </c>
      <c r="D6">
        <f t="shared" si="1"/>
        <v>0</v>
      </c>
      <c r="E6">
        <v>3</v>
      </c>
      <c r="F6">
        <v>0</v>
      </c>
      <c r="G6" t="s">
        <v>277</v>
      </c>
      <c r="I6" t="s">
        <v>282</v>
      </c>
    </row>
    <row r="7" spans="1:11">
      <c r="B7" s="1" t="s">
        <v>287</v>
      </c>
      <c r="C7">
        <f t="shared" si="0"/>
        <v>4</v>
      </c>
      <c r="D7">
        <f t="shared" si="1"/>
        <v>3</v>
      </c>
      <c r="E7">
        <v>3</v>
      </c>
      <c r="F7">
        <v>1</v>
      </c>
      <c r="G7" t="s">
        <v>278</v>
      </c>
      <c r="I7" t="s">
        <v>283</v>
      </c>
    </row>
    <row r="8" spans="1:11">
      <c r="B8" s="1" t="s">
        <v>288</v>
      </c>
      <c r="C8">
        <f t="shared" si="0"/>
        <v>14</v>
      </c>
      <c r="D8">
        <f t="shared" si="1"/>
        <v>3</v>
      </c>
      <c r="E8">
        <v>3</v>
      </c>
      <c r="F8">
        <v>1</v>
      </c>
      <c r="G8" t="s">
        <v>279</v>
      </c>
    </row>
    <row r="9" spans="1:11">
      <c r="A9" s="2" t="s">
        <v>32</v>
      </c>
      <c r="B9" s="1" t="s">
        <v>290</v>
      </c>
      <c r="C9">
        <f t="shared" si="0"/>
        <v>9</v>
      </c>
      <c r="D9">
        <f t="shared" si="1"/>
        <v>0</v>
      </c>
      <c r="E9">
        <v>8</v>
      </c>
      <c r="F9">
        <v>0</v>
      </c>
    </row>
    <row r="10" spans="1:11">
      <c r="B10" s="1" t="s">
        <v>291</v>
      </c>
      <c r="C10">
        <f t="shared" si="0"/>
        <v>4</v>
      </c>
      <c r="D10">
        <f t="shared" si="1"/>
        <v>0</v>
      </c>
    </row>
    <row r="11" spans="1:11">
      <c r="B11" s="1" t="s">
        <v>292</v>
      </c>
      <c r="C11">
        <f t="shared" si="0"/>
        <v>5</v>
      </c>
      <c r="D11">
        <f t="shared" si="1"/>
        <v>0</v>
      </c>
    </row>
    <row r="12" spans="1:11">
      <c r="B12" s="1" t="s">
        <v>293</v>
      </c>
      <c r="C12">
        <f t="shared" si="0"/>
        <v>9</v>
      </c>
      <c r="D12">
        <f t="shared" si="1"/>
        <v>0</v>
      </c>
    </row>
    <row r="13" spans="1:11">
      <c r="B13" s="1" t="s">
        <v>294</v>
      </c>
      <c r="C13">
        <f t="shared" si="0"/>
        <v>2</v>
      </c>
      <c r="D13">
        <f t="shared" si="1"/>
        <v>0</v>
      </c>
    </row>
    <row r="14" spans="1:11">
      <c r="B14" s="1" t="s">
        <v>295</v>
      </c>
      <c r="C14">
        <f t="shared" si="0"/>
        <v>9</v>
      </c>
      <c r="D14">
        <f t="shared" si="1"/>
        <v>0</v>
      </c>
    </row>
    <row r="15" spans="1:11">
      <c r="B15" s="1" t="s">
        <v>296</v>
      </c>
      <c r="C15">
        <f t="shared" si="0"/>
        <v>7</v>
      </c>
      <c r="D15">
        <f t="shared" si="1"/>
        <v>0</v>
      </c>
    </row>
    <row r="16" spans="1:11">
      <c r="A16" s="2" t="s">
        <v>34</v>
      </c>
      <c r="B16" s="1" t="s">
        <v>297</v>
      </c>
      <c r="C16">
        <f t="shared" si="0"/>
        <v>14</v>
      </c>
      <c r="D16">
        <f t="shared" si="1"/>
        <v>3</v>
      </c>
      <c r="E16">
        <v>3</v>
      </c>
      <c r="F16">
        <v>1</v>
      </c>
    </row>
    <row r="17" spans="1:6">
      <c r="B17" s="1" t="s">
        <v>298</v>
      </c>
      <c r="C17">
        <f t="shared" si="0"/>
        <v>3</v>
      </c>
      <c r="D17">
        <f t="shared" si="1"/>
        <v>3</v>
      </c>
      <c r="E17">
        <v>3</v>
      </c>
      <c r="F17">
        <v>1</v>
      </c>
    </row>
    <row r="18" spans="1:6" ht="37.5">
      <c r="A18" s="2" t="s">
        <v>39</v>
      </c>
      <c r="B18" s="4" t="s">
        <v>299</v>
      </c>
      <c r="C18">
        <f t="shared" si="0"/>
        <v>42</v>
      </c>
      <c r="D18">
        <v>5</v>
      </c>
      <c r="E18">
        <v>9</v>
      </c>
      <c r="F18">
        <v>0.5</v>
      </c>
    </row>
    <row r="19" spans="1:6" ht="37.5">
      <c r="A19" s="2" t="s">
        <v>48</v>
      </c>
      <c r="B19" s="1" t="s">
        <v>300</v>
      </c>
      <c r="C19">
        <f t="shared" si="0"/>
        <v>32</v>
      </c>
      <c r="D19">
        <f t="shared" si="1"/>
        <v>0</v>
      </c>
      <c r="E19">
        <v>6</v>
      </c>
      <c r="F19">
        <v>0</v>
      </c>
    </row>
    <row r="20" spans="1:6">
      <c r="A20" s="2" t="s">
        <v>51</v>
      </c>
      <c r="B20" s="1" t="s">
        <v>301</v>
      </c>
      <c r="C20">
        <f t="shared" si="0"/>
        <v>25</v>
      </c>
      <c r="D20">
        <f t="shared" si="1"/>
        <v>6</v>
      </c>
      <c r="E20">
        <v>6</v>
      </c>
      <c r="F20">
        <v>1</v>
      </c>
    </row>
    <row r="21" spans="1:6">
      <c r="C21" t="str">
        <f t="shared" si="0"/>
        <v/>
      </c>
    </row>
    <row r="22" spans="1:6">
      <c r="C22" t="str">
        <f t="shared" si="0"/>
        <v/>
      </c>
    </row>
    <row r="23" spans="1:6">
      <c r="C23" t="str">
        <f t="shared" si="0"/>
        <v/>
      </c>
    </row>
    <row r="24" spans="1:6">
      <c r="A24" s="2" t="s">
        <v>302</v>
      </c>
      <c r="B24" s="1" t="s">
        <v>303</v>
      </c>
      <c r="C24">
        <f t="shared" si="0"/>
        <v>5</v>
      </c>
    </row>
    <row r="25" spans="1:6">
      <c r="A25" s="2" t="s">
        <v>32</v>
      </c>
      <c r="B25" s="1" t="s">
        <v>305</v>
      </c>
      <c r="C25">
        <f t="shared" si="0"/>
        <v>9</v>
      </c>
    </row>
    <row r="26" spans="1:6">
      <c r="B26" s="1" t="s">
        <v>306</v>
      </c>
      <c r="C26">
        <f t="shared" si="0"/>
        <v>3</v>
      </c>
    </row>
    <row r="27" spans="1:6">
      <c r="B27" s="1" t="s">
        <v>307</v>
      </c>
      <c r="C27">
        <f t="shared" si="0"/>
        <v>5</v>
      </c>
    </row>
    <row r="28" spans="1:6">
      <c r="B28" s="1" t="s">
        <v>308</v>
      </c>
      <c r="C28">
        <f t="shared" si="0"/>
        <v>5</v>
      </c>
    </row>
    <row r="29" spans="1:6">
      <c r="B29" s="1" t="s">
        <v>309</v>
      </c>
      <c r="C29">
        <f t="shared" si="0"/>
        <v>4</v>
      </c>
    </row>
    <row r="30" spans="1:6">
      <c r="B30" s="1" t="s">
        <v>310</v>
      </c>
      <c r="C30">
        <f t="shared" si="0"/>
        <v>2</v>
      </c>
    </row>
    <row r="31" spans="1:6">
      <c r="B31" s="1" t="s">
        <v>311</v>
      </c>
      <c r="C31">
        <f t="shared" si="0"/>
        <v>9</v>
      </c>
    </row>
    <row r="32" spans="1:6" ht="56.25">
      <c r="A32" s="2" t="s">
        <v>312</v>
      </c>
      <c r="B32" s="1" t="s">
        <v>313</v>
      </c>
      <c r="C32">
        <f t="shared" si="0"/>
        <v>79</v>
      </c>
    </row>
    <row r="33" spans="1:3" ht="37.5">
      <c r="A33" s="2" t="s">
        <v>314</v>
      </c>
      <c r="B33" s="1" t="s">
        <v>315</v>
      </c>
      <c r="C33">
        <f t="shared" si="0"/>
        <v>33</v>
      </c>
    </row>
    <row r="34" spans="1:3" ht="37.5">
      <c r="B34" s="1" t="s">
        <v>316</v>
      </c>
      <c r="C34">
        <f t="shared" si="0"/>
        <v>32</v>
      </c>
    </row>
    <row r="35" spans="1:3" ht="37.5">
      <c r="B35" s="1" t="s">
        <v>317</v>
      </c>
      <c r="C35">
        <f t="shared" si="0"/>
        <v>32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18" r:id="rId1" xr:uid="{7AC0A9A5-E6D4-4772-9DFF-5286E5152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0DA9-FFDF-49B6-AAD7-4A255E22CAC7}">
  <sheetPr codeName="Sheet11"/>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5.75" style="1" customWidth="1"/>
    <col min="3" max="3" width="9.75" customWidth="1"/>
  </cols>
  <sheetData>
    <row r="1" spans="1:11">
      <c r="A1" s="2" t="s">
        <v>0</v>
      </c>
      <c r="B1" s="1" t="s">
        <v>13</v>
      </c>
    </row>
    <row r="2" spans="1:11">
      <c r="A2" s="2" t="s">
        <v>2</v>
      </c>
      <c r="B2" s="3" t="s">
        <v>319</v>
      </c>
      <c r="D2">
        <f>SUM(D4:D1000)</f>
        <v>39</v>
      </c>
      <c r="E2">
        <f>SUM(E4:E1000)</f>
        <v>50</v>
      </c>
    </row>
    <row r="3" spans="1:11">
      <c r="A3" s="2" t="s">
        <v>1</v>
      </c>
      <c r="B3" s="1" t="s">
        <v>3</v>
      </c>
      <c r="C3" t="s">
        <v>6</v>
      </c>
      <c r="D3" t="s">
        <v>4</v>
      </c>
      <c r="E3" t="s">
        <v>5</v>
      </c>
    </row>
    <row r="4" spans="1:11">
      <c r="A4" s="2" t="s">
        <v>77</v>
      </c>
      <c r="B4" s="1" t="s">
        <v>202</v>
      </c>
      <c r="C4">
        <f>IF(B4&lt;&gt;"",LEN(B4),"")</f>
        <v>1</v>
      </c>
      <c r="D4">
        <f>E4*F4</f>
        <v>3</v>
      </c>
      <c r="E4">
        <v>3</v>
      </c>
      <c r="F4">
        <v>1</v>
      </c>
      <c r="G4" t="s">
        <v>320</v>
      </c>
      <c r="I4" t="s">
        <v>325</v>
      </c>
      <c r="K4" t="s">
        <v>331</v>
      </c>
    </row>
    <row r="5" spans="1:11">
      <c r="A5" s="2" t="s">
        <v>79</v>
      </c>
      <c r="B5" s="1" t="s">
        <v>330</v>
      </c>
      <c r="C5">
        <f t="shared" ref="C5:C68" si="0">IF(B5&lt;&gt;"",LEN(B5),"")</f>
        <v>8</v>
      </c>
      <c r="D5">
        <f t="shared" ref="D5:D14" si="1">E5*F5</f>
        <v>3</v>
      </c>
      <c r="E5">
        <v>3</v>
      </c>
      <c r="F5">
        <v>1</v>
      </c>
      <c r="G5" t="s">
        <v>321</v>
      </c>
      <c r="I5" t="s">
        <v>326</v>
      </c>
      <c r="K5" t="s">
        <v>332</v>
      </c>
    </row>
    <row r="6" spans="1:11">
      <c r="A6" s="2" t="s">
        <v>81</v>
      </c>
      <c r="B6" s="1">
        <v>4</v>
      </c>
      <c r="C6">
        <f t="shared" si="0"/>
        <v>1</v>
      </c>
      <c r="D6">
        <f t="shared" si="1"/>
        <v>3</v>
      </c>
      <c r="E6">
        <v>3</v>
      </c>
      <c r="F6">
        <v>1</v>
      </c>
      <c r="G6" t="s">
        <v>322</v>
      </c>
      <c r="I6" t="s">
        <v>327</v>
      </c>
      <c r="K6" t="s">
        <v>333</v>
      </c>
    </row>
    <row r="7" spans="1:11">
      <c r="A7" s="2" t="s">
        <v>32</v>
      </c>
      <c r="B7" s="1">
        <v>5</v>
      </c>
      <c r="C7">
        <f t="shared" si="0"/>
        <v>1</v>
      </c>
      <c r="D7">
        <f t="shared" si="1"/>
        <v>3</v>
      </c>
      <c r="E7">
        <v>3</v>
      </c>
      <c r="F7">
        <v>1</v>
      </c>
      <c r="G7" t="s">
        <v>323</v>
      </c>
      <c r="I7" t="s">
        <v>328</v>
      </c>
      <c r="K7" t="s">
        <v>334</v>
      </c>
    </row>
    <row r="8" spans="1:11">
      <c r="A8" s="2" t="s">
        <v>34</v>
      </c>
      <c r="B8" s="1" t="s">
        <v>336</v>
      </c>
      <c r="C8">
        <f t="shared" si="0"/>
        <v>2</v>
      </c>
      <c r="D8">
        <f t="shared" si="1"/>
        <v>5</v>
      </c>
      <c r="E8">
        <v>5</v>
      </c>
      <c r="F8">
        <v>1</v>
      </c>
      <c r="G8" t="s">
        <v>324</v>
      </c>
      <c r="I8" t="s">
        <v>329</v>
      </c>
      <c r="K8" t="s">
        <v>335</v>
      </c>
    </row>
    <row r="9" spans="1:11">
      <c r="A9" s="2" t="s">
        <v>39</v>
      </c>
      <c r="B9" s="1" t="s">
        <v>338</v>
      </c>
      <c r="C9">
        <f t="shared" si="0"/>
        <v>17</v>
      </c>
      <c r="D9">
        <f t="shared" si="1"/>
        <v>6</v>
      </c>
      <c r="E9">
        <v>6</v>
      </c>
      <c r="F9">
        <v>1</v>
      </c>
    </row>
    <row r="10" spans="1:11" ht="37.5">
      <c r="B10" s="1" t="s">
        <v>337</v>
      </c>
      <c r="C10">
        <f t="shared" si="0"/>
        <v>34</v>
      </c>
      <c r="D10">
        <f t="shared" si="1"/>
        <v>6</v>
      </c>
      <c r="E10">
        <v>6</v>
      </c>
      <c r="F10">
        <v>1</v>
      </c>
    </row>
    <row r="11" spans="1:11">
      <c r="A11" s="2" t="s">
        <v>44</v>
      </c>
      <c r="B11" s="1" t="s">
        <v>339</v>
      </c>
      <c r="C11">
        <f t="shared" si="0"/>
        <v>7</v>
      </c>
      <c r="D11">
        <f t="shared" si="1"/>
        <v>5</v>
      </c>
      <c r="E11">
        <v>5</v>
      </c>
      <c r="F11">
        <v>1</v>
      </c>
    </row>
    <row r="12" spans="1:11">
      <c r="A12" s="2" t="s">
        <v>46</v>
      </c>
      <c r="B12" s="1" t="s">
        <v>340</v>
      </c>
      <c r="C12">
        <f t="shared" si="0"/>
        <v>28</v>
      </c>
      <c r="D12">
        <f t="shared" si="1"/>
        <v>0</v>
      </c>
      <c r="E12">
        <v>7</v>
      </c>
      <c r="F12">
        <v>0</v>
      </c>
    </row>
    <row r="13" spans="1:11">
      <c r="A13" s="2" t="s">
        <v>341</v>
      </c>
      <c r="B13" s="1" t="s">
        <v>342</v>
      </c>
      <c r="C13">
        <f t="shared" si="0"/>
        <v>7</v>
      </c>
      <c r="D13">
        <f t="shared" si="1"/>
        <v>5</v>
      </c>
      <c r="E13">
        <v>5</v>
      </c>
      <c r="F13">
        <v>1</v>
      </c>
    </row>
    <row r="14" spans="1:11">
      <c r="A14" s="2" t="s">
        <v>343</v>
      </c>
      <c r="B14" s="1" t="s">
        <v>171</v>
      </c>
      <c r="C14">
        <f t="shared" si="0"/>
        <v>1</v>
      </c>
      <c r="D14">
        <f t="shared" si="1"/>
        <v>0</v>
      </c>
      <c r="E14">
        <v>4</v>
      </c>
      <c r="F14">
        <v>0</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62619-CBA3-419E-9825-E8DD658BE8FF}">
  <sheetPr codeName="Sheet12"/>
  <dimension ref="A1:K167"/>
  <sheetViews>
    <sheetView zoomScale="85" zoomScaleNormal="85" workbookViewId="0">
      <pane xSplit="1" ySplit="3" topLeftCell="B10"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 style="1" customWidth="1"/>
    <col min="3" max="3" width="9.75" customWidth="1"/>
  </cols>
  <sheetData>
    <row r="1" spans="1:11">
      <c r="A1" s="2" t="s">
        <v>0</v>
      </c>
      <c r="B1" s="1" t="s">
        <v>13</v>
      </c>
    </row>
    <row r="2" spans="1:11">
      <c r="A2" s="2" t="s">
        <v>2</v>
      </c>
      <c r="B2" s="3" t="s">
        <v>209</v>
      </c>
      <c r="D2">
        <f>SUM(D4:D16)</f>
        <v>31</v>
      </c>
      <c r="E2">
        <f>SUM(E4:E1000)</f>
        <v>50</v>
      </c>
    </row>
    <row r="3" spans="1:11">
      <c r="A3" s="2" t="s">
        <v>1</v>
      </c>
      <c r="B3" s="1" t="s">
        <v>3</v>
      </c>
      <c r="C3" t="s">
        <v>6</v>
      </c>
      <c r="D3" t="s">
        <v>4</v>
      </c>
      <c r="E3" t="s">
        <v>5</v>
      </c>
    </row>
    <row r="4" spans="1:11">
      <c r="A4" s="2" t="s">
        <v>77</v>
      </c>
      <c r="B4" s="1">
        <v>9</v>
      </c>
      <c r="C4">
        <f>IF(B4&lt;&gt;"",LEN(B4),"")</f>
        <v>1</v>
      </c>
      <c r="D4">
        <f>E4*F4</f>
        <v>3</v>
      </c>
      <c r="E4">
        <v>3</v>
      </c>
      <c r="F4">
        <v>1</v>
      </c>
      <c r="G4" t="s">
        <v>344</v>
      </c>
      <c r="I4" t="s">
        <v>350</v>
      </c>
      <c r="K4" t="s">
        <v>360</v>
      </c>
    </row>
    <row r="5" spans="1:11" ht="56.25">
      <c r="A5" s="2" t="s">
        <v>79</v>
      </c>
      <c r="B5" s="1" t="s">
        <v>354</v>
      </c>
      <c r="C5">
        <f t="shared" ref="C5:C68" si="0">IF(B5&lt;&gt;"",LEN(B5),"")</f>
        <v>81</v>
      </c>
      <c r="D5">
        <f t="shared" ref="D5:D16" si="1">E5*F5</f>
        <v>5</v>
      </c>
      <c r="E5">
        <v>5</v>
      </c>
      <c r="F5">
        <v>1</v>
      </c>
      <c r="G5" t="s">
        <v>345</v>
      </c>
      <c r="I5" t="s">
        <v>351</v>
      </c>
      <c r="K5" t="s">
        <v>361</v>
      </c>
    </row>
    <row r="6" spans="1:11" ht="37.5">
      <c r="A6" s="2" t="s">
        <v>32</v>
      </c>
      <c r="B6" s="1" t="s">
        <v>355</v>
      </c>
      <c r="C6">
        <f t="shared" si="0"/>
        <v>30</v>
      </c>
      <c r="D6">
        <f t="shared" si="1"/>
        <v>2.5</v>
      </c>
      <c r="E6">
        <v>5</v>
      </c>
      <c r="F6">
        <v>0.5</v>
      </c>
      <c r="G6" t="s">
        <v>346</v>
      </c>
      <c r="I6" t="s">
        <v>352</v>
      </c>
      <c r="K6" t="s">
        <v>392</v>
      </c>
    </row>
    <row r="7" spans="1:11">
      <c r="A7" s="2" t="s">
        <v>34</v>
      </c>
      <c r="B7" s="1" t="s">
        <v>223</v>
      </c>
      <c r="C7">
        <f t="shared" si="0"/>
        <v>3</v>
      </c>
      <c r="D7">
        <f t="shared" si="1"/>
        <v>2</v>
      </c>
      <c r="E7">
        <v>2</v>
      </c>
      <c r="F7">
        <v>1</v>
      </c>
      <c r="G7" t="s">
        <v>347</v>
      </c>
      <c r="I7" t="s">
        <v>353</v>
      </c>
      <c r="K7" t="s">
        <v>393</v>
      </c>
    </row>
    <row r="8" spans="1:11">
      <c r="B8" s="1" t="s">
        <v>224</v>
      </c>
      <c r="C8">
        <f t="shared" si="0"/>
        <v>3</v>
      </c>
      <c r="D8">
        <f t="shared" si="1"/>
        <v>2</v>
      </c>
      <c r="E8">
        <v>2</v>
      </c>
      <c r="F8">
        <v>1</v>
      </c>
      <c r="G8" t="s">
        <v>348</v>
      </c>
      <c r="I8" t="s">
        <v>364</v>
      </c>
      <c r="K8" t="s">
        <v>394</v>
      </c>
    </row>
    <row r="9" spans="1:11">
      <c r="B9" s="1" t="s">
        <v>356</v>
      </c>
      <c r="C9">
        <f t="shared" si="0"/>
        <v>3</v>
      </c>
      <c r="D9">
        <f t="shared" si="1"/>
        <v>0</v>
      </c>
      <c r="E9">
        <v>2</v>
      </c>
      <c r="F9">
        <v>0</v>
      </c>
      <c r="G9" t="s">
        <v>349</v>
      </c>
      <c r="I9" t="s">
        <v>365</v>
      </c>
      <c r="K9" t="s">
        <v>395</v>
      </c>
    </row>
    <row r="10" spans="1:11">
      <c r="B10" s="1" t="s">
        <v>357</v>
      </c>
      <c r="C10">
        <f t="shared" si="0"/>
        <v>4</v>
      </c>
      <c r="D10">
        <f t="shared" si="1"/>
        <v>0</v>
      </c>
      <c r="E10">
        <v>2</v>
      </c>
      <c r="F10">
        <v>0</v>
      </c>
      <c r="G10" t="s">
        <v>389</v>
      </c>
    </row>
    <row r="11" spans="1:11">
      <c r="A11" s="2" t="s">
        <v>48</v>
      </c>
      <c r="B11" s="1" t="s">
        <v>358</v>
      </c>
      <c r="C11">
        <f t="shared" si="0"/>
        <v>30</v>
      </c>
      <c r="D11">
        <f t="shared" si="1"/>
        <v>4</v>
      </c>
      <c r="E11">
        <v>4</v>
      </c>
      <c r="F11">
        <v>1</v>
      </c>
      <c r="G11" t="s">
        <v>390</v>
      </c>
    </row>
    <row r="12" spans="1:11" ht="37.5">
      <c r="A12" s="2" t="s">
        <v>51</v>
      </c>
      <c r="B12" s="1" t="s">
        <v>359</v>
      </c>
      <c r="C12">
        <f t="shared" si="0"/>
        <v>57</v>
      </c>
      <c r="D12">
        <f t="shared" si="1"/>
        <v>5</v>
      </c>
      <c r="E12">
        <v>5</v>
      </c>
      <c r="F12">
        <v>1</v>
      </c>
      <c r="G12" t="s">
        <v>391</v>
      </c>
    </row>
    <row r="13" spans="1:11">
      <c r="A13" s="2" t="s">
        <v>91</v>
      </c>
      <c r="B13" s="1" t="s">
        <v>362</v>
      </c>
      <c r="C13">
        <f t="shared" si="0"/>
        <v>29</v>
      </c>
      <c r="D13">
        <f t="shared" si="1"/>
        <v>0</v>
      </c>
      <c r="E13">
        <v>5</v>
      </c>
      <c r="F13">
        <v>0</v>
      </c>
    </row>
    <row r="14" spans="1:11">
      <c r="A14" s="2" t="s">
        <v>93</v>
      </c>
      <c r="B14" s="1" t="s">
        <v>363</v>
      </c>
      <c r="C14">
        <f t="shared" si="0"/>
        <v>31</v>
      </c>
      <c r="D14">
        <f t="shared" si="1"/>
        <v>2.5</v>
      </c>
      <c r="E14">
        <v>5</v>
      </c>
      <c r="F14">
        <v>0.5</v>
      </c>
    </row>
    <row r="15" spans="1:11" ht="56.25">
      <c r="A15" s="2" t="s">
        <v>175</v>
      </c>
      <c r="B15" s="1" t="s">
        <v>366</v>
      </c>
      <c r="C15">
        <f t="shared" si="0"/>
        <v>80</v>
      </c>
      <c r="D15">
        <f t="shared" si="1"/>
        <v>0</v>
      </c>
      <c r="E15">
        <v>5</v>
      </c>
      <c r="F15">
        <v>0</v>
      </c>
    </row>
    <row r="16" spans="1:11" ht="37.5">
      <c r="A16" s="2" t="s">
        <v>237</v>
      </c>
      <c r="B16" s="1" t="s">
        <v>367</v>
      </c>
      <c r="C16">
        <f t="shared" si="0"/>
        <v>33</v>
      </c>
      <c r="D16">
        <f t="shared" si="1"/>
        <v>5</v>
      </c>
      <c r="E16">
        <v>5</v>
      </c>
      <c r="F16">
        <v>1</v>
      </c>
    </row>
    <row r="17" spans="1:5">
      <c r="C17" t="str">
        <f t="shared" si="0"/>
        <v/>
      </c>
    </row>
    <row r="18" spans="1:5">
      <c r="C18" t="str">
        <f t="shared" si="0"/>
        <v/>
      </c>
    </row>
    <row r="19" spans="1:5">
      <c r="C19" t="str">
        <f t="shared" si="0"/>
        <v/>
      </c>
    </row>
    <row r="20" spans="1:5" ht="56.25">
      <c r="A20" s="2" t="s">
        <v>32</v>
      </c>
      <c r="B20" s="1" t="s">
        <v>396</v>
      </c>
      <c r="C20">
        <f t="shared" si="0"/>
        <v>68</v>
      </c>
      <c r="D20">
        <v>1</v>
      </c>
    </row>
    <row r="21" spans="1:5">
      <c r="A21" s="2" t="s">
        <v>34</v>
      </c>
      <c r="B21" s="1" t="s">
        <v>397</v>
      </c>
      <c r="C21">
        <f t="shared" si="0"/>
        <v>4</v>
      </c>
      <c r="D21">
        <v>1</v>
      </c>
    </row>
    <row r="22" spans="1:5">
      <c r="B22" s="1" t="s">
        <v>398</v>
      </c>
      <c r="C22">
        <f t="shared" si="0"/>
        <v>4</v>
      </c>
      <c r="D22">
        <v>1</v>
      </c>
    </row>
    <row r="23" spans="1:5">
      <c r="B23" s="1" t="s">
        <v>399</v>
      </c>
      <c r="C23">
        <f t="shared" si="0"/>
        <v>4</v>
      </c>
      <c r="D23">
        <v>1</v>
      </c>
    </row>
    <row r="24" spans="1:5">
      <c r="B24" s="1" t="s">
        <v>400</v>
      </c>
      <c r="C24">
        <f t="shared" si="0"/>
        <v>4</v>
      </c>
      <c r="D24">
        <v>1</v>
      </c>
    </row>
    <row r="25" spans="1:5">
      <c r="A25" s="2" t="s">
        <v>91</v>
      </c>
      <c r="B25" s="1" t="s">
        <v>401</v>
      </c>
      <c r="C25">
        <f t="shared" si="0"/>
        <v>21</v>
      </c>
      <c r="D25">
        <v>0</v>
      </c>
      <c r="E25" t="s">
        <v>402</v>
      </c>
    </row>
    <row r="26" spans="1:5" ht="37.5">
      <c r="A26" s="2" t="s">
        <v>93</v>
      </c>
      <c r="B26" s="1" t="s">
        <v>403</v>
      </c>
      <c r="C26">
        <f t="shared" si="0"/>
        <v>34</v>
      </c>
      <c r="D26">
        <v>1</v>
      </c>
    </row>
    <row r="27" spans="1:5" ht="56.25">
      <c r="A27" s="2" t="s">
        <v>175</v>
      </c>
      <c r="B27" s="1" t="s">
        <v>404</v>
      </c>
      <c r="C27">
        <f t="shared" si="0"/>
        <v>81</v>
      </c>
      <c r="D27">
        <v>1</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DC3C1-D571-44B1-9F70-FB585761FD55}">
  <sheetPr codeName="Sheet13"/>
  <dimension ref="A1:K167"/>
  <sheetViews>
    <sheetView zoomScale="85" zoomScaleNormal="85" workbookViewId="0">
      <pane xSplit="1" ySplit="3" topLeftCell="B5" activePane="bottomRight" state="frozen"/>
      <selection pane="topRight" activeCell="B1" sqref="B1"/>
      <selection pane="bottomLeft" activeCell="A4" sqref="A4"/>
      <selection pane="bottomRight" activeCell="C34" sqref="C33:C34"/>
    </sheetView>
  </sheetViews>
  <sheetFormatPr defaultRowHeight="18.75"/>
  <cols>
    <col min="1" max="1" width="9" style="2"/>
    <col min="2" max="2" width="52" style="1" customWidth="1"/>
    <col min="3" max="3" width="9.75" customWidth="1"/>
  </cols>
  <sheetData>
    <row r="1" spans="1:11">
      <c r="A1" s="2" t="s">
        <v>0</v>
      </c>
      <c r="B1" s="1" t="s">
        <v>13</v>
      </c>
    </row>
    <row r="2" spans="1:11">
      <c r="A2" s="2" t="s">
        <v>2</v>
      </c>
      <c r="B2" s="3" t="s">
        <v>319</v>
      </c>
      <c r="D2">
        <f>SUM(D4:D1000)</f>
        <v>48</v>
      </c>
      <c r="E2">
        <f>SUM(E4:E1000)</f>
        <v>50</v>
      </c>
    </row>
    <row r="3" spans="1:11">
      <c r="A3" s="2" t="s">
        <v>1</v>
      </c>
      <c r="B3" s="1" t="s">
        <v>3</v>
      </c>
      <c r="C3" t="s">
        <v>6</v>
      </c>
      <c r="D3" t="s">
        <v>4</v>
      </c>
      <c r="E3" t="s">
        <v>5</v>
      </c>
    </row>
    <row r="4" spans="1:11">
      <c r="A4" s="2" t="s">
        <v>77</v>
      </c>
      <c r="B4" s="1" t="s">
        <v>376</v>
      </c>
      <c r="C4">
        <f>IF(B4&lt;&gt;"",LEN(B4),"")</f>
        <v>4</v>
      </c>
      <c r="D4">
        <f>E4*F4</f>
        <v>3</v>
      </c>
      <c r="E4">
        <v>3</v>
      </c>
      <c r="F4">
        <v>1</v>
      </c>
      <c r="G4" t="s">
        <v>368</v>
      </c>
      <c r="I4" t="s">
        <v>373</v>
      </c>
      <c r="K4" t="s">
        <v>379</v>
      </c>
    </row>
    <row r="5" spans="1:11">
      <c r="A5" s="2" t="s">
        <v>79</v>
      </c>
      <c r="B5" s="1" t="s">
        <v>377</v>
      </c>
      <c r="C5">
        <f t="shared" ref="C5:C68" si="0">IF(B5&lt;&gt;"",LEN(B5),"")</f>
        <v>11</v>
      </c>
      <c r="D5">
        <f t="shared" ref="D5:D14" si="1">E5*F5</f>
        <v>3</v>
      </c>
      <c r="E5">
        <v>3</v>
      </c>
      <c r="F5">
        <v>1</v>
      </c>
      <c r="G5" t="s">
        <v>369</v>
      </c>
      <c r="I5" t="s">
        <v>369</v>
      </c>
      <c r="K5" t="s">
        <v>380</v>
      </c>
    </row>
    <row r="6" spans="1:11">
      <c r="A6" s="2" t="s">
        <v>81</v>
      </c>
      <c r="B6" s="1" t="s">
        <v>378</v>
      </c>
      <c r="C6">
        <f t="shared" si="0"/>
        <v>4</v>
      </c>
      <c r="D6">
        <f t="shared" si="1"/>
        <v>3</v>
      </c>
      <c r="E6">
        <v>3</v>
      </c>
      <c r="F6">
        <v>1</v>
      </c>
      <c r="G6" t="s">
        <v>370</v>
      </c>
      <c r="I6" t="s">
        <v>371</v>
      </c>
      <c r="K6" t="s">
        <v>381</v>
      </c>
    </row>
    <row r="7" spans="1:11">
      <c r="A7" s="2" t="s">
        <v>32</v>
      </c>
      <c r="B7" s="1" t="s">
        <v>382</v>
      </c>
      <c r="C7">
        <f t="shared" si="0"/>
        <v>4</v>
      </c>
      <c r="D7">
        <f t="shared" si="1"/>
        <v>3</v>
      </c>
      <c r="E7">
        <v>3</v>
      </c>
      <c r="F7">
        <v>1</v>
      </c>
      <c r="G7" t="s">
        <v>371</v>
      </c>
      <c r="I7" t="s">
        <v>374</v>
      </c>
    </row>
    <row r="8" spans="1:11">
      <c r="A8" s="2" t="s">
        <v>34</v>
      </c>
      <c r="B8" s="1" t="s">
        <v>383</v>
      </c>
      <c r="C8">
        <f t="shared" si="0"/>
        <v>27</v>
      </c>
      <c r="D8">
        <f t="shared" si="1"/>
        <v>2</v>
      </c>
      <c r="E8">
        <v>4</v>
      </c>
      <c r="F8">
        <v>0.5</v>
      </c>
      <c r="G8" t="s">
        <v>372</v>
      </c>
      <c r="I8" t="s">
        <v>375</v>
      </c>
    </row>
    <row r="9" spans="1:11" ht="37.5">
      <c r="A9" s="2" t="s">
        <v>39</v>
      </c>
      <c r="B9" s="1" t="s">
        <v>385</v>
      </c>
      <c r="C9">
        <f t="shared" si="0"/>
        <v>33</v>
      </c>
      <c r="D9">
        <f t="shared" si="1"/>
        <v>6</v>
      </c>
      <c r="E9">
        <v>6</v>
      </c>
      <c r="F9">
        <v>1</v>
      </c>
      <c r="G9" t="s">
        <v>328</v>
      </c>
    </row>
    <row r="10" spans="1:11" ht="37.5">
      <c r="B10" s="1" t="s">
        <v>384</v>
      </c>
      <c r="C10">
        <f t="shared" si="0"/>
        <v>33</v>
      </c>
      <c r="D10">
        <f t="shared" si="1"/>
        <v>6</v>
      </c>
      <c r="E10">
        <v>6</v>
      </c>
      <c r="F10">
        <v>1</v>
      </c>
    </row>
    <row r="11" spans="1:11">
      <c r="A11" s="2" t="s">
        <v>44</v>
      </c>
      <c r="B11" s="1" t="s">
        <v>386</v>
      </c>
      <c r="C11">
        <f t="shared" si="0"/>
        <v>23</v>
      </c>
      <c r="D11">
        <f t="shared" si="1"/>
        <v>5</v>
      </c>
      <c r="E11">
        <v>5</v>
      </c>
      <c r="F11">
        <v>1</v>
      </c>
      <c r="H11" t="s">
        <v>387</v>
      </c>
    </row>
    <row r="12" spans="1:11">
      <c r="A12" s="2" t="s">
        <v>46</v>
      </c>
      <c r="B12" s="1" t="s">
        <v>388</v>
      </c>
      <c r="C12">
        <f t="shared" si="0"/>
        <v>27</v>
      </c>
      <c r="D12">
        <f t="shared" si="1"/>
        <v>7</v>
      </c>
      <c r="E12">
        <v>7</v>
      </c>
      <c r="F12">
        <v>1</v>
      </c>
    </row>
    <row r="13" spans="1:11">
      <c r="A13" s="2" t="s">
        <v>341</v>
      </c>
      <c r="B13" s="1" t="s">
        <v>342</v>
      </c>
      <c r="C13">
        <f t="shared" si="0"/>
        <v>7</v>
      </c>
      <c r="D13">
        <f t="shared" si="1"/>
        <v>6</v>
      </c>
      <c r="E13">
        <v>6</v>
      </c>
      <c r="F13">
        <v>1</v>
      </c>
    </row>
    <row r="14" spans="1:11">
      <c r="A14" s="2" t="s">
        <v>341</v>
      </c>
      <c r="B14" s="1" t="s">
        <v>202</v>
      </c>
      <c r="C14">
        <f t="shared" si="0"/>
        <v>1</v>
      </c>
      <c r="D14">
        <f t="shared" si="1"/>
        <v>4</v>
      </c>
      <c r="E14">
        <v>4</v>
      </c>
      <c r="F14">
        <v>1</v>
      </c>
    </row>
    <row r="15" spans="1:11">
      <c r="C15" t="str">
        <f t="shared" si="0"/>
        <v/>
      </c>
    </row>
    <row r="16" spans="1:11">
      <c r="A16" s="2" t="s">
        <v>34</v>
      </c>
      <c r="B16" s="1" t="s">
        <v>405</v>
      </c>
      <c r="C16">
        <f t="shared" si="0"/>
        <v>5</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2A42D-F595-4570-8172-CD5BAB1C1DAE}">
  <sheetPr codeName="Sheet14"/>
  <dimension ref="A1:K169"/>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8.5" style="1" customWidth="1"/>
    <col min="3" max="3" width="9.75" customWidth="1"/>
  </cols>
  <sheetData>
    <row r="1" spans="1:11">
      <c r="A1" s="2" t="s">
        <v>0</v>
      </c>
      <c r="B1" s="1" t="s">
        <v>106</v>
      </c>
    </row>
    <row r="2" spans="1:11">
      <c r="A2" s="2" t="s">
        <v>2</v>
      </c>
      <c r="B2" s="3" t="s">
        <v>319</v>
      </c>
      <c r="D2">
        <f>SUM(D4:D1002)</f>
        <v>29</v>
      </c>
      <c r="E2">
        <f>SUM(E4:E1002)</f>
        <v>50</v>
      </c>
    </row>
    <row r="3" spans="1:11">
      <c r="A3" s="2" t="s">
        <v>1</v>
      </c>
      <c r="B3" s="1" t="s">
        <v>3</v>
      </c>
      <c r="C3" t="s">
        <v>6</v>
      </c>
      <c r="D3" t="s">
        <v>4</v>
      </c>
      <c r="E3" t="s">
        <v>5</v>
      </c>
    </row>
    <row r="4" spans="1:11">
      <c r="A4" s="2" t="s">
        <v>77</v>
      </c>
      <c r="B4" s="1" t="s">
        <v>171</v>
      </c>
      <c r="C4">
        <f>IF(B4&lt;&gt;"",LEN(B4),"")</f>
        <v>1</v>
      </c>
      <c r="D4">
        <f>E4*F4</f>
        <v>2</v>
      </c>
      <c r="E4">
        <v>2</v>
      </c>
      <c r="F4">
        <v>1</v>
      </c>
      <c r="G4" t="s">
        <v>406</v>
      </c>
      <c r="I4" t="s">
        <v>411</v>
      </c>
      <c r="K4" t="s">
        <v>466</v>
      </c>
    </row>
    <row r="5" spans="1:11">
      <c r="A5" s="2" t="s">
        <v>79</v>
      </c>
      <c r="B5" t="s">
        <v>415</v>
      </c>
      <c r="C5">
        <f t="shared" ref="C5:C70" si="0">IF(B5&lt;&gt;"",LEN(B5),"")</f>
        <v>21</v>
      </c>
      <c r="D5">
        <f t="shared" ref="D5:D15" si="1">E5*F5</f>
        <v>2</v>
      </c>
      <c r="E5">
        <v>2</v>
      </c>
      <c r="F5">
        <v>1</v>
      </c>
      <c r="G5" t="s">
        <v>407</v>
      </c>
      <c r="I5" t="s">
        <v>412</v>
      </c>
      <c r="K5" t="s">
        <v>467</v>
      </c>
    </row>
    <row r="6" spans="1:11">
      <c r="A6" s="2" t="s">
        <v>81</v>
      </c>
      <c r="B6" s="1" t="s">
        <v>416</v>
      </c>
      <c r="C6">
        <f t="shared" si="0"/>
        <v>4</v>
      </c>
      <c r="D6">
        <f t="shared" si="1"/>
        <v>2</v>
      </c>
      <c r="E6">
        <v>4</v>
      </c>
      <c r="F6">
        <v>0.5</v>
      </c>
      <c r="G6" t="s">
        <v>408</v>
      </c>
      <c r="I6" t="s">
        <v>413</v>
      </c>
      <c r="K6" t="s">
        <v>468</v>
      </c>
    </row>
    <row r="7" spans="1:11">
      <c r="A7" s="2" t="s">
        <v>129</v>
      </c>
      <c r="B7" s="1" t="s">
        <v>417</v>
      </c>
      <c r="C7">
        <f t="shared" si="0"/>
        <v>35</v>
      </c>
      <c r="D7">
        <f t="shared" si="1"/>
        <v>4</v>
      </c>
      <c r="E7">
        <v>4</v>
      </c>
      <c r="F7">
        <v>1</v>
      </c>
      <c r="G7" t="s">
        <v>409</v>
      </c>
      <c r="I7" t="s">
        <v>414</v>
      </c>
    </row>
    <row r="8" spans="1:11">
      <c r="A8" s="2" t="s">
        <v>131</v>
      </c>
      <c r="B8" s="1" t="s">
        <v>418</v>
      </c>
      <c r="C8">
        <f t="shared" si="0"/>
        <v>34</v>
      </c>
      <c r="D8">
        <f t="shared" si="1"/>
        <v>4</v>
      </c>
      <c r="E8">
        <v>4</v>
      </c>
      <c r="F8">
        <v>1</v>
      </c>
      <c r="G8" t="s">
        <v>410</v>
      </c>
    </row>
    <row r="9" spans="1:11" ht="37.5">
      <c r="A9" s="2" t="s">
        <v>131</v>
      </c>
      <c r="B9" s="1" t="s">
        <v>419</v>
      </c>
      <c r="C9">
        <f t="shared" si="0"/>
        <v>41</v>
      </c>
      <c r="D9">
        <f t="shared" si="1"/>
        <v>0</v>
      </c>
      <c r="E9">
        <v>4</v>
      </c>
      <c r="F9">
        <v>0</v>
      </c>
      <c r="G9" t="s">
        <v>420</v>
      </c>
    </row>
    <row r="10" spans="1:11" ht="37.5">
      <c r="A10" s="2" t="s">
        <v>421</v>
      </c>
      <c r="B10" s="1" t="s">
        <v>422</v>
      </c>
      <c r="C10">
        <f t="shared" si="0"/>
        <v>40</v>
      </c>
      <c r="D10">
        <f t="shared" si="1"/>
        <v>5</v>
      </c>
      <c r="E10">
        <v>5</v>
      </c>
      <c r="F10">
        <v>1</v>
      </c>
    </row>
    <row r="11" spans="1:11">
      <c r="A11" s="2" t="s">
        <v>423</v>
      </c>
      <c r="B11" s="1" t="s">
        <v>424</v>
      </c>
      <c r="C11">
        <f t="shared" si="0"/>
        <v>24</v>
      </c>
      <c r="D11">
        <f t="shared" si="1"/>
        <v>0</v>
      </c>
      <c r="E11">
        <v>5</v>
      </c>
      <c r="F11">
        <v>0</v>
      </c>
    </row>
    <row r="12" spans="1:11">
      <c r="A12" s="2" t="s">
        <v>425</v>
      </c>
      <c r="B12" s="1" t="s">
        <v>426</v>
      </c>
      <c r="C12">
        <f t="shared" si="0"/>
        <v>24</v>
      </c>
      <c r="D12">
        <f t="shared" si="1"/>
        <v>5</v>
      </c>
      <c r="E12">
        <v>5</v>
      </c>
      <c r="F12">
        <v>1</v>
      </c>
    </row>
    <row r="13" spans="1:11">
      <c r="A13" s="2" t="s">
        <v>427</v>
      </c>
      <c r="B13" s="1" t="s">
        <v>428</v>
      </c>
      <c r="C13">
        <f t="shared" si="0"/>
        <v>21</v>
      </c>
      <c r="D13">
        <f t="shared" si="1"/>
        <v>5</v>
      </c>
      <c r="E13">
        <v>5</v>
      </c>
      <c r="F13">
        <v>1</v>
      </c>
    </row>
    <row r="14" spans="1:11">
      <c r="A14" s="2" t="s">
        <v>429</v>
      </c>
      <c r="B14" s="1" t="s">
        <v>430</v>
      </c>
      <c r="C14">
        <f t="shared" si="0"/>
        <v>19</v>
      </c>
      <c r="D14">
        <f t="shared" si="1"/>
        <v>0</v>
      </c>
      <c r="E14">
        <v>5</v>
      </c>
      <c r="F14">
        <v>0</v>
      </c>
    </row>
    <row r="15" spans="1:11">
      <c r="A15" s="2" t="s">
        <v>431</v>
      </c>
      <c r="B15" s="1" t="s">
        <v>432</v>
      </c>
      <c r="C15">
        <f t="shared" si="0"/>
        <v>25</v>
      </c>
      <c r="D15">
        <f t="shared" si="1"/>
        <v>0</v>
      </c>
      <c r="E15">
        <v>5</v>
      </c>
      <c r="F15">
        <v>0</v>
      </c>
    </row>
    <row r="16" spans="1:11">
      <c r="C16" t="str">
        <f t="shared" si="0"/>
        <v/>
      </c>
    </row>
    <row r="17" spans="1:4">
      <c r="A17" s="2" t="s">
        <v>196</v>
      </c>
      <c r="C17" t="str">
        <f t="shared" si="0"/>
        <v/>
      </c>
    </row>
    <row r="18" spans="1:4">
      <c r="A18" s="2" t="s">
        <v>1</v>
      </c>
      <c r="B18" s="1" t="s">
        <v>3</v>
      </c>
      <c r="C18" t="s">
        <v>465</v>
      </c>
    </row>
    <row r="19" spans="1:4">
      <c r="A19" s="2" t="s">
        <v>81</v>
      </c>
      <c r="B19" s="1" t="s">
        <v>469</v>
      </c>
      <c r="C19">
        <v>1</v>
      </c>
    </row>
    <row r="20" spans="1:4">
      <c r="A20" s="2" t="s">
        <v>129</v>
      </c>
      <c r="B20" t="s">
        <v>415</v>
      </c>
      <c r="C20">
        <v>1</v>
      </c>
    </row>
    <row r="21" spans="1:4">
      <c r="A21" s="2" t="s">
        <v>131</v>
      </c>
      <c r="B21" s="1" t="s">
        <v>470</v>
      </c>
      <c r="C21">
        <v>1</v>
      </c>
    </row>
    <row r="22" spans="1:4" ht="37.5">
      <c r="B22" s="1" t="s">
        <v>471</v>
      </c>
      <c r="C22">
        <v>1</v>
      </c>
    </row>
    <row r="23" spans="1:4" ht="37.5">
      <c r="A23" s="2" t="s">
        <v>423</v>
      </c>
      <c r="B23" s="1" t="s">
        <v>472</v>
      </c>
      <c r="C23">
        <v>1</v>
      </c>
    </row>
    <row r="24" spans="1:4">
      <c r="A24" s="2" t="s">
        <v>429</v>
      </c>
      <c r="B24" s="1" t="s">
        <v>474</v>
      </c>
      <c r="C24">
        <v>1</v>
      </c>
      <c r="D24" t="s">
        <v>473</v>
      </c>
    </row>
    <row r="25" spans="1:4">
      <c r="A25" s="2" t="s">
        <v>431</v>
      </c>
      <c r="B25" s="1" t="s">
        <v>475</v>
      </c>
      <c r="C25">
        <v>1</v>
      </c>
    </row>
    <row r="27" spans="1:4">
      <c r="C27" t="str">
        <f t="shared" si="0"/>
        <v/>
      </c>
    </row>
    <row r="28" spans="1:4">
      <c r="C28" t="str">
        <f t="shared" si="0"/>
        <v/>
      </c>
    </row>
    <row r="29" spans="1:4">
      <c r="C29" t="str">
        <f t="shared" si="0"/>
        <v/>
      </c>
    </row>
    <row r="30" spans="1:4">
      <c r="C30" t="str">
        <f t="shared" si="0"/>
        <v/>
      </c>
    </row>
    <row r="31" spans="1:4">
      <c r="C31" t="str">
        <f t="shared" si="0"/>
        <v/>
      </c>
    </row>
    <row r="32" spans="1:4">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si="0"/>
        <v/>
      </c>
    </row>
    <row r="71" spans="3:3">
      <c r="C71" t="str">
        <f t="shared" ref="C71:C134" si="2">IF(B71&lt;&gt;"",LEN(B71),"")</f>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si="2"/>
        <v/>
      </c>
    </row>
    <row r="135" spans="3:3">
      <c r="C135" t="str">
        <f t="shared" ref="C135:C169" si="3">IF(B135&lt;&gt;"",LEN(B135),"")</f>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row r="169" spans="3:3">
      <c r="C169" t="str">
        <f t="shared" si="3"/>
        <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3EE33-F50C-4E03-80F7-50D9C2844251}">
  <sheetPr codeName="Sheet15"/>
  <dimension ref="A1:M167"/>
  <sheetViews>
    <sheetView zoomScale="85" zoomScaleNormal="85" workbookViewId="0">
      <pane xSplit="1" ySplit="3" topLeftCell="B16"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625" style="1" customWidth="1"/>
    <col min="3" max="3" width="9.75" customWidth="1"/>
  </cols>
  <sheetData>
    <row r="1" spans="1:13">
      <c r="A1" s="2" t="s">
        <v>0</v>
      </c>
      <c r="B1" s="1" t="s">
        <v>106</v>
      </c>
    </row>
    <row r="2" spans="1:13">
      <c r="A2" s="2" t="s">
        <v>2</v>
      </c>
      <c r="B2" s="3" t="s">
        <v>60</v>
      </c>
      <c r="D2">
        <f>SUM(D4:D1000)</f>
        <v>32</v>
      </c>
      <c r="E2">
        <f>SUM(E4:E1000)</f>
        <v>50</v>
      </c>
    </row>
    <row r="3" spans="1:13">
      <c r="A3" s="2" t="s">
        <v>1</v>
      </c>
      <c r="B3" s="1" t="s">
        <v>3</v>
      </c>
      <c r="C3" t="s">
        <v>6</v>
      </c>
      <c r="D3" t="s">
        <v>4</v>
      </c>
      <c r="E3" t="s">
        <v>5</v>
      </c>
    </row>
    <row r="4" spans="1:13">
      <c r="A4" s="2" t="s">
        <v>77</v>
      </c>
      <c r="B4" s="1" t="s">
        <v>155</v>
      </c>
      <c r="C4">
        <f>IF(B4&lt;&gt;"",LEN(B4),"")</f>
        <v>7</v>
      </c>
      <c r="D4">
        <f>E4*F4</f>
        <v>3</v>
      </c>
      <c r="E4">
        <v>3</v>
      </c>
      <c r="F4">
        <v>1</v>
      </c>
      <c r="G4" t="s">
        <v>433</v>
      </c>
      <c r="I4" t="s">
        <v>438</v>
      </c>
      <c r="K4" t="s">
        <v>442</v>
      </c>
      <c r="M4" t="s">
        <v>446</v>
      </c>
    </row>
    <row r="5" spans="1:13">
      <c r="A5" s="2" t="s">
        <v>79</v>
      </c>
      <c r="B5" s="1" t="s">
        <v>158</v>
      </c>
      <c r="C5">
        <f t="shared" ref="C5:C68" si="0">IF(B5&lt;&gt;"",LEN(B5),"")</f>
        <v>3</v>
      </c>
      <c r="D5">
        <f t="shared" ref="D5:D15" si="1">E5*F5</f>
        <v>3</v>
      </c>
      <c r="E5">
        <v>3</v>
      </c>
      <c r="F5">
        <v>1</v>
      </c>
      <c r="G5" t="s">
        <v>434</v>
      </c>
      <c r="I5" t="s">
        <v>439</v>
      </c>
      <c r="K5" t="s">
        <v>443</v>
      </c>
      <c r="M5" t="s">
        <v>447</v>
      </c>
    </row>
    <row r="6" spans="1:13">
      <c r="A6" s="2" t="s">
        <v>143</v>
      </c>
      <c r="B6" s="1" t="s">
        <v>164</v>
      </c>
      <c r="C6">
        <f t="shared" si="0"/>
        <v>5</v>
      </c>
      <c r="D6">
        <f t="shared" si="1"/>
        <v>3</v>
      </c>
      <c r="E6">
        <v>3</v>
      </c>
      <c r="F6">
        <v>1</v>
      </c>
      <c r="G6" t="s">
        <v>435</v>
      </c>
      <c r="I6" t="s">
        <v>177</v>
      </c>
      <c r="K6" t="s">
        <v>444</v>
      </c>
      <c r="M6" t="s">
        <v>448</v>
      </c>
    </row>
    <row r="7" spans="1:13">
      <c r="A7" s="2" t="s">
        <v>48</v>
      </c>
      <c r="B7" s="1" t="s">
        <v>176</v>
      </c>
      <c r="C7">
        <f t="shared" si="0"/>
        <v>1</v>
      </c>
      <c r="D7">
        <f t="shared" si="1"/>
        <v>3</v>
      </c>
      <c r="E7">
        <v>3</v>
      </c>
      <c r="F7">
        <v>1</v>
      </c>
      <c r="G7" t="s">
        <v>436</v>
      </c>
      <c r="I7" t="s">
        <v>440</v>
      </c>
      <c r="K7" t="s">
        <v>445</v>
      </c>
      <c r="M7" t="s">
        <v>449</v>
      </c>
    </row>
    <row r="8" spans="1:13">
      <c r="A8" s="2" t="s">
        <v>51</v>
      </c>
      <c r="B8" s="1" t="s">
        <v>171</v>
      </c>
      <c r="C8">
        <f t="shared" si="0"/>
        <v>1</v>
      </c>
      <c r="D8">
        <f t="shared" si="1"/>
        <v>3</v>
      </c>
      <c r="E8">
        <v>3</v>
      </c>
      <c r="F8">
        <v>1</v>
      </c>
      <c r="G8" t="s">
        <v>437</v>
      </c>
      <c r="I8" t="s">
        <v>441</v>
      </c>
      <c r="K8" t="s">
        <v>450</v>
      </c>
    </row>
    <row r="9" spans="1:13" ht="37.5">
      <c r="A9" s="2" t="s">
        <v>91</v>
      </c>
      <c r="B9" s="1" t="s">
        <v>455</v>
      </c>
      <c r="C9">
        <f t="shared" si="0"/>
        <v>32</v>
      </c>
      <c r="D9">
        <f t="shared" si="1"/>
        <v>6</v>
      </c>
      <c r="E9">
        <v>6</v>
      </c>
      <c r="F9">
        <v>1</v>
      </c>
      <c r="G9" t="s">
        <v>454</v>
      </c>
      <c r="K9" t="s">
        <v>451</v>
      </c>
    </row>
    <row r="10" spans="1:13">
      <c r="A10" s="2" t="s">
        <v>93</v>
      </c>
      <c r="B10" s="1" t="s">
        <v>456</v>
      </c>
      <c r="C10">
        <f t="shared" si="0"/>
        <v>19</v>
      </c>
      <c r="D10">
        <f t="shared" si="1"/>
        <v>4</v>
      </c>
      <c r="E10">
        <v>4</v>
      </c>
      <c r="F10">
        <v>1</v>
      </c>
      <c r="K10" t="s">
        <v>452</v>
      </c>
    </row>
    <row r="11" spans="1:13">
      <c r="B11" s="1" t="s">
        <v>457</v>
      </c>
      <c r="C11">
        <f t="shared" si="0"/>
        <v>24</v>
      </c>
      <c r="D11">
        <f t="shared" si="1"/>
        <v>4</v>
      </c>
      <c r="E11">
        <v>4</v>
      </c>
      <c r="F11">
        <v>1</v>
      </c>
      <c r="K11" t="s">
        <v>453</v>
      </c>
    </row>
    <row r="12" spans="1:13">
      <c r="A12" s="2" t="s">
        <v>175</v>
      </c>
      <c r="B12" s="1" t="s">
        <v>176</v>
      </c>
      <c r="C12">
        <f t="shared" si="0"/>
        <v>1</v>
      </c>
      <c r="D12">
        <f t="shared" si="1"/>
        <v>0</v>
      </c>
      <c r="E12">
        <v>3</v>
      </c>
      <c r="F12">
        <v>0</v>
      </c>
    </row>
    <row r="13" spans="1:13">
      <c r="A13" s="2" t="s">
        <v>178</v>
      </c>
      <c r="B13" s="1" t="s">
        <v>458</v>
      </c>
      <c r="C13">
        <f t="shared" si="0"/>
        <v>28</v>
      </c>
      <c r="D13">
        <f t="shared" si="1"/>
        <v>3</v>
      </c>
      <c r="E13">
        <v>6</v>
      </c>
      <c r="F13">
        <v>0.5</v>
      </c>
    </row>
    <row r="14" spans="1:13" ht="37.5">
      <c r="A14" s="2" t="s">
        <v>180</v>
      </c>
      <c r="B14" s="1" t="s">
        <v>459</v>
      </c>
      <c r="C14">
        <f t="shared" si="0"/>
        <v>48</v>
      </c>
      <c r="D14">
        <f t="shared" si="1"/>
        <v>0</v>
      </c>
      <c r="E14">
        <v>6</v>
      </c>
      <c r="F14">
        <v>0</v>
      </c>
    </row>
    <row r="15" spans="1:13" ht="37.5">
      <c r="B15" s="1" t="s">
        <v>460</v>
      </c>
      <c r="C15">
        <f t="shared" si="0"/>
        <v>49</v>
      </c>
      <c r="D15">
        <f t="shared" si="1"/>
        <v>0</v>
      </c>
      <c r="E15">
        <v>6</v>
      </c>
      <c r="F15">
        <v>0</v>
      </c>
    </row>
    <row r="16" spans="1:13">
      <c r="C16" t="str">
        <f t="shared" si="0"/>
        <v/>
      </c>
    </row>
    <row r="17" spans="1:3">
      <c r="C17" t="str">
        <f t="shared" si="0"/>
        <v/>
      </c>
    </row>
    <row r="18" spans="1:3">
      <c r="A18" s="2" t="s">
        <v>461</v>
      </c>
      <c r="C18" t="str">
        <f t="shared" si="0"/>
        <v/>
      </c>
    </row>
    <row r="19" spans="1:3">
      <c r="A19" s="2" t="s">
        <v>175</v>
      </c>
      <c r="B19" s="1" t="s">
        <v>202</v>
      </c>
      <c r="C19">
        <v>1</v>
      </c>
    </row>
    <row r="20" spans="1:3" ht="37.5">
      <c r="A20" s="2" t="s">
        <v>180</v>
      </c>
      <c r="B20" s="1" t="s">
        <v>462</v>
      </c>
      <c r="C20">
        <v>1</v>
      </c>
    </row>
    <row r="21" spans="1:3" ht="37.5">
      <c r="B21" s="1" t="s">
        <v>463</v>
      </c>
      <c r="C21">
        <v>0</v>
      </c>
    </row>
    <row r="22" spans="1:3" ht="56.25">
      <c r="B22" s="1" t="s">
        <v>464</v>
      </c>
      <c r="C22">
        <v>1</v>
      </c>
    </row>
    <row r="23" spans="1:3">
      <c r="C23" t="str">
        <f t="shared" si="0"/>
        <v/>
      </c>
    </row>
    <row r="24" spans="1:3">
      <c r="C24" t="str">
        <f t="shared" si="0"/>
        <v/>
      </c>
    </row>
    <row r="25" spans="1:3">
      <c r="C25" t="str">
        <f t="shared" si="0"/>
        <v/>
      </c>
    </row>
    <row r="26" spans="1:3">
      <c r="C26" t="str">
        <f t="shared" si="0"/>
        <v/>
      </c>
    </row>
    <row r="27" spans="1:3">
      <c r="C27" t="str">
        <f t="shared" si="0"/>
        <v/>
      </c>
    </row>
    <row r="28" spans="1:3">
      <c r="C28" t="str">
        <f t="shared" si="0"/>
        <v/>
      </c>
    </row>
    <row r="29" spans="1:3">
      <c r="C29" t="str">
        <f t="shared" si="0"/>
        <v/>
      </c>
    </row>
    <row r="30" spans="1:3">
      <c r="C30" t="str">
        <f t="shared" si="0"/>
        <v/>
      </c>
    </row>
    <row r="31" spans="1:3">
      <c r="C31" t="str">
        <f t="shared" si="0"/>
        <v/>
      </c>
    </row>
    <row r="32" spans="1: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40632-6825-42C2-B87B-2A94183CFB32}">
  <sheetPr codeName="Sheet16"/>
  <dimension ref="A1:O167"/>
  <sheetViews>
    <sheetView zoomScaleNormal="100"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47.625" style="1" customWidth="1"/>
    <col min="3" max="3" width="9.75" customWidth="1"/>
    <col min="7" max="13" width="6.625" customWidth="1"/>
    <col min="14" max="15" width="6.75" customWidth="1"/>
  </cols>
  <sheetData>
    <row r="1" spans="1:15">
      <c r="A1" s="2" t="s">
        <v>0</v>
      </c>
      <c r="B1" s="2" t="s">
        <v>12</v>
      </c>
    </row>
    <row r="2" spans="1:15">
      <c r="A2" s="2" t="s">
        <v>2</v>
      </c>
      <c r="B2" s="3" t="s">
        <v>209</v>
      </c>
      <c r="D2">
        <f>SUM(D4:D1000)</f>
        <v>41</v>
      </c>
      <c r="E2">
        <f>SUM(E4:E1000)</f>
        <v>50</v>
      </c>
    </row>
    <row r="3" spans="1:15">
      <c r="A3" s="2" t="s">
        <v>1</v>
      </c>
      <c r="B3" s="1" t="s">
        <v>3</v>
      </c>
      <c r="C3" t="s">
        <v>6</v>
      </c>
      <c r="D3" t="s">
        <v>4</v>
      </c>
      <c r="E3" t="s">
        <v>5</v>
      </c>
    </row>
    <row r="4" spans="1:15">
      <c r="A4" s="2" t="s">
        <v>77</v>
      </c>
      <c r="B4" s="1">
        <v>9</v>
      </c>
      <c r="C4">
        <f>IF(B4&lt;&gt;"",LEN(B4),"")</f>
        <v>1</v>
      </c>
      <c r="D4">
        <f t="shared" ref="D4" si="0">E4*F4</f>
        <v>3</v>
      </c>
      <c r="E4">
        <v>3</v>
      </c>
      <c r="F4">
        <v>1</v>
      </c>
      <c r="G4" t="s">
        <v>476</v>
      </c>
      <c r="I4" t="s">
        <v>393</v>
      </c>
      <c r="K4" t="s">
        <v>486</v>
      </c>
      <c r="M4" t="s">
        <v>492</v>
      </c>
      <c r="O4" t="s">
        <v>497</v>
      </c>
    </row>
    <row r="5" spans="1:15" ht="75">
      <c r="A5" s="2" t="s">
        <v>79</v>
      </c>
      <c r="B5" s="1" t="s">
        <v>501</v>
      </c>
      <c r="C5">
        <f t="shared" ref="C5:C68" si="1">IF(B5&lt;&gt;"",LEN(B5),"")</f>
        <v>94</v>
      </c>
      <c r="D5">
        <f>E5*F5</f>
        <v>5</v>
      </c>
      <c r="E5">
        <v>5</v>
      </c>
      <c r="F5">
        <v>1</v>
      </c>
      <c r="G5" t="s">
        <v>477</v>
      </c>
      <c r="I5" t="s">
        <v>481</v>
      </c>
      <c r="K5" t="s">
        <v>487</v>
      </c>
      <c r="M5" t="s">
        <v>416</v>
      </c>
      <c r="O5" t="s">
        <v>498</v>
      </c>
    </row>
    <row r="6" spans="1:15" ht="37.5">
      <c r="A6" s="2" t="s">
        <v>32</v>
      </c>
      <c r="B6" s="1" t="s">
        <v>502</v>
      </c>
      <c r="C6">
        <f t="shared" si="1"/>
        <v>29</v>
      </c>
      <c r="D6">
        <f t="shared" ref="D6:D18" si="2">E6*F6</f>
        <v>5</v>
      </c>
      <c r="E6">
        <v>5</v>
      </c>
      <c r="F6">
        <v>1</v>
      </c>
      <c r="G6" t="s">
        <v>478</v>
      </c>
      <c r="I6" t="s">
        <v>482</v>
      </c>
      <c r="K6" t="s">
        <v>488</v>
      </c>
      <c r="M6" t="s">
        <v>493</v>
      </c>
      <c r="O6" t="s">
        <v>499</v>
      </c>
    </row>
    <row r="7" spans="1:15">
      <c r="A7" s="2" t="s">
        <v>34</v>
      </c>
      <c r="B7" s="1" t="s">
        <v>503</v>
      </c>
      <c r="C7">
        <f t="shared" si="1"/>
        <v>1</v>
      </c>
      <c r="D7">
        <f t="shared" si="2"/>
        <v>2</v>
      </c>
      <c r="E7">
        <v>2</v>
      </c>
      <c r="F7">
        <v>1</v>
      </c>
      <c r="G7" t="s">
        <v>479</v>
      </c>
      <c r="I7" t="s">
        <v>483</v>
      </c>
      <c r="K7" t="s">
        <v>489</v>
      </c>
      <c r="M7" t="s">
        <v>494</v>
      </c>
      <c r="O7" t="s">
        <v>500</v>
      </c>
    </row>
    <row r="8" spans="1:15">
      <c r="B8" s="1" t="s">
        <v>503</v>
      </c>
      <c r="C8">
        <f t="shared" si="1"/>
        <v>1</v>
      </c>
      <c r="D8">
        <f t="shared" si="2"/>
        <v>2</v>
      </c>
      <c r="E8">
        <v>2</v>
      </c>
      <c r="F8">
        <v>1</v>
      </c>
      <c r="G8" t="s">
        <v>352</v>
      </c>
      <c r="I8" t="s">
        <v>484</v>
      </c>
      <c r="K8" t="s">
        <v>490</v>
      </c>
      <c r="M8" t="s">
        <v>495</v>
      </c>
    </row>
    <row r="9" spans="1:15">
      <c r="B9" s="1" t="s">
        <v>503</v>
      </c>
      <c r="C9">
        <f t="shared" si="1"/>
        <v>1</v>
      </c>
      <c r="D9">
        <f t="shared" si="2"/>
        <v>0</v>
      </c>
      <c r="E9">
        <v>2</v>
      </c>
      <c r="F9">
        <v>0</v>
      </c>
      <c r="G9" t="s">
        <v>480</v>
      </c>
      <c r="I9" t="s">
        <v>485</v>
      </c>
      <c r="K9" t="s">
        <v>491</v>
      </c>
      <c r="M9" t="s">
        <v>496</v>
      </c>
    </row>
    <row r="10" spans="1:15">
      <c r="B10" s="1" t="s">
        <v>504</v>
      </c>
      <c r="C10">
        <f t="shared" si="1"/>
        <v>1</v>
      </c>
      <c r="D10">
        <f t="shared" si="2"/>
        <v>0</v>
      </c>
      <c r="E10">
        <v>2</v>
      </c>
      <c r="F10">
        <v>0</v>
      </c>
    </row>
    <row r="11" spans="1:15" ht="37.5">
      <c r="A11" s="2" t="s">
        <v>48</v>
      </c>
      <c r="B11" s="1" t="s">
        <v>505</v>
      </c>
      <c r="C11">
        <f t="shared" si="1"/>
        <v>29</v>
      </c>
      <c r="D11">
        <f t="shared" si="2"/>
        <v>4</v>
      </c>
      <c r="E11">
        <v>4</v>
      </c>
      <c r="F11">
        <v>1</v>
      </c>
    </row>
    <row r="12" spans="1:15" ht="37.5">
      <c r="A12" s="2" t="s">
        <v>51</v>
      </c>
      <c r="B12" s="1" t="s">
        <v>506</v>
      </c>
      <c r="C12">
        <f t="shared" si="1"/>
        <v>33</v>
      </c>
      <c r="D12">
        <f t="shared" si="2"/>
        <v>5</v>
      </c>
      <c r="E12">
        <v>5</v>
      </c>
      <c r="F12">
        <v>1</v>
      </c>
    </row>
    <row r="13" spans="1:15">
      <c r="A13" s="2" t="s">
        <v>91</v>
      </c>
      <c r="B13" s="1" t="s">
        <v>507</v>
      </c>
      <c r="C13">
        <f t="shared" si="1"/>
        <v>22</v>
      </c>
      <c r="D13">
        <f t="shared" si="2"/>
        <v>5</v>
      </c>
      <c r="E13">
        <v>5</v>
      </c>
      <c r="F13">
        <v>1</v>
      </c>
    </row>
    <row r="14" spans="1:15">
      <c r="B14" s="1" t="s">
        <v>508</v>
      </c>
      <c r="C14">
        <f t="shared" si="1"/>
        <v>27</v>
      </c>
      <c r="D14">
        <f t="shared" si="2"/>
        <v>0</v>
      </c>
    </row>
    <row r="15" spans="1:15" ht="37.5">
      <c r="A15" s="2" t="s">
        <v>93</v>
      </c>
      <c r="B15" s="1" t="s">
        <v>509</v>
      </c>
      <c r="C15">
        <f t="shared" si="1"/>
        <v>52</v>
      </c>
      <c r="D15">
        <f t="shared" si="2"/>
        <v>5</v>
      </c>
      <c r="E15">
        <v>5</v>
      </c>
      <c r="F15">
        <v>1</v>
      </c>
    </row>
    <row r="16" spans="1:15" ht="37.5">
      <c r="A16" s="2" t="s">
        <v>175</v>
      </c>
      <c r="B16" s="1" t="s">
        <v>510</v>
      </c>
      <c r="C16">
        <f t="shared" si="1"/>
        <v>39</v>
      </c>
      <c r="D16">
        <f t="shared" si="2"/>
        <v>0</v>
      </c>
      <c r="E16">
        <v>5</v>
      </c>
      <c r="F16">
        <v>0</v>
      </c>
    </row>
    <row r="17" spans="1:6" ht="56.25">
      <c r="B17" s="1" t="s">
        <v>511</v>
      </c>
      <c r="C17">
        <f t="shared" si="1"/>
        <v>75</v>
      </c>
      <c r="D17">
        <f t="shared" si="2"/>
        <v>0</v>
      </c>
    </row>
    <row r="18" spans="1:6" ht="37.5">
      <c r="A18" s="2" t="s">
        <v>237</v>
      </c>
      <c r="B18" s="1" t="s">
        <v>512</v>
      </c>
      <c r="C18">
        <f t="shared" si="1"/>
        <v>31</v>
      </c>
      <c r="D18">
        <f t="shared" si="2"/>
        <v>5</v>
      </c>
      <c r="E18">
        <v>5</v>
      </c>
      <c r="F18">
        <v>1</v>
      </c>
    </row>
    <row r="19" spans="1:6">
      <c r="C19" t="str">
        <f t="shared" si="1"/>
        <v/>
      </c>
    </row>
    <row r="20" spans="1:6">
      <c r="C20" t="str">
        <f t="shared" si="1"/>
        <v/>
      </c>
    </row>
    <row r="21" spans="1:6">
      <c r="C21" t="str">
        <f t="shared" si="1"/>
        <v/>
      </c>
    </row>
    <row r="22" spans="1:6">
      <c r="C22" t="str">
        <f t="shared" si="1"/>
        <v/>
      </c>
    </row>
    <row r="23" spans="1:6">
      <c r="C23" t="str">
        <f t="shared" si="1"/>
        <v/>
      </c>
    </row>
    <row r="24" spans="1:6">
      <c r="C24" t="str">
        <f t="shared" si="1"/>
        <v/>
      </c>
    </row>
    <row r="25" spans="1:6">
      <c r="C25" t="str">
        <f t="shared" si="1"/>
        <v/>
      </c>
    </row>
    <row r="26" spans="1:6">
      <c r="C26" t="str">
        <f t="shared" si="1"/>
        <v/>
      </c>
    </row>
    <row r="27" spans="1:6">
      <c r="C27" t="str">
        <f t="shared" si="1"/>
        <v/>
      </c>
    </row>
    <row r="28" spans="1:6">
      <c r="C28" t="str">
        <f t="shared" si="1"/>
        <v/>
      </c>
    </row>
    <row r="29" spans="1:6">
      <c r="C29" t="str">
        <f t="shared" si="1"/>
        <v/>
      </c>
    </row>
    <row r="30" spans="1:6">
      <c r="C30" t="str">
        <f t="shared" si="1"/>
        <v/>
      </c>
    </row>
    <row r="31" spans="1:6">
      <c r="C31" t="str">
        <f t="shared" si="1"/>
        <v/>
      </c>
    </row>
    <row r="32" spans="1:6">
      <c r="C32" t="str">
        <f t="shared" si="1"/>
        <v/>
      </c>
    </row>
    <row r="33" spans="3:3">
      <c r="C33" t="str">
        <f t="shared" si="1"/>
        <v/>
      </c>
    </row>
    <row r="34" spans="3:3">
      <c r="C34" t="str">
        <f t="shared" si="1"/>
        <v/>
      </c>
    </row>
    <row r="35" spans="3:3">
      <c r="C35" t="str">
        <f t="shared" si="1"/>
        <v/>
      </c>
    </row>
    <row r="36" spans="3:3">
      <c r="C36" t="str">
        <f t="shared" si="1"/>
        <v/>
      </c>
    </row>
    <row r="37" spans="3:3">
      <c r="C37" t="str">
        <f t="shared" si="1"/>
        <v/>
      </c>
    </row>
    <row r="38" spans="3:3">
      <c r="C38" t="str">
        <f t="shared" si="1"/>
        <v/>
      </c>
    </row>
    <row r="39" spans="3:3">
      <c r="C39" t="str">
        <f t="shared" si="1"/>
        <v/>
      </c>
    </row>
    <row r="40" spans="3:3">
      <c r="C40" t="str">
        <f t="shared" si="1"/>
        <v/>
      </c>
    </row>
    <row r="41" spans="3:3">
      <c r="C41" t="str">
        <f t="shared" si="1"/>
        <v/>
      </c>
    </row>
    <row r="42" spans="3:3">
      <c r="C42" t="str">
        <f t="shared" si="1"/>
        <v/>
      </c>
    </row>
    <row r="43" spans="3:3">
      <c r="C43" t="str">
        <f t="shared" si="1"/>
        <v/>
      </c>
    </row>
    <row r="44" spans="3:3">
      <c r="C44" t="str">
        <f t="shared" si="1"/>
        <v/>
      </c>
    </row>
    <row r="45" spans="3:3">
      <c r="C45" t="str">
        <f t="shared" si="1"/>
        <v/>
      </c>
    </row>
    <row r="46" spans="3:3">
      <c r="C46" t="str">
        <f t="shared" si="1"/>
        <v/>
      </c>
    </row>
    <row r="47" spans="3:3">
      <c r="C47" t="str">
        <f t="shared" si="1"/>
        <v/>
      </c>
    </row>
    <row r="48" spans="3:3">
      <c r="C48" t="str">
        <f t="shared" si="1"/>
        <v/>
      </c>
    </row>
    <row r="49" spans="3:3">
      <c r="C49" t="str">
        <f t="shared" si="1"/>
        <v/>
      </c>
    </row>
    <row r="50" spans="3:3">
      <c r="C50" t="str">
        <f t="shared" si="1"/>
        <v/>
      </c>
    </row>
    <row r="51" spans="3:3">
      <c r="C51" t="str">
        <f t="shared" si="1"/>
        <v/>
      </c>
    </row>
    <row r="52" spans="3:3">
      <c r="C52" t="str">
        <f t="shared" si="1"/>
        <v/>
      </c>
    </row>
    <row r="53" spans="3:3">
      <c r="C53" t="str">
        <f t="shared" si="1"/>
        <v/>
      </c>
    </row>
    <row r="54" spans="3:3">
      <c r="C54" t="str">
        <f t="shared" si="1"/>
        <v/>
      </c>
    </row>
    <row r="55" spans="3:3">
      <c r="C55" t="str">
        <f t="shared" si="1"/>
        <v/>
      </c>
    </row>
    <row r="56" spans="3:3">
      <c r="C56" t="str">
        <f t="shared" si="1"/>
        <v/>
      </c>
    </row>
    <row r="57" spans="3:3">
      <c r="C57" t="str">
        <f t="shared" si="1"/>
        <v/>
      </c>
    </row>
    <row r="58" spans="3:3">
      <c r="C58" t="str">
        <f t="shared" si="1"/>
        <v/>
      </c>
    </row>
    <row r="59" spans="3:3">
      <c r="C59" t="str">
        <f t="shared" si="1"/>
        <v/>
      </c>
    </row>
    <row r="60" spans="3:3">
      <c r="C60" t="str">
        <f t="shared" si="1"/>
        <v/>
      </c>
    </row>
    <row r="61" spans="3:3">
      <c r="C61" t="str">
        <f t="shared" si="1"/>
        <v/>
      </c>
    </row>
    <row r="62" spans="3:3">
      <c r="C62" t="str">
        <f t="shared" si="1"/>
        <v/>
      </c>
    </row>
    <row r="63" spans="3:3">
      <c r="C63" t="str">
        <f t="shared" si="1"/>
        <v/>
      </c>
    </row>
    <row r="64" spans="3:3">
      <c r="C64" t="str">
        <f t="shared" si="1"/>
        <v/>
      </c>
    </row>
    <row r="65" spans="3:3">
      <c r="C65" t="str">
        <f t="shared" si="1"/>
        <v/>
      </c>
    </row>
    <row r="66" spans="3:3">
      <c r="C66" t="str">
        <f t="shared" si="1"/>
        <v/>
      </c>
    </row>
    <row r="67" spans="3:3">
      <c r="C67" t="str">
        <f t="shared" si="1"/>
        <v/>
      </c>
    </row>
    <row r="68" spans="3:3">
      <c r="C68" t="str">
        <f t="shared" si="1"/>
        <v/>
      </c>
    </row>
    <row r="69" spans="3:3">
      <c r="C69" t="str">
        <f t="shared" ref="C69:C132" si="3">IF(B69&lt;&gt;"",LEN(B69),"")</f>
        <v/>
      </c>
    </row>
    <row r="70" spans="3:3">
      <c r="C70" t="str">
        <f t="shared" si="3"/>
        <v/>
      </c>
    </row>
    <row r="71" spans="3:3">
      <c r="C71" t="str">
        <f t="shared" si="3"/>
        <v/>
      </c>
    </row>
    <row r="72" spans="3:3">
      <c r="C72" t="str">
        <f t="shared" si="3"/>
        <v/>
      </c>
    </row>
    <row r="73" spans="3:3">
      <c r="C73" t="str">
        <f t="shared" si="3"/>
        <v/>
      </c>
    </row>
    <row r="74" spans="3:3">
      <c r="C74" t="str">
        <f t="shared" si="3"/>
        <v/>
      </c>
    </row>
    <row r="75" spans="3:3">
      <c r="C75" t="str">
        <f t="shared" si="3"/>
        <v/>
      </c>
    </row>
    <row r="76" spans="3:3">
      <c r="C76" t="str">
        <f t="shared" si="3"/>
        <v/>
      </c>
    </row>
    <row r="77" spans="3:3">
      <c r="C77" t="str">
        <f t="shared" si="3"/>
        <v/>
      </c>
    </row>
    <row r="78" spans="3:3">
      <c r="C78" t="str">
        <f t="shared" si="3"/>
        <v/>
      </c>
    </row>
    <row r="79" spans="3:3">
      <c r="C79" t="str">
        <f t="shared" si="3"/>
        <v/>
      </c>
    </row>
    <row r="80" spans="3:3">
      <c r="C80" t="str">
        <f t="shared" si="3"/>
        <v/>
      </c>
    </row>
    <row r="81" spans="3:3">
      <c r="C81" t="str">
        <f t="shared" si="3"/>
        <v/>
      </c>
    </row>
    <row r="82" spans="3:3">
      <c r="C82" t="str">
        <f t="shared" si="3"/>
        <v/>
      </c>
    </row>
    <row r="83" spans="3:3">
      <c r="C83" t="str">
        <f t="shared" si="3"/>
        <v/>
      </c>
    </row>
    <row r="84" spans="3:3">
      <c r="C84" t="str">
        <f t="shared" si="3"/>
        <v/>
      </c>
    </row>
    <row r="85" spans="3:3">
      <c r="C85" t="str">
        <f t="shared" si="3"/>
        <v/>
      </c>
    </row>
    <row r="86" spans="3:3">
      <c r="C86" t="str">
        <f t="shared" si="3"/>
        <v/>
      </c>
    </row>
    <row r="87" spans="3:3">
      <c r="C87" t="str">
        <f t="shared" si="3"/>
        <v/>
      </c>
    </row>
    <row r="88" spans="3:3">
      <c r="C88" t="str">
        <f t="shared" si="3"/>
        <v/>
      </c>
    </row>
    <row r="89" spans="3:3">
      <c r="C89" t="str">
        <f t="shared" si="3"/>
        <v/>
      </c>
    </row>
    <row r="90" spans="3:3">
      <c r="C90" t="str">
        <f t="shared" si="3"/>
        <v/>
      </c>
    </row>
    <row r="91" spans="3:3">
      <c r="C91" t="str">
        <f t="shared" si="3"/>
        <v/>
      </c>
    </row>
    <row r="92" spans="3:3">
      <c r="C92" t="str">
        <f t="shared" si="3"/>
        <v/>
      </c>
    </row>
    <row r="93" spans="3:3">
      <c r="C93" t="str">
        <f t="shared" si="3"/>
        <v/>
      </c>
    </row>
    <row r="94" spans="3:3">
      <c r="C94" t="str">
        <f t="shared" si="3"/>
        <v/>
      </c>
    </row>
    <row r="95" spans="3:3">
      <c r="C95" t="str">
        <f t="shared" si="3"/>
        <v/>
      </c>
    </row>
    <row r="96" spans="3:3">
      <c r="C96" t="str">
        <f t="shared" si="3"/>
        <v/>
      </c>
    </row>
    <row r="97" spans="3:3">
      <c r="C97" t="str">
        <f t="shared" si="3"/>
        <v/>
      </c>
    </row>
    <row r="98" spans="3:3">
      <c r="C98" t="str">
        <f t="shared" si="3"/>
        <v/>
      </c>
    </row>
    <row r="99" spans="3:3">
      <c r="C99" t="str">
        <f t="shared" si="3"/>
        <v/>
      </c>
    </row>
    <row r="100" spans="3:3">
      <c r="C100" t="str">
        <f t="shared" si="3"/>
        <v/>
      </c>
    </row>
    <row r="101" spans="3:3">
      <c r="C101" t="str">
        <f t="shared" si="3"/>
        <v/>
      </c>
    </row>
    <row r="102" spans="3:3">
      <c r="C102" t="str">
        <f t="shared" si="3"/>
        <v/>
      </c>
    </row>
    <row r="103" spans="3:3">
      <c r="C103" t="str">
        <f t="shared" si="3"/>
        <v/>
      </c>
    </row>
    <row r="104" spans="3:3">
      <c r="C104" t="str">
        <f t="shared" si="3"/>
        <v/>
      </c>
    </row>
    <row r="105" spans="3:3">
      <c r="C105" t="str">
        <f t="shared" si="3"/>
        <v/>
      </c>
    </row>
    <row r="106" spans="3:3">
      <c r="C106" t="str">
        <f t="shared" si="3"/>
        <v/>
      </c>
    </row>
    <row r="107" spans="3:3">
      <c r="C107" t="str">
        <f t="shared" si="3"/>
        <v/>
      </c>
    </row>
    <row r="108" spans="3:3">
      <c r="C108" t="str">
        <f t="shared" si="3"/>
        <v/>
      </c>
    </row>
    <row r="109" spans="3:3">
      <c r="C109" t="str">
        <f t="shared" si="3"/>
        <v/>
      </c>
    </row>
    <row r="110" spans="3:3">
      <c r="C110" t="str">
        <f t="shared" si="3"/>
        <v/>
      </c>
    </row>
    <row r="111" spans="3:3">
      <c r="C111" t="str">
        <f t="shared" si="3"/>
        <v/>
      </c>
    </row>
    <row r="112" spans="3:3">
      <c r="C112" t="str">
        <f t="shared" si="3"/>
        <v/>
      </c>
    </row>
    <row r="113" spans="3:3">
      <c r="C113" t="str">
        <f t="shared" si="3"/>
        <v/>
      </c>
    </row>
    <row r="114" spans="3:3">
      <c r="C114" t="str">
        <f t="shared" si="3"/>
        <v/>
      </c>
    </row>
    <row r="115" spans="3:3">
      <c r="C115" t="str">
        <f t="shared" si="3"/>
        <v/>
      </c>
    </row>
    <row r="116" spans="3:3">
      <c r="C116" t="str">
        <f t="shared" si="3"/>
        <v/>
      </c>
    </row>
    <row r="117" spans="3:3">
      <c r="C117" t="str">
        <f t="shared" si="3"/>
        <v/>
      </c>
    </row>
    <row r="118" spans="3:3">
      <c r="C118" t="str">
        <f t="shared" si="3"/>
        <v/>
      </c>
    </row>
    <row r="119" spans="3:3">
      <c r="C119" t="str">
        <f t="shared" si="3"/>
        <v/>
      </c>
    </row>
    <row r="120" spans="3:3">
      <c r="C120" t="str">
        <f t="shared" si="3"/>
        <v/>
      </c>
    </row>
    <row r="121" spans="3:3">
      <c r="C121" t="str">
        <f t="shared" si="3"/>
        <v/>
      </c>
    </row>
    <row r="122" spans="3:3">
      <c r="C122" t="str">
        <f t="shared" si="3"/>
        <v/>
      </c>
    </row>
    <row r="123" spans="3:3">
      <c r="C123" t="str">
        <f t="shared" si="3"/>
        <v/>
      </c>
    </row>
    <row r="124" spans="3:3">
      <c r="C124" t="str">
        <f t="shared" si="3"/>
        <v/>
      </c>
    </row>
    <row r="125" spans="3:3">
      <c r="C125" t="str">
        <f t="shared" si="3"/>
        <v/>
      </c>
    </row>
    <row r="126" spans="3:3">
      <c r="C126" t="str">
        <f t="shared" si="3"/>
        <v/>
      </c>
    </row>
    <row r="127" spans="3:3">
      <c r="C127" t="str">
        <f t="shared" si="3"/>
        <v/>
      </c>
    </row>
    <row r="128" spans="3:3">
      <c r="C128" t="str">
        <f t="shared" si="3"/>
        <v/>
      </c>
    </row>
    <row r="129" spans="3:3">
      <c r="C129" t="str">
        <f t="shared" si="3"/>
        <v/>
      </c>
    </row>
    <row r="130" spans="3:3">
      <c r="C130" t="str">
        <f t="shared" si="3"/>
        <v/>
      </c>
    </row>
    <row r="131" spans="3:3">
      <c r="C131" t="str">
        <f t="shared" si="3"/>
        <v/>
      </c>
    </row>
    <row r="132" spans="3:3">
      <c r="C132" t="str">
        <f t="shared" si="3"/>
        <v/>
      </c>
    </row>
    <row r="133" spans="3:3">
      <c r="C133" t="str">
        <f t="shared" ref="C133:C167" si="4">IF(B133&lt;&gt;"",LEN(B133),"")</f>
        <v/>
      </c>
    </row>
    <row r="134" spans="3:3">
      <c r="C134" t="str">
        <f t="shared" si="4"/>
        <v/>
      </c>
    </row>
    <row r="135" spans="3:3">
      <c r="C135" t="str">
        <f t="shared" si="4"/>
        <v/>
      </c>
    </row>
    <row r="136" spans="3:3">
      <c r="C136" t="str">
        <f t="shared" si="4"/>
        <v/>
      </c>
    </row>
    <row r="137" spans="3:3">
      <c r="C137" t="str">
        <f t="shared" si="4"/>
        <v/>
      </c>
    </row>
    <row r="138" spans="3:3">
      <c r="C138" t="str">
        <f t="shared" si="4"/>
        <v/>
      </c>
    </row>
    <row r="139" spans="3:3">
      <c r="C139" t="str">
        <f t="shared" si="4"/>
        <v/>
      </c>
    </row>
    <row r="140" spans="3:3">
      <c r="C140" t="str">
        <f t="shared" si="4"/>
        <v/>
      </c>
    </row>
    <row r="141" spans="3:3">
      <c r="C141" t="str">
        <f t="shared" si="4"/>
        <v/>
      </c>
    </row>
    <row r="142" spans="3:3">
      <c r="C142" t="str">
        <f t="shared" si="4"/>
        <v/>
      </c>
    </row>
    <row r="143" spans="3:3">
      <c r="C143" t="str">
        <f t="shared" si="4"/>
        <v/>
      </c>
    </row>
    <row r="144" spans="3:3">
      <c r="C144" t="str">
        <f t="shared" si="4"/>
        <v/>
      </c>
    </row>
    <row r="145" spans="3:3">
      <c r="C145" t="str">
        <f t="shared" si="4"/>
        <v/>
      </c>
    </row>
    <row r="146" spans="3:3">
      <c r="C146" t="str">
        <f t="shared" si="4"/>
        <v/>
      </c>
    </row>
    <row r="147" spans="3:3">
      <c r="C147" t="str">
        <f t="shared" si="4"/>
        <v/>
      </c>
    </row>
    <row r="148" spans="3:3">
      <c r="C148" t="str">
        <f t="shared" si="4"/>
        <v/>
      </c>
    </row>
    <row r="149" spans="3:3">
      <c r="C149" t="str">
        <f t="shared" si="4"/>
        <v/>
      </c>
    </row>
    <row r="150" spans="3:3">
      <c r="C150" t="str">
        <f t="shared" si="4"/>
        <v/>
      </c>
    </row>
    <row r="151" spans="3:3">
      <c r="C151" t="str">
        <f t="shared" si="4"/>
        <v/>
      </c>
    </row>
    <row r="152" spans="3:3">
      <c r="C152" t="str">
        <f t="shared" si="4"/>
        <v/>
      </c>
    </row>
    <row r="153" spans="3:3">
      <c r="C153" t="str">
        <f t="shared" si="4"/>
        <v/>
      </c>
    </row>
    <row r="154" spans="3:3">
      <c r="C154" t="str">
        <f t="shared" si="4"/>
        <v/>
      </c>
    </row>
    <row r="155" spans="3:3">
      <c r="C155" t="str">
        <f t="shared" si="4"/>
        <v/>
      </c>
    </row>
    <row r="156" spans="3:3">
      <c r="C156" t="str">
        <f t="shared" si="4"/>
        <v/>
      </c>
    </row>
    <row r="157" spans="3:3">
      <c r="C157" t="str">
        <f t="shared" si="4"/>
        <v/>
      </c>
    </row>
    <row r="158" spans="3:3">
      <c r="C158" t="str">
        <f t="shared" si="4"/>
        <v/>
      </c>
    </row>
    <row r="159" spans="3:3">
      <c r="C159" t="str">
        <f t="shared" si="4"/>
        <v/>
      </c>
    </row>
    <row r="160" spans="3:3">
      <c r="C160" t="str">
        <f t="shared" si="4"/>
        <v/>
      </c>
    </row>
    <row r="161" spans="3:3">
      <c r="C161" t="str">
        <f t="shared" si="4"/>
        <v/>
      </c>
    </row>
    <row r="162" spans="3:3">
      <c r="C162" t="str">
        <f t="shared" si="4"/>
        <v/>
      </c>
    </row>
    <row r="163" spans="3:3">
      <c r="C163" t="str">
        <f t="shared" si="4"/>
        <v/>
      </c>
    </row>
    <row r="164" spans="3:3">
      <c r="C164" t="str">
        <f t="shared" si="4"/>
        <v/>
      </c>
    </row>
    <row r="165" spans="3:3">
      <c r="C165" t="str">
        <f t="shared" si="4"/>
        <v/>
      </c>
    </row>
    <row r="166" spans="3:3">
      <c r="C166" t="str">
        <f t="shared" si="4"/>
        <v/>
      </c>
    </row>
    <row r="167" spans="3:3">
      <c r="C167" t="str">
        <f t="shared" si="4"/>
        <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ADE87-4757-4AE6-BF92-8DB39D07A09C}">
  <sheetPr codeName="Sheet17"/>
  <dimension ref="A1:M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9" style="2"/>
    <col min="2" max="2" width="46" style="1" customWidth="1"/>
    <col min="3" max="3" width="9.75" customWidth="1"/>
    <col min="7" max="16" width="7" customWidth="1"/>
  </cols>
  <sheetData>
    <row r="1" spans="1:13">
      <c r="A1" s="2" t="s">
        <v>0</v>
      </c>
      <c r="B1" s="2" t="s">
        <v>12</v>
      </c>
    </row>
    <row r="2" spans="1:13">
      <c r="A2" s="2" t="s">
        <v>2</v>
      </c>
      <c r="B2" s="3" t="s">
        <v>60</v>
      </c>
      <c r="D2">
        <f>SUM(D4:D1000)</f>
        <v>46</v>
      </c>
      <c r="E2">
        <f>SUM(E4:E1000)</f>
        <v>50</v>
      </c>
    </row>
    <row r="3" spans="1:13">
      <c r="A3" s="2" t="s">
        <v>1</v>
      </c>
      <c r="B3" s="1" t="s">
        <v>3</v>
      </c>
      <c r="C3" t="s">
        <v>6</v>
      </c>
      <c r="D3" t="s">
        <v>4</v>
      </c>
      <c r="E3" t="s">
        <v>5</v>
      </c>
    </row>
    <row r="4" spans="1:13" ht="37.5">
      <c r="A4" s="2" t="s">
        <v>77</v>
      </c>
      <c r="B4" s="1" t="s">
        <v>526</v>
      </c>
      <c r="C4">
        <f>IF(B4&lt;&gt;"",LEN(B4),"")</f>
        <v>47</v>
      </c>
      <c r="D4">
        <f>E4*F4</f>
        <v>5</v>
      </c>
      <c r="E4">
        <v>5</v>
      </c>
      <c r="F4">
        <v>1</v>
      </c>
      <c r="G4" t="s">
        <v>513</v>
      </c>
      <c r="I4" t="s">
        <v>517</v>
      </c>
      <c r="K4" t="s">
        <v>71</v>
      </c>
      <c r="M4" t="s">
        <v>66</v>
      </c>
    </row>
    <row r="5" spans="1:13">
      <c r="A5" s="2" t="s">
        <v>79</v>
      </c>
      <c r="B5" s="1" t="s">
        <v>528</v>
      </c>
      <c r="C5">
        <f t="shared" ref="C5:C68" si="0">IF(B5&lt;&gt;"",LEN(B5),"")</f>
        <v>15</v>
      </c>
      <c r="D5">
        <f t="shared" ref="D5:D15" si="1">E5*F5</f>
        <v>4</v>
      </c>
      <c r="E5">
        <v>4</v>
      </c>
      <c r="F5">
        <v>1</v>
      </c>
      <c r="G5" t="s">
        <v>514</v>
      </c>
      <c r="I5" t="s">
        <v>518</v>
      </c>
      <c r="K5" t="s">
        <v>522</v>
      </c>
      <c r="M5" t="s">
        <v>525</v>
      </c>
    </row>
    <row r="6" spans="1:13">
      <c r="A6" s="2" t="s">
        <v>81</v>
      </c>
      <c r="B6" s="1" t="s">
        <v>529</v>
      </c>
      <c r="C6">
        <f t="shared" si="0"/>
        <v>5</v>
      </c>
      <c r="D6">
        <f t="shared" si="1"/>
        <v>3</v>
      </c>
      <c r="E6">
        <v>3</v>
      </c>
      <c r="F6">
        <v>1</v>
      </c>
      <c r="G6" t="s">
        <v>515</v>
      </c>
      <c r="I6" t="s">
        <v>519</v>
      </c>
      <c r="K6" t="s">
        <v>295</v>
      </c>
      <c r="M6" t="s">
        <v>517</v>
      </c>
    </row>
    <row r="7" spans="1:13">
      <c r="B7" s="1" t="s">
        <v>530</v>
      </c>
      <c r="C7">
        <f t="shared" si="0"/>
        <v>5</v>
      </c>
      <c r="D7">
        <f t="shared" si="1"/>
        <v>3</v>
      </c>
      <c r="E7">
        <v>3</v>
      </c>
      <c r="F7">
        <v>1</v>
      </c>
      <c r="G7" t="s">
        <v>516</v>
      </c>
      <c r="I7" t="s">
        <v>520</v>
      </c>
      <c r="K7" t="s">
        <v>523</v>
      </c>
      <c r="M7" t="s">
        <v>527</v>
      </c>
    </row>
    <row r="8" spans="1:13" ht="37.5">
      <c r="A8" s="2" t="s">
        <v>32</v>
      </c>
      <c r="B8" s="1" t="s">
        <v>531</v>
      </c>
      <c r="C8">
        <f t="shared" si="0"/>
        <v>38</v>
      </c>
      <c r="D8">
        <f t="shared" si="1"/>
        <v>5</v>
      </c>
      <c r="E8">
        <v>5</v>
      </c>
      <c r="F8">
        <v>1</v>
      </c>
      <c r="G8" t="s">
        <v>66</v>
      </c>
      <c r="I8" t="s">
        <v>521</v>
      </c>
      <c r="K8" t="s">
        <v>524</v>
      </c>
    </row>
    <row r="9" spans="1:13" ht="37.5">
      <c r="B9" s="1" t="s">
        <v>532</v>
      </c>
      <c r="C9">
        <f t="shared" si="0"/>
        <v>29</v>
      </c>
      <c r="D9">
        <f t="shared" si="1"/>
        <v>5</v>
      </c>
      <c r="E9">
        <v>5</v>
      </c>
      <c r="F9">
        <v>1</v>
      </c>
      <c r="G9" t="s">
        <v>534</v>
      </c>
      <c r="I9" t="s">
        <v>538</v>
      </c>
    </row>
    <row r="10" spans="1:13" ht="37.5">
      <c r="A10" s="2" t="s">
        <v>34</v>
      </c>
      <c r="B10" s="1" t="s">
        <v>533</v>
      </c>
      <c r="C10">
        <f t="shared" si="0"/>
        <v>30</v>
      </c>
      <c r="D10">
        <f t="shared" si="1"/>
        <v>5</v>
      </c>
      <c r="E10">
        <v>5</v>
      </c>
      <c r="F10">
        <v>1</v>
      </c>
      <c r="G10" t="s">
        <v>535</v>
      </c>
      <c r="I10" t="s">
        <v>539</v>
      </c>
    </row>
    <row r="11" spans="1:13" ht="37.5">
      <c r="A11" s="2" t="s">
        <v>48</v>
      </c>
      <c r="B11" s="1" t="s">
        <v>536</v>
      </c>
      <c r="C11">
        <f t="shared" si="0"/>
        <v>37</v>
      </c>
      <c r="D11">
        <f t="shared" si="1"/>
        <v>5</v>
      </c>
      <c r="E11">
        <v>5</v>
      </c>
      <c r="F11">
        <v>1</v>
      </c>
    </row>
    <row r="12" spans="1:13" ht="37.5">
      <c r="A12" s="2" t="s">
        <v>51</v>
      </c>
      <c r="B12" s="1" t="s">
        <v>537</v>
      </c>
      <c r="C12">
        <f t="shared" si="0"/>
        <v>30</v>
      </c>
      <c r="D12">
        <f t="shared" si="1"/>
        <v>6</v>
      </c>
      <c r="E12">
        <v>6</v>
      </c>
      <c r="F12">
        <v>1</v>
      </c>
    </row>
    <row r="13" spans="1:13">
      <c r="A13" s="2" t="s">
        <v>91</v>
      </c>
      <c r="B13" s="1" t="s">
        <v>540</v>
      </c>
      <c r="C13">
        <f t="shared" si="0"/>
        <v>19</v>
      </c>
      <c r="D13">
        <f t="shared" si="1"/>
        <v>0</v>
      </c>
      <c r="E13">
        <v>4</v>
      </c>
      <c r="F13">
        <v>0</v>
      </c>
    </row>
    <row r="14" spans="1:13">
      <c r="B14" s="1" t="s">
        <v>541</v>
      </c>
      <c r="C14">
        <f t="shared" si="0"/>
        <v>17</v>
      </c>
      <c r="D14">
        <f t="shared" si="1"/>
        <v>0</v>
      </c>
      <c r="F14">
        <v>0</v>
      </c>
    </row>
    <row r="15" spans="1:13" ht="37.5">
      <c r="A15" s="2" t="s">
        <v>93</v>
      </c>
      <c r="B15" s="1" t="s">
        <v>542</v>
      </c>
      <c r="C15">
        <f t="shared" si="0"/>
        <v>31</v>
      </c>
      <c r="D15">
        <f t="shared" si="1"/>
        <v>5</v>
      </c>
      <c r="E15">
        <v>5</v>
      </c>
      <c r="F15">
        <v>1</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A0555-484E-4A57-9C67-59C256972518}">
  <sheetPr codeName="Sheet18"/>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3.875" style="1" customWidth="1"/>
    <col min="3" max="3" width="9.75" customWidth="1"/>
  </cols>
  <sheetData>
    <row r="1" spans="1:7">
      <c r="A1" s="2" t="s">
        <v>0</v>
      </c>
      <c r="B1" s="1" t="s">
        <v>106</v>
      </c>
    </row>
    <row r="2" spans="1:7">
      <c r="A2" s="2" t="s">
        <v>2</v>
      </c>
      <c r="B2" s="3" t="s">
        <v>60</v>
      </c>
      <c r="D2">
        <f>SUM(D4:D1000)</f>
        <v>50</v>
      </c>
      <c r="E2">
        <f>SUM(E4:E1000)</f>
        <v>50</v>
      </c>
    </row>
    <row r="3" spans="1:7">
      <c r="A3" s="2" t="s">
        <v>1</v>
      </c>
      <c r="B3" s="1" t="s">
        <v>3</v>
      </c>
      <c r="C3" t="s">
        <v>6</v>
      </c>
      <c r="D3" t="s">
        <v>4</v>
      </c>
      <c r="E3" t="s">
        <v>5</v>
      </c>
    </row>
    <row r="4" spans="1:7">
      <c r="A4" s="2" t="s">
        <v>77</v>
      </c>
      <c r="B4" s="1" t="s">
        <v>155</v>
      </c>
      <c r="C4">
        <f>IF(B4&lt;&gt;"",LEN(B4),"")</f>
        <v>7</v>
      </c>
      <c r="D4">
        <f>E4*F4</f>
        <v>3</v>
      </c>
      <c r="E4">
        <v>3</v>
      </c>
      <c r="F4">
        <v>1</v>
      </c>
      <c r="G4" t="s">
        <v>543</v>
      </c>
    </row>
    <row r="5" spans="1:7">
      <c r="A5" s="2" t="s">
        <v>79</v>
      </c>
      <c r="B5" s="1" t="s">
        <v>546</v>
      </c>
      <c r="C5">
        <f t="shared" ref="C5:C68" si="0">IF(B5&lt;&gt;"",LEN(B5),"")</f>
        <v>2</v>
      </c>
      <c r="D5">
        <f t="shared" ref="D5:D14" si="1">E5*F5</f>
        <v>3</v>
      </c>
      <c r="E5">
        <v>3</v>
      </c>
      <c r="F5">
        <v>1</v>
      </c>
      <c r="G5" t="s">
        <v>544</v>
      </c>
    </row>
    <row r="6" spans="1:7">
      <c r="A6" s="2" t="s">
        <v>143</v>
      </c>
      <c r="B6" s="1" t="s">
        <v>164</v>
      </c>
      <c r="C6">
        <f t="shared" si="0"/>
        <v>5</v>
      </c>
      <c r="D6">
        <f t="shared" si="1"/>
        <v>3</v>
      </c>
      <c r="E6">
        <v>3</v>
      </c>
      <c r="F6">
        <v>1</v>
      </c>
      <c r="G6" t="s">
        <v>545</v>
      </c>
    </row>
    <row r="7" spans="1:7">
      <c r="A7" s="2" t="s">
        <v>48</v>
      </c>
      <c r="B7" s="1" t="s">
        <v>176</v>
      </c>
      <c r="C7">
        <f t="shared" si="0"/>
        <v>1</v>
      </c>
      <c r="D7">
        <f t="shared" si="1"/>
        <v>3</v>
      </c>
      <c r="E7">
        <v>3</v>
      </c>
      <c r="F7">
        <v>1</v>
      </c>
      <c r="G7" t="s">
        <v>438</v>
      </c>
    </row>
    <row r="8" spans="1:7">
      <c r="A8" s="2" t="s">
        <v>51</v>
      </c>
      <c r="B8" s="1" t="s">
        <v>171</v>
      </c>
      <c r="C8">
        <f t="shared" si="0"/>
        <v>1</v>
      </c>
      <c r="D8">
        <f t="shared" si="1"/>
        <v>3</v>
      </c>
      <c r="E8">
        <v>3</v>
      </c>
      <c r="F8">
        <v>1</v>
      </c>
    </row>
    <row r="9" spans="1:7" ht="37.5">
      <c r="A9" s="2" t="s">
        <v>91</v>
      </c>
      <c r="B9" s="1" t="s">
        <v>547</v>
      </c>
      <c r="C9">
        <f t="shared" si="0"/>
        <v>39</v>
      </c>
      <c r="D9">
        <f t="shared" si="1"/>
        <v>6</v>
      </c>
      <c r="E9">
        <v>6</v>
      </c>
      <c r="F9">
        <v>1</v>
      </c>
    </row>
    <row r="10" spans="1:7" ht="37.5">
      <c r="A10" s="2" t="s">
        <v>93</v>
      </c>
      <c r="B10" s="1" t="s">
        <v>548</v>
      </c>
      <c r="C10">
        <f t="shared" si="0"/>
        <v>52</v>
      </c>
      <c r="D10">
        <v>8</v>
      </c>
      <c r="E10">
        <v>8</v>
      </c>
      <c r="F10">
        <v>1</v>
      </c>
    </row>
    <row r="11" spans="1:7">
      <c r="B11" s="1" t="s">
        <v>549</v>
      </c>
      <c r="C11">
        <f t="shared" si="0"/>
        <v>23</v>
      </c>
      <c r="D11">
        <f t="shared" si="1"/>
        <v>3</v>
      </c>
      <c r="E11">
        <v>3</v>
      </c>
      <c r="F11">
        <v>1</v>
      </c>
    </row>
    <row r="12" spans="1:7">
      <c r="A12" s="2" t="s">
        <v>175</v>
      </c>
      <c r="B12" s="1" t="s">
        <v>202</v>
      </c>
      <c r="C12">
        <f t="shared" si="0"/>
        <v>1</v>
      </c>
      <c r="D12">
        <f t="shared" si="1"/>
        <v>6</v>
      </c>
      <c r="E12">
        <v>6</v>
      </c>
      <c r="F12">
        <v>1</v>
      </c>
    </row>
    <row r="13" spans="1:7">
      <c r="A13" s="2" t="s">
        <v>178</v>
      </c>
      <c r="B13" s="1" t="s">
        <v>550</v>
      </c>
      <c r="C13">
        <f t="shared" si="0"/>
        <v>18</v>
      </c>
      <c r="D13">
        <f t="shared" si="1"/>
        <v>6</v>
      </c>
      <c r="E13">
        <v>6</v>
      </c>
      <c r="F13">
        <v>1</v>
      </c>
    </row>
    <row r="14" spans="1:7" ht="37.5">
      <c r="A14" s="2" t="s">
        <v>180</v>
      </c>
      <c r="B14" s="1" t="s">
        <v>182</v>
      </c>
      <c r="C14">
        <f t="shared" si="0"/>
        <v>50</v>
      </c>
      <c r="D14">
        <f t="shared" si="1"/>
        <v>6</v>
      </c>
      <c r="E14">
        <v>6</v>
      </c>
      <c r="F14">
        <v>1</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8994D-3025-47BC-A171-771127AF1409}">
  <sheetPr codeName="Sheet19"/>
  <dimension ref="A1:G167"/>
  <sheetViews>
    <sheetView tabSelected="1" zoomScale="85" zoomScaleNormal="85" workbookViewId="0">
      <pane xSplit="1" ySplit="3" topLeftCell="B4" activePane="bottomRight" state="frozen"/>
      <selection pane="topRight" activeCell="B1" sqref="B1"/>
      <selection pane="bottomLeft" activeCell="A4" sqref="A4"/>
      <selection pane="bottomRight" activeCell="B9" sqref="B9"/>
    </sheetView>
  </sheetViews>
  <sheetFormatPr defaultRowHeight="18.75"/>
  <cols>
    <col min="1" max="1" width="9" style="2"/>
    <col min="2" max="2" width="60.5" style="1" customWidth="1"/>
    <col min="3" max="3" width="9.75" customWidth="1"/>
  </cols>
  <sheetData>
    <row r="1" spans="1:7">
      <c r="A1" s="2" t="s">
        <v>0</v>
      </c>
      <c r="B1" s="1" t="s">
        <v>106</v>
      </c>
    </row>
    <row r="2" spans="1:7">
      <c r="A2" s="2" t="s">
        <v>2</v>
      </c>
      <c r="B2" s="3" t="s">
        <v>319</v>
      </c>
      <c r="D2">
        <f>SUM(D4:D1000)</f>
        <v>0</v>
      </c>
      <c r="E2">
        <f>SUM(E4:E1000)</f>
        <v>0</v>
      </c>
    </row>
    <row r="3" spans="1:7">
      <c r="A3" s="2" t="s">
        <v>1</v>
      </c>
      <c r="B3" s="1" t="s">
        <v>3</v>
      </c>
      <c r="C3" t="s">
        <v>6</v>
      </c>
      <c r="D3" t="s">
        <v>4</v>
      </c>
      <c r="E3" t="s">
        <v>5</v>
      </c>
    </row>
    <row r="4" spans="1:7">
      <c r="A4" s="2" t="s">
        <v>77</v>
      </c>
      <c r="B4" s="1" t="s">
        <v>171</v>
      </c>
      <c r="C4">
        <f>IF(B4&lt;&gt;"",LEN(B4),"")</f>
        <v>1</v>
      </c>
      <c r="F4">
        <v>1</v>
      </c>
      <c r="G4" t="s">
        <v>407</v>
      </c>
    </row>
    <row r="5" spans="1:7">
      <c r="A5" s="2" t="s">
        <v>79</v>
      </c>
      <c r="B5" s="5" t="s">
        <v>556</v>
      </c>
      <c r="C5">
        <f t="shared" ref="C5:C68" si="0">IF(B5&lt;&gt;"",LEN(B5),"")</f>
        <v>20</v>
      </c>
      <c r="F5">
        <v>1</v>
      </c>
      <c r="G5" t="s">
        <v>551</v>
      </c>
    </row>
    <row r="6" spans="1:7">
      <c r="A6" s="2" t="s">
        <v>81</v>
      </c>
      <c r="B6" s="1" t="s">
        <v>557</v>
      </c>
      <c r="C6">
        <f t="shared" si="0"/>
        <v>10</v>
      </c>
      <c r="F6">
        <v>1</v>
      </c>
      <c r="G6" t="s">
        <v>552</v>
      </c>
    </row>
    <row r="7" spans="1:7">
      <c r="A7" s="2" t="s">
        <v>129</v>
      </c>
      <c r="B7" s="1" t="s">
        <v>558</v>
      </c>
      <c r="C7">
        <f t="shared" si="0"/>
        <v>14</v>
      </c>
      <c r="G7" t="s">
        <v>553</v>
      </c>
    </row>
    <row r="8" spans="1:7">
      <c r="A8" s="2" t="s">
        <v>131</v>
      </c>
      <c r="B8" s="1" t="s">
        <v>559</v>
      </c>
      <c r="C8">
        <f t="shared" si="0"/>
        <v>21</v>
      </c>
      <c r="G8" t="s">
        <v>554</v>
      </c>
    </row>
    <row r="9" spans="1:7">
      <c r="C9" t="str">
        <f t="shared" si="0"/>
        <v/>
      </c>
      <c r="G9" t="s">
        <v>555</v>
      </c>
    </row>
    <row r="10" spans="1:7">
      <c r="C10" t="str">
        <f t="shared" si="0"/>
        <v/>
      </c>
    </row>
    <row r="11" spans="1:7">
      <c r="C11" t="str">
        <f t="shared" si="0"/>
        <v/>
      </c>
    </row>
    <row r="12" spans="1:7">
      <c r="C12" t="str">
        <f t="shared" si="0"/>
        <v/>
      </c>
    </row>
    <row r="13" spans="1:7">
      <c r="C13" t="str">
        <f t="shared" si="0"/>
        <v/>
      </c>
    </row>
    <row r="14" spans="1:7">
      <c r="C14" t="str">
        <f t="shared" si="0"/>
        <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レビュー</vt:lpstr>
      <vt:lpstr>format</vt:lpstr>
      <vt:lpstr>1</vt:lpstr>
      <vt:lpstr>2</vt:lpstr>
      <vt:lpstr>3</vt:lpstr>
      <vt:lpstr>4</vt:lpstr>
      <vt:lpstr>5</vt:lpstr>
      <vt:lpstr>6</vt:lpstr>
      <vt:lpstr>7</vt:lpstr>
      <vt:lpstr>8</vt:lpstr>
      <vt:lpstr>9</vt:lpstr>
      <vt:lpstr>10</vt:lpstr>
      <vt:lpstr>11</vt:lpstr>
      <vt:lpstr>12</vt:lpstr>
      <vt:lpstr>13</vt:lpstr>
      <vt:lpstr>14</vt:lpstr>
      <vt:lpstr>15</vt:lpstr>
      <vt:lpstr>16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2025-04-19T09:33:28Z</dcterms:modified>
</cp:coreProperties>
</file>