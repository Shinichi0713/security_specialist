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F5BBBE0C-BAEE-44E4-B1BD-6DD9B4119B83}" xr6:coauthVersionLast="47" xr6:coauthVersionMax="47" xr10:uidLastSave="{00000000-0000-0000-0000-000000000000}"/>
  <bookViews>
    <workbookView xWindow="585" yWindow="45" windowWidth="15060" windowHeight="15435" xr2:uid="{00000000-000D-0000-FFFF-FFFF00000000}"/>
  </bookViews>
  <sheets>
    <sheet name="レビュー" sheetId="2" r:id="rId1"/>
    <sheet name="format" sheetId="4" r:id="rId2"/>
    <sheet name="1" sheetId="5" state="hidden" r:id="rId3"/>
    <sheet name="2" sheetId="6" state="hidden" r:id="rId4"/>
    <sheet name="3" sheetId="7" state="hidden" r:id="rId5"/>
    <sheet name="4" sheetId="8" state="hidden" r:id="rId6"/>
    <sheet name="5" sheetId="9" state="hidden" r:id="rId7"/>
    <sheet name="6" sheetId="10" state="hidden" r:id="rId8"/>
    <sheet name="7" sheetId="11" r:id="rId9"/>
    <sheet name="8" sheetId="12" r:id="rId10"/>
    <sheet name="9" sheetId="13" r:id="rId11"/>
    <sheet name="10" sheetId="14" r:id="rId12"/>
    <sheet name="11" sheetId="15" r:id="rId13"/>
    <sheet name="12" sheetId="16" r:id="rId14"/>
    <sheet name="13" sheetId="17" r:id="rId15"/>
    <sheet name="14" sheetId="18" r:id="rId16"/>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 i="18" l="1"/>
  <c r="D14" i="18"/>
  <c r="D13" i="18"/>
  <c r="D12" i="18"/>
  <c r="D11" i="18"/>
  <c r="D10" i="18"/>
  <c r="D9" i="18"/>
  <c r="D8" i="18"/>
  <c r="D7" i="18"/>
  <c r="D6" i="18"/>
  <c r="D5" i="18"/>
  <c r="D2" i="18" s="1"/>
  <c r="D4"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E2" i="18"/>
  <c r="D18" i="17"/>
  <c r="D17" i="17"/>
  <c r="D16" i="17"/>
  <c r="D15" i="17"/>
  <c r="D14" i="17"/>
  <c r="D13" i="17"/>
  <c r="D12" i="17"/>
  <c r="D11" i="17"/>
  <c r="D10" i="17"/>
  <c r="D9" i="17"/>
  <c r="D8" i="17"/>
  <c r="D7" i="17"/>
  <c r="D6" i="17"/>
  <c r="D4" i="17"/>
  <c r="D2" i="17" s="1"/>
  <c r="D5"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E2" i="17"/>
  <c r="D15" i="16"/>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<sst xmlns="http://schemas.openxmlformats.org/spreadsheetml/2006/main" count="849" uniqueCount="543">
  <si>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</si>
  <si>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</si>
  <si>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</si>
  <si>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</si>
  <si>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</si>
  <si>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</si>
  <si>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</si>
  <si>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</si>
  <si>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</si>
  <si>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</si>
  <si>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</si>
  <si>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</si>
  <si>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</si>
  <si>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</si>
  <si>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</si>
  <si>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</si>
  <si>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</si>
  <si>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</si>
  <si>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</si>
  <si>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</si>
  <si>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</si>
  <si>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</si>
  <si>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</si>
  <si>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</si>
  <si>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</si>
  <si>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</si>
  <si>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</si>
  <si>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</si>
  <si>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</si>
  <si>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</si>
  <si>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</si>
  <si>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</si>
  <si>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</si>
  <si>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</si>
  <si>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</si>
  <si>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</si>
  <si>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</si>
  <si>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</si>
  <si>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</si>
  <si>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</si>
  <si>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</si>
  <si>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</si>
  <si>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</si>
  <si>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</si>
  <si>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</si>
  <si>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</si>
  <si>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</si>
  <si>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</si>
  <si>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</si>
  <si>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</si>
  <si>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</si>
  <si>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</si>
  <si>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</si>
  <si>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</si>
  <si>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</si>
  <si>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</si>
  <si>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</si>
  <si>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</si>
  <si>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</si>
  <si>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</si>
  <si>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</si>
  <si>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</si>
  <si>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</si>
  <si>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</si>
  <si>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</si>
  <si>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</si>
  <si>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</si>
  <si>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</si>
  <si>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</si>
  <si>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</si>
  <si>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</si>
  <si>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</si>
  <si>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</si>
  <si>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</si>
  <si>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</si>
  <si>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</si>
  <si>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</si>
  <si>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</si>
  <si>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</si>
  <si>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</si>
  <si>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</si>
  <si>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</si>
  <si>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</si>
  <si>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</si>
  <si>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</si>
  <si>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</si>
  <si>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</si>
  <si>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</si>
  <si>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</si>
  <si>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</si>
  <si>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</si>
  <si>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</si>
  <si>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</si>
  <si>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</si>
  <si>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</si>
  <si>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</si>
  <si>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</si>
  <si>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</si>
  <si>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</si>
  <si>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</si>
  <si>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</si>
  <si>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</si>
  <si>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</si>
  <si>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</si>
  <si>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</si>
  <si>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</si>
  <si>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</si>
  <si>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</si>
  <si>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</si>
  <si>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</si>
  <si>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</si>
  <si>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</si>
  <si>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</si>
  <si>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</si>
  <si>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</si>
  <si>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</si>
  <si>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</si>
  <si>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</si>
  <si>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</si>
  <si>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</si>
  <si>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</si>
  <si>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</si>
  <si>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</si>
  <si>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</si>
  <si>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</si>
  <si>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</si>
  <si>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</si>
  <si>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</si>
  <si>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</si>
  <si>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</si>
  <si>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</si>
  <si>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</si>
  <si>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</si>
  <si>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</si>
  <si>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</si>
  <si>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</si>
  <si>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</si>
  <si>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</si>
  <si>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</si>
  <si>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</si>
  <si>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</si>
  <si>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</si>
  <si>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</si>
  <si>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</si>
  <si>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</si>
  <si>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</si>
  <si>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</si>
  <si>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</si>
  <si>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</si>
  <si>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</si>
  <si>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</si>
  <si>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</si>
  <si>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</si>
  <si>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</si>
  <si>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</si>
  <si>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</si>
  <si>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</si>
  <si>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</si>
  <si>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</si>
  <si>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</si>
  <si>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</si>
  <si>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</si>
  <si>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</si>
  <si>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</si>
  <si>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</si>
  <si>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</si>
  <si>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</si>
  <si>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</si>
  <si>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</si>
  <si>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</si>
  <si>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</si>
  <si>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</si>
  <si>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</si>
  <si>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</si>
  <si>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</si>
  <si>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</si>
  <si>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</si>
  <si>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</si>
  <si>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</si>
  <si>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</si>
  <si>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</si>
  <si>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</si>
  <si>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</si>
  <si>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</si>
  <si>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</si>
  <si>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</si>
  <si>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</si>
  <si>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</si>
  <si>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</si>
  <si>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</si>
  <si>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</si>
  <si>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</si>
  <si>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</si>
  <si>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</si>
  <si>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</si>
  <si>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</si>
  <si>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</si>
  <si>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</si>
  <si>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</si>
  <si>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</si>
  <si>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</si>
  <si>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</si>
  <si>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</si>
  <si>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</si>
  <si>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</si>
  <si>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</si>
  <si>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</si>
  <si>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</si>
  <si>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</si>
  <si>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</si>
  <si>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</si>
  <si>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</si>
  <si>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</si>
  <si>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</si>
  <si>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</si>
  <si>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</si>
  <si>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</si>
  <si>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</si>
  <si>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</si>
  <si>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</si>
  <si>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</si>
  <si>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</si>
  <si>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</si>
  <si>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</si>
  <si>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</si>
  <si>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</si>
  <si>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</si>
  <si>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</si>
  <si>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</si>
  <si>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</si>
  <si>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</si>
  <si>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</si>
  <si>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</si>
  <si>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</si>
  <si>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</si>
  <si>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</si>
  <si>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</si>
  <si>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</si>
  <si>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</si>
  <si>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</si>
  <si>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</si>
  <si>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</si>
  <si>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</si>
  <si>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</si>
  <si>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</si>
  <si>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</si>
  <si>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</si>
  <si>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</si>
  <si>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</si>
  <si>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</si>
  <si>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</si>
  <si>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</si>
  <si>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</si>
  <si>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</si>
  <si>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</si>
  <si>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</si>
  <si>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</si>
  <si>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</si>
  <si>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</si>
  <si>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</si>
  <si>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</si>
  <si>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</si>
  <si>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</si>
  <si>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</si>
  <si>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</si>
  <si>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</si>
  <si>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</si>
  <si>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</si>
  <si>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</si>
  <si>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</si>
  <si>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</si>
  <si>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</si>
  <si>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</si>
  <si>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</si>
  <si>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</si>
  <si>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</si>
  <si>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</si>
  <si>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</si>
  <si>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</si>
  <si>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</si>
  <si>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</si>
  <si>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</si>
  <si>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</si>
  <si>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</si>
  <si>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</si>
  <si>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</si>
  <si>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</si>
  <si>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</si>
  <si>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</si>
  <si>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</si>
  <si>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</si>
  <si>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</si>
  <si>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</si>
  <si>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</si>
  <si>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</si>
  <si>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</si>
  <si>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</si>
  <si>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</si>
  <si>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</si>
  <si>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</si>
  <si>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</si>
  <si>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</si>
  <si>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</si>
  <si>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</si>
  <si>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</si>
  <si>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</si>
  <si>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</si>
  <si>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</si>
  <si>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</si>
  <si>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</si>
  <si>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</si>
  <si>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</si>
  <si>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</si>
  <si>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</si>
  <si>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</si>
  <si>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</si>
  <si>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</si>
  <si>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</si>
  <si>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</si>
  <si>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</si>
  <si>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</si>
  <si>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</si>
  <si>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</si>
  <si>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</si>
  <si>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</si>
  <si>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</si>
  <si>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</si>
  <si>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</si>
  <si>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</si>
  <si>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</si>
  <si>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</si>
  <si>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</si>
  <si>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</si>
  <si>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</si>
  <si>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</si>
  <si>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</si>
  <si>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</si>
  <si>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</si>
  <si>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</si>
  <si>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</si>
  <si>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</si>
  <si>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</si>
  <si>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</si>
  <si>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</si>
  <si>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</si>
  <si>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</si>
  <si>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</si>
  <si>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</si>
  <si>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</si>
  <si>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</si>
  <si>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</si>
  <si>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</si>
  <si>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</si>
  <si>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</si>
  <si>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</si>
  <si>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</si>
  <si>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</si>
  <si>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</si>
  <si>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</si>
  <si>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</si>
  <si>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</si>
  <si>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</si>
  <si>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</si>
  <si>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</si>
  <si>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</si>
  <si>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</si>
  <si>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</si>
  <si>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</si>
  <si>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</si>
  <si>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</si>
  <si>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</si>
  <si>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</si>
  <si>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</si>
  <si>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</si>
  <si>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</si>
  <si>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</si>
  <si>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</si>
  <si>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</si>
  <si>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</si>
  <si>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</si>
  <si>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</si>
  <si>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</si>
  <si>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</si>
  <si>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</si>
  <si>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</si>
  <si>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</si>
  <si>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</si>
  <si>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</si>
  <si>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</si>
  <si>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</si>
  <si>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</si>
  <si>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</si>
  <si>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</si>
  <si>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</si>
  <si>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</si>
  <si>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</si>
  <si>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</si>
  <si>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</si>
  <si>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</si>
  <si>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</si>
  <si>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</si>
  <si>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</si>
  <si>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</si>
  <si>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</si>
  <si>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</si>
  <si>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</si>
  <si>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</si>
  <si>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</si>
  <si>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</si>
  <si>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</si>
  <si>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</si>
  <si>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</si>
  <si>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</si>
  <si>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</si>
  <si>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</si>
  <si>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</si>
  <si>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</si>
  <si>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</si>
  <si>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</si>
  <si>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</si>
  <si>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</si>
  <si>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</si>
  <si>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</si>
  <si>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</si>
  <si>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</si>
  <si>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</si>
  <si>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</si>
  <si>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</si>
  <si>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</si>
  <si>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</si>
  <si>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</si>
  <si>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</si>
  <si>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</si>
  <si>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</si>
  <si>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</si>
  <si>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</si>
  <si>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</si>
  <si>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</si>
  <si>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</si>
  <si>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</si>
  <si>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</si>
  <si>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</si>
  <si>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</si>
  <si>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</si>
  <si>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</si>
  <si>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</si>
  <si>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</si>
  <si>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</si>
  <si>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</si>
  <si>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</si>
  <si>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</si>
  <si>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</si>
  <si>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</si>
  <si>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</si>
  <si>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</si>
  <si>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</si>
  <si>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</si>
  <si>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</si>
  <si>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</si>
  <si>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</si>
  <si>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</si>
  <si>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</si>
  <si>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</si>
  <si>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</si>
  <si>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</si>
  <si>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</si>
  <si>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</si>
  <si>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</si>
  <si>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</si>
  <si>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</si>
  <si>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</si>
  <si>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</si>
  <si>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</si>
  <si>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</si>
  <si>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</si>
  <si>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</si>
  <si>
    <t>D社webアプリ</t>
    <rPh sb="1" eb="2">
      <t>シャ</t>
    </rPh>
    <phoneticPr fontId="1"/>
  </si>
  <si>
    <t>webアプリ診断</t>
    <rPh sb="6" eb="8">
      <t>シンダン</t>
    </rPh>
    <phoneticPr fontId="1"/>
  </si>
  <si>
    <t>手動分析も行う</t>
    <rPh sb="0" eb="2">
      <t>シュドウ</t>
    </rPh>
    <rPh sb="2" eb="4">
      <t>ブンセキ</t>
    </rPh>
    <rPh sb="5" eb="6">
      <t>オコナ</t>
    </rPh>
    <phoneticPr fontId="1"/>
  </si>
  <si>
    <t>サイトX</t>
    <phoneticPr fontId="1"/>
  </si>
  <si>
    <t>サイトP</t>
    <phoneticPr fontId="1"/>
  </si>
  <si>
    <t>ストレージ</t>
    <phoneticPr fontId="1"/>
  </si>
  <si>
    <t>IMDS</t>
    <phoneticPr fontId="1"/>
  </si>
  <si>
    <t>VG</t>
    <phoneticPr fontId="1"/>
  </si>
  <si>
    <t>VPC</t>
    <phoneticPr fontId="1"/>
  </si>
  <si>
    <t>クレデンシャル</t>
    <phoneticPr fontId="1"/>
  </si>
  <si>
    <t>URLアクセスで取得</t>
    <rPh sb="8" eb="10">
      <t>シュトク</t>
    </rPh>
    <phoneticPr fontId="1"/>
  </si>
  <si>
    <t>PUTで</t>
    <phoneticPr fontId="1"/>
  </si>
  <si>
    <t>トークンで入手</t>
    <rPh sb="5" eb="7">
      <t>ニュウシュ</t>
    </rPh>
    <phoneticPr fontId="1"/>
  </si>
  <si>
    <t>CMS</t>
    <phoneticPr fontId="1"/>
  </si>
  <si>
    <t>会員の利用者アカウント</t>
    <rPh sb="0" eb="2">
      <t>カイイン</t>
    </rPh>
    <rPh sb="3" eb="6">
      <t>リヨウシャ</t>
    </rPh>
    <phoneticPr fontId="1"/>
  </si>
  <si>
    <t>cookieパラメータ</t>
    <phoneticPr fontId="1"/>
  </si>
  <si>
    <t>Session</t>
    <phoneticPr fontId="1"/>
  </si>
  <si>
    <t>利用者</t>
    <rPh sb="0" eb="3">
      <t>リヨウシャ</t>
    </rPh>
    <phoneticPr fontId="1"/>
  </si>
  <si>
    <t>注文年月</t>
    <rPh sb="0" eb="4">
      <t>チュウモンネンゲツ</t>
    </rPh>
    <phoneticPr fontId="1"/>
  </si>
  <si>
    <t>利用者情報</t>
    <rPh sb="0" eb="3">
      <t>リヨウシャ</t>
    </rPh>
    <rPh sb="3" eb="5">
      <t>ジョウホウ</t>
    </rPh>
    <phoneticPr fontId="1"/>
  </si>
  <si>
    <t>商品情報を登録</t>
    <rPh sb="0" eb="2">
      <t>ショウヒン</t>
    </rPh>
    <rPh sb="2" eb="4">
      <t>ジョウホウ</t>
    </rPh>
    <rPh sb="5" eb="7">
      <t>トウロク</t>
    </rPh>
    <phoneticPr fontId="1"/>
  </si>
  <si>
    <t>XSS</t>
    <phoneticPr fontId="1"/>
  </si>
  <si>
    <t>CSRF</t>
    <phoneticPr fontId="1"/>
  </si>
  <si>
    <t>認可制御の不備</t>
    <rPh sb="0" eb="2">
      <t>ニンカ</t>
    </rPh>
    <rPh sb="2" eb="4">
      <t>セイギョ</t>
    </rPh>
    <rPh sb="5" eb="7">
      <t>フビ</t>
    </rPh>
    <phoneticPr fontId="1"/>
  </si>
  <si>
    <t>会員編集機能</t>
    <rPh sb="0" eb="2">
      <t>カイイン</t>
    </rPh>
    <rPh sb="2" eb="4">
      <t>ヘンシュウ</t>
    </rPh>
    <rPh sb="4" eb="6">
      <t>キノウ</t>
    </rPh>
    <phoneticPr fontId="1"/>
  </si>
  <si>
    <t>攻撃者がわなリンクを用意し、管理者にそのリンクを踏ませることで管理者権限のcookieを攻撃者のwebサイトに送信させ、その値を利用して管理者としてサイトXにアクセス、利用者情報を取得する</t>
    <rPh sb="0" eb="3">
      <t>コウゲキシャ</t>
    </rPh>
    <rPh sb="10" eb="12">
      <t>ヨウイ</t>
    </rPh>
    <rPh sb="14" eb="17">
      <t>カンリシャ</t>
    </rPh>
    <rPh sb="24" eb="25">
      <t>フ</t>
    </rPh>
    <rPh sb="31" eb="34">
      <t>カンリシャ</t>
    </rPh>
    <rPh sb="34" eb="36">
      <t>ケンゲン</t>
    </rPh>
    <rPh sb="44" eb="47">
      <t>コウゲキシャ</t>
    </rPh>
    <rPh sb="55" eb="57">
      <t>ソウシン</t>
    </rPh>
    <rPh sb="62" eb="63">
      <t>アタイ</t>
    </rPh>
    <rPh sb="64" eb="66">
      <t>リヨウ</t>
    </rPh>
    <rPh sb="68" eb="71">
      <t>カンリシャ</t>
    </rPh>
    <rPh sb="84" eb="87">
      <t>リヨウシャ</t>
    </rPh>
    <rPh sb="87" eb="89">
      <t>ジョウホウ</t>
    </rPh>
    <rPh sb="90" eb="92">
      <t>シュトク</t>
    </rPh>
    <phoneticPr fontId="1"/>
  </si>
  <si>
    <t>攻撃者が、別の利用者になりすまして、会員情報を書き換えする</t>
    <rPh sb="0" eb="3">
      <t>コウゲキシャ</t>
    </rPh>
    <rPh sb="5" eb="6">
      <t>ベツ</t>
    </rPh>
    <rPh sb="7" eb="10">
      <t>リヨウシャ</t>
    </rPh>
    <rPh sb="18" eb="20">
      <t>カイイン</t>
    </rPh>
    <rPh sb="20" eb="22">
      <t>ジョウホウ</t>
    </rPh>
    <rPh sb="23" eb="24">
      <t>カ</t>
    </rPh>
    <rPh sb="25" eb="26">
      <t>カ</t>
    </rPh>
    <phoneticPr fontId="1"/>
  </si>
  <si>
    <t>×</t>
    <phoneticPr fontId="1"/>
  </si>
  <si>
    <t>〇</t>
    <phoneticPr fontId="1"/>
  </si>
  <si>
    <t>202404-以下６桁を総当たりで変更してログイン試行する</t>
    <rPh sb="7" eb="9">
      <t>イカ</t>
    </rPh>
    <rPh sb="10" eb="11">
      <t>ケタ</t>
    </rPh>
    <rPh sb="12" eb="14">
      <t>ソウア</t>
    </rPh>
    <rPh sb="17" eb="19">
      <t>ヘンコウ</t>
    </rPh>
    <rPh sb="25" eb="27">
      <t>シコウ</t>
    </rPh>
    <phoneticPr fontId="1"/>
  </si>
  <si>
    <t>order-codeから利用者を特定の上、正式な利用者かを確認する</t>
    <rPh sb="12" eb="15">
      <t>リヨウシャ</t>
    </rPh>
    <rPh sb="16" eb="18">
      <t>トクテイ</t>
    </rPh>
    <rPh sb="19" eb="20">
      <t>ウエ</t>
    </rPh>
    <rPh sb="21" eb="23">
      <t>セイシキ</t>
    </rPh>
    <rPh sb="24" eb="27">
      <t>リヨウシャ</t>
    </rPh>
    <rPh sb="29" eb="31">
      <t>カクニン</t>
    </rPh>
    <phoneticPr fontId="1"/>
  </si>
  <si>
    <t>POSTメソッドでないとログインできないため</t>
    <phoneticPr fontId="1"/>
  </si>
  <si>
    <t>SSRFしてもGETメソッドでのログインが出来ないため</t>
    <rPh sb="21" eb="23">
      <t>デキ</t>
    </rPh>
    <phoneticPr fontId="1"/>
  </si>
  <si>
    <t>pageいかにクレデンシャルを返すURLを指定の上、GETリクエストをサイトPのtopページに送信する。</t>
    <rPh sb="15" eb="16">
      <t>カエ</t>
    </rPh>
    <rPh sb="21" eb="23">
      <t>シテイ</t>
    </rPh>
    <rPh sb="24" eb="25">
      <t>ウエ</t>
    </rPh>
    <rPh sb="47" eb="49">
      <t>ソウシン</t>
    </rPh>
    <phoneticPr fontId="1"/>
  </si>
  <si>
    <t>サイトPのtopページにIMDSのURLを指定の上、getリクエストを送付する</t>
    <rPh sb="21" eb="23">
      <t>シテイ</t>
    </rPh>
    <rPh sb="24" eb="25">
      <t>ウエ</t>
    </rPh>
    <rPh sb="35" eb="37">
      <t>ソウフ</t>
    </rPh>
    <phoneticPr fontId="1"/>
  </si>
  <si>
    <t>トークンを発行するURLにPUTメソッドでアクセスしてトークンを入手して、リクエストヘッダに含めて、IMDSのクレデンシャルを返すURLにアクセスする</t>
    <rPh sb="5" eb="7">
      <t>ハッコウ</t>
    </rPh>
    <rPh sb="32" eb="34">
      <t>ニュウシュ</t>
    </rPh>
    <rPh sb="46" eb="47">
      <t>フク</t>
    </rPh>
    <rPh sb="63" eb="64">
      <t>カエ</t>
    </rPh>
    <phoneticPr fontId="1"/>
  </si>
  <si>
    <t>パラメータpageの値がサイトP以外のURLならばエラーとする</t>
    <rPh sb="10" eb="11">
      <t>アタイ</t>
    </rPh>
    <rPh sb="16" eb="18">
      <t>イガイ</t>
    </rPh>
    <phoneticPr fontId="1"/>
  </si>
  <si>
    <t>サイバー攻撃</t>
    <rPh sb="4" eb="6">
      <t>コウゲキ</t>
    </rPh>
    <phoneticPr fontId="1"/>
  </si>
  <si>
    <t>HTTPS</t>
    <phoneticPr fontId="1"/>
  </si>
  <si>
    <t>FW</t>
    <phoneticPr fontId="1"/>
  </si>
  <si>
    <t>R-PC</t>
    <phoneticPr fontId="1"/>
  </si>
  <si>
    <t>VPN-H</t>
    <phoneticPr fontId="1"/>
  </si>
  <si>
    <t>ID+PW認証</t>
    <rPh sb="5" eb="7">
      <t>ニンショウ</t>
    </rPh>
    <phoneticPr fontId="1"/>
  </si>
  <si>
    <t>SMS</t>
    <phoneticPr fontId="1"/>
  </si>
  <si>
    <t>アノマリ検知</t>
    <rPh sb="4" eb="6">
      <t>ケンチ</t>
    </rPh>
    <phoneticPr fontId="1"/>
  </si>
  <si>
    <t>WAF</t>
    <phoneticPr fontId="1"/>
  </si>
  <si>
    <t>ID＋PW</t>
    <phoneticPr fontId="1"/>
  </si>
  <si>
    <t>クライアント認証</t>
    <rPh sb="6" eb="8">
      <t>ニンショウ</t>
    </rPh>
    <phoneticPr fontId="1"/>
  </si>
  <si>
    <t>スマホでSMS</t>
    <phoneticPr fontId="1"/>
  </si>
  <si>
    <t>脆弱性</t>
    <rPh sb="0" eb="3">
      <t>ゼイジャクセイ</t>
    </rPh>
    <phoneticPr fontId="1"/>
  </si>
  <si>
    <t>公開webサーバー、取引先webサーバに対して、HTTP getリクエストを繰り返し送付する。</t>
    <rPh sb="0" eb="2">
      <t>コウカイ</t>
    </rPh>
    <rPh sb="10" eb="13">
      <t>トリヒキサキ</t>
    </rPh>
    <rPh sb="20" eb="21">
      <t>タイ</t>
    </rPh>
    <rPh sb="38" eb="39">
      <t>ク</t>
    </rPh>
    <rPh sb="40" eb="41">
      <t>カエ</t>
    </rPh>
    <rPh sb="42" eb="44">
      <t>ソウフ</t>
    </rPh>
    <phoneticPr fontId="1"/>
  </si>
  <si>
    <t>ポートは返さない</t>
    <rPh sb="4" eb="5">
      <t>カエ</t>
    </rPh>
    <phoneticPr fontId="1"/>
  </si>
  <si>
    <t>正常な通信を異常として判定する</t>
    <rPh sb="0" eb="2">
      <t>セイジョウ</t>
    </rPh>
    <rPh sb="3" eb="5">
      <t>ツウシン</t>
    </rPh>
    <rPh sb="6" eb="8">
      <t>イジョウ</t>
    </rPh>
    <rPh sb="11" eb="13">
      <t>ハンテイ</t>
    </rPh>
    <phoneticPr fontId="1"/>
  </si>
  <si>
    <t>DNS-K</t>
    <phoneticPr fontId="1"/>
  </si>
  <si>
    <t>DNS-F</t>
    <phoneticPr fontId="1"/>
  </si>
  <si>
    <t>攻撃者が正規サイトに入手したIDやPWを入力の後、SMS入力の画面を表示する</t>
    <rPh sb="0" eb="3">
      <t>コウゲキシャ</t>
    </rPh>
    <rPh sb="4" eb="6">
      <t>セイキ</t>
    </rPh>
    <rPh sb="10" eb="12">
      <t>ニュウシュ</t>
    </rPh>
    <rPh sb="20" eb="22">
      <t>ニュウリョク</t>
    </rPh>
    <rPh sb="23" eb="24">
      <t>アト</t>
    </rPh>
    <rPh sb="28" eb="30">
      <t>ニュウリョク</t>
    </rPh>
    <rPh sb="31" eb="33">
      <t>ガメン</t>
    </rPh>
    <rPh sb="34" eb="36">
      <t>ヒョウジ</t>
    </rPh>
    <phoneticPr fontId="1"/>
  </si>
  <si>
    <t>利用者が入力したSMSを、正規SMSの入力ページに入力する</t>
    <rPh sb="0" eb="3">
      <t>リヨウシャ</t>
    </rPh>
    <rPh sb="4" eb="6">
      <t>ニュウリョク</t>
    </rPh>
    <rPh sb="13" eb="15">
      <t>セイキ</t>
    </rPh>
    <rPh sb="19" eb="21">
      <t>ニュウリョク</t>
    </rPh>
    <rPh sb="25" eb="27">
      <t>ニュウリョク</t>
    </rPh>
    <phoneticPr fontId="1"/>
  </si>
  <si>
    <t>ログイン情報を入力してよいのは、クライアントソフトのみとする</t>
    <rPh sb="4" eb="6">
      <t>ジョウホウ</t>
    </rPh>
    <rPh sb="7" eb="9">
      <t>ニュウリョク</t>
    </rPh>
    <phoneticPr fontId="1"/>
  </si>
  <si>
    <t>V-3</t>
    <phoneticPr fontId="1"/>
  </si>
  <si>
    <t>ポートの対策</t>
    <rPh sb="4" eb="6">
      <t>タイサク</t>
    </rPh>
    <phoneticPr fontId="1"/>
  </si>
  <si>
    <t>VPN-Hに対しての通信を盗聴し、受信した順番通りにVPN-Hに送信を行う</t>
    <rPh sb="6" eb="7">
      <t>タイ</t>
    </rPh>
    <rPh sb="10" eb="12">
      <t>ツウシン</t>
    </rPh>
    <rPh sb="13" eb="15">
      <t>トウチョウ</t>
    </rPh>
    <rPh sb="17" eb="19">
      <t>ジュシン</t>
    </rPh>
    <rPh sb="21" eb="23">
      <t>ジュンバン</t>
    </rPh>
    <rPh sb="23" eb="24">
      <t>トオ</t>
    </rPh>
    <rPh sb="32" eb="34">
      <t>ソウシン</t>
    </rPh>
    <rPh sb="35" eb="36">
      <t>オコナ</t>
    </rPh>
    <phoneticPr fontId="1"/>
  </si>
  <si>
    <t>同じパケットを送信した場合、SPAパケットは破棄されるため。</t>
    <rPh sb="0" eb="1">
      <t>オナ</t>
    </rPh>
    <rPh sb="7" eb="9">
      <t>ソウシン</t>
    </rPh>
    <rPh sb="11" eb="13">
      <t>バアイ</t>
    </rPh>
    <rPh sb="22" eb="24">
      <t>ハキ</t>
    </rPh>
    <phoneticPr fontId="1"/>
  </si>
  <si>
    <t>Sソフト</t>
    <phoneticPr fontId="1"/>
  </si>
  <si>
    <t>HMACベース</t>
    <phoneticPr fontId="1"/>
  </si>
  <si>
    <t>DDoS対策機能を有するCDNサービス</t>
    <rPh sb="4" eb="6">
      <t>タイサク</t>
    </rPh>
    <rPh sb="6" eb="8">
      <t>キノウ</t>
    </rPh>
    <rPh sb="9" eb="10">
      <t>ユウ</t>
    </rPh>
    <phoneticPr fontId="1"/>
  </si>
  <si>
    <t>ISPが提供すDDoS防御サービス</t>
    <rPh sb="4" eb="6">
      <t>テイキョウ</t>
    </rPh>
    <rPh sb="11" eb="13">
      <t>ボウギョ</t>
    </rPh>
    <phoneticPr fontId="1"/>
  </si>
  <si>
    <t>取引さ専用PC以外からの通信が、webサーバーに到達しないため</t>
    <rPh sb="0" eb="2">
      <t>トリヒキ</t>
    </rPh>
    <rPh sb="3" eb="5">
      <t>センヨウ</t>
    </rPh>
    <rPh sb="7" eb="9">
      <t>イガイ</t>
    </rPh>
    <rPh sb="12" eb="14">
      <t>ツウシン</t>
    </rPh>
    <rPh sb="24" eb="26">
      <t>トウタツ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</si>
</sst>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1</xdr:row>
          <xdr:rowOff>38100</xdr:rowOff>
        </xdr:from>
        <xdr:to>
          <xdr:col>10</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3</xdr:row>
          <xdr:rowOff>104775</xdr:rowOff>
        </xdr:from>
        <xdr:to>
          <xdr:col>10</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5"/>
  <sheetViews>
    <sheetView tabSelected="1" zoomScale="115" zoomScaleNormal="115" workbookViewId="0">
      <selection activeCell="E13" sqref="E13"/>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row r="14" spans="1:6">
      <c r="A14">
        <v>13</v>
      </c>
      <c r="B14" s="2" t="s">
        <v>12</v>
      </c>
      <c r="C14" s="2" t="s">
        <v>239</v>
      </c>
      <c r="D14">
        <v>41</v>
      </c>
      <c r="E14">
        <v>50</v>
      </c>
    </row>
    <row r="15" spans="1:6">
      <c r="A15">
        <v>14</v>
      </c>
      <c r="B15" s="2" t="s">
        <v>12</v>
      </c>
      <c r="C15" s="2" t="s">
        <v>59</v>
      </c>
      <c r="D15">
        <v>46</v>
      </c>
      <c r="E15">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9</xdr:col>
                    <xdr:colOff>142875</xdr:colOff>
                    <xdr:row>1</xdr:row>
                    <xdr:rowOff>38100</xdr:rowOff>
                  </from>
                  <to>
                    <xdr:col>10</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9</xdr:col>
                    <xdr:colOff>200025</xdr:colOff>
                    <xdr:row>3</xdr:row>
                    <xdr:rowOff>104775</xdr:rowOff>
                  </from>
                  <to>
                    <xdr:col>10</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zoomScale="85" zoomScaleNormal="85" workbookViewId="0">
      <pane xSplit="1" ySplit="3" topLeftCell="B4" activePane="bottomRight" state="frozen"/>
      <selection pane="topRight" activeCell="B1" sqref="B1"/>
      <selection pane="bottomLeft" activeCell="A4" sqref="A4"/>
      <selection pane="bottomRight" activeCell="B26" sqref="B26:D26"/>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40632-6825-42C2-B87B-2A94183CFB32}">
  <sheetPr codeName="Sheet16"/>
  <dimension ref="A1:O167"/>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625" style="1" customWidth="1"/>
    <col min="3" max="3" width="9.75" customWidth="1"/>
    <col min="7" max="13" width="6.625" customWidth="1"/>
    <col min="14" max="15" width="6.75" customWidth="1"/>
  </cols>
  <sheetData>
    <row r="1" spans="1:15">
      <c r="A1" s="2" t="s">
        <v>0</v>
      </c>
      <c r="B1" s="2" t="s">
        <v>12</v>
      </c>
    </row>
    <row r="2" spans="1:15">
      <c r="A2" s="2" t="s">
        <v>2</v>
      </c>
      <c r="B2" s="3" t="s">
        <v>209</v>
      </c>
      <c r="D2">
        <f>SUM(D4:D1000)</f>
        <v>41</v>
      </c>
      <c r="E2">
        <f>SUM(E4:E1000)</f>
        <v>50</v>
      </c>
    </row>
    <row r="3" spans="1:15">
      <c r="A3" s="2" t="s">
        <v>1</v>
      </c>
      <c r="B3" s="1" t="s">
        <v>3</v>
      </c>
      <c r="C3" t="s">
        <v>6</v>
      </c>
      <c r="D3" t="s">
        <v>4</v>
      </c>
      <c r="E3" t="s">
        <v>5</v>
      </c>
    </row>
    <row r="4" spans="1:15">
      <c r="A4" s="2" t="s">
        <v>77</v>
      </c>
      <c r="B4" s="1">
        <v>9</v>
      </c>
      <c r="C4">
        <f>IF(B4&lt;&gt;"",LEN(B4),"")</f>
        <v>1</v>
      </c>
      <c r="D4">
        <f t="shared" ref="D4" si="0">E4*F4</f>
        <v>3</v>
      </c>
      <c r="E4">
        <v>3</v>
      </c>
      <c r="F4">
        <v>1</v>
      </c>
      <c r="G4" t="s">
        <v>476</v>
      </c>
      <c r="I4" t="s">
        <v>393</v>
      </c>
      <c r="K4" t="s">
        <v>486</v>
      </c>
      <c r="M4" t="s">
        <v>492</v>
      </c>
      <c r="O4" t="s">
        <v>497</v>
      </c>
    </row>
    <row r="5" spans="1:15" ht="75">
      <c r="A5" s="2" t="s">
        <v>79</v>
      </c>
      <c r="B5" s="1" t="s">
        <v>501</v>
      </c>
      <c r="C5">
        <f t="shared" ref="C5:C68" si="1">IF(B5&lt;&gt;"",LEN(B5),"")</f>
        <v>94</v>
      </c>
      <c r="D5">
        <f>E5*F5</f>
        <v>5</v>
      </c>
      <c r="E5">
        <v>5</v>
      </c>
      <c r="F5">
        <v>1</v>
      </c>
      <c r="G5" t="s">
        <v>477</v>
      </c>
      <c r="I5" t="s">
        <v>481</v>
      </c>
      <c r="K5" t="s">
        <v>487</v>
      </c>
      <c r="M5" t="s">
        <v>416</v>
      </c>
      <c r="O5" t="s">
        <v>498</v>
      </c>
    </row>
    <row r="6" spans="1:15" ht="37.5">
      <c r="A6" s="2" t="s">
        <v>32</v>
      </c>
      <c r="B6" s="1" t="s">
        <v>502</v>
      </c>
      <c r="C6">
        <f t="shared" si="1"/>
        <v>29</v>
      </c>
      <c r="D6">
        <f t="shared" ref="D6:D18" si="2">E6*F6</f>
        <v>5</v>
      </c>
      <c r="E6">
        <v>5</v>
      </c>
      <c r="F6">
        <v>1</v>
      </c>
      <c r="G6" t="s">
        <v>478</v>
      </c>
      <c r="I6" t="s">
        <v>482</v>
      </c>
      <c r="K6" t="s">
        <v>488</v>
      </c>
      <c r="M6" t="s">
        <v>493</v>
      </c>
      <c r="O6" t="s">
        <v>499</v>
      </c>
    </row>
    <row r="7" spans="1:15">
      <c r="A7" s="2" t="s">
        <v>34</v>
      </c>
      <c r="B7" s="1" t="s">
        <v>503</v>
      </c>
      <c r="C7">
        <f t="shared" si="1"/>
        <v>1</v>
      </c>
      <c r="D7">
        <f t="shared" si="2"/>
        <v>2</v>
      </c>
      <c r="E7">
        <v>2</v>
      </c>
      <c r="F7">
        <v>1</v>
      </c>
      <c r="G7" t="s">
        <v>479</v>
      </c>
      <c r="I7" t="s">
        <v>483</v>
      </c>
      <c r="K7" t="s">
        <v>489</v>
      </c>
      <c r="M7" t="s">
        <v>494</v>
      </c>
      <c r="O7" t="s">
        <v>500</v>
      </c>
    </row>
    <row r="8" spans="1:15">
      <c r="B8" s="1" t="s">
        <v>503</v>
      </c>
      <c r="C8">
        <f t="shared" si="1"/>
        <v>1</v>
      </c>
      <c r="D8">
        <f t="shared" si="2"/>
        <v>2</v>
      </c>
      <c r="E8">
        <v>2</v>
      </c>
      <c r="F8">
        <v>1</v>
      </c>
      <c r="G8" t="s">
        <v>352</v>
      </c>
      <c r="I8" t="s">
        <v>484</v>
      </c>
      <c r="K8" t="s">
        <v>490</v>
      </c>
      <c r="M8" t="s">
        <v>495</v>
      </c>
    </row>
    <row r="9" spans="1:15">
      <c r="B9" s="1" t="s">
        <v>503</v>
      </c>
      <c r="C9">
        <f t="shared" si="1"/>
        <v>1</v>
      </c>
      <c r="D9">
        <f t="shared" si="2"/>
        <v>0</v>
      </c>
      <c r="E9">
        <v>2</v>
      </c>
      <c r="F9">
        <v>0</v>
      </c>
      <c r="G9" t="s">
        <v>480</v>
      </c>
      <c r="I9" t="s">
        <v>485</v>
      </c>
      <c r="K9" t="s">
        <v>491</v>
      </c>
      <c r="M9" t="s">
        <v>496</v>
      </c>
    </row>
    <row r="10" spans="1:15">
      <c r="B10" s="1" t="s">
        <v>504</v>
      </c>
      <c r="C10">
        <f t="shared" si="1"/>
        <v>1</v>
      </c>
      <c r="D10">
        <f t="shared" si="2"/>
        <v>0</v>
      </c>
      <c r="E10">
        <v>2</v>
      </c>
      <c r="F10">
        <v>0</v>
      </c>
    </row>
    <row r="11" spans="1:15" ht="37.5">
      <c r="A11" s="2" t="s">
        <v>48</v>
      </c>
      <c r="B11" s="1" t="s">
        <v>505</v>
      </c>
      <c r="C11">
        <f t="shared" si="1"/>
        <v>29</v>
      </c>
      <c r="D11">
        <f t="shared" si="2"/>
        <v>4</v>
      </c>
      <c r="E11">
        <v>4</v>
      </c>
      <c r="F11">
        <v>1</v>
      </c>
    </row>
    <row r="12" spans="1:15" ht="37.5">
      <c r="A12" s="2" t="s">
        <v>51</v>
      </c>
      <c r="B12" s="1" t="s">
        <v>506</v>
      </c>
      <c r="C12">
        <f t="shared" si="1"/>
        <v>33</v>
      </c>
      <c r="D12">
        <f t="shared" si="2"/>
        <v>5</v>
      </c>
      <c r="E12">
        <v>5</v>
      </c>
      <c r="F12">
        <v>1</v>
      </c>
    </row>
    <row r="13" spans="1:15">
      <c r="A13" s="2" t="s">
        <v>91</v>
      </c>
      <c r="B13" s="1" t="s">
        <v>507</v>
      </c>
      <c r="C13">
        <f t="shared" si="1"/>
        <v>22</v>
      </c>
      <c r="D13">
        <f t="shared" si="2"/>
        <v>5</v>
      </c>
      <c r="E13">
        <v>5</v>
      </c>
      <c r="F13">
        <v>1</v>
      </c>
    </row>
    <row r="14" spans="1:15">
      <c r="B14" s="1" t="s">
        <v>508</v>
      </c>
      <c r="C14">
        <f t="shared" si="1"/>
        <v>27</v>
      </c>
      <c r="D14">
        <f t="shared" si="2"/>
        <v>0</v>
      </c>
    </row>
    <row r="15" spans="1:15" ht="37.5">
      <c r="A15" s="2" t="s">
        <v>93</v>
      </c>
      <c r="B15" s="1" t="s">
        <v>509</v>
      </c>
      <c r="C15">
        <f t="shared" si="1"/>
        <v>52</v>
      </c>
      <c r="D15">
        <f t="shared" si="2"/>
        <v>5</v>
      </c>
      <c r="E15">
        <v>5</v>
      </c>
      <c r="F15">
        <v>1</v>
      </c>
    </row>
    <row r="16" spans="1:15" ht="37.5">
      <c r="A16" s="2" t="s">
        <v>175</v>
      </c>
      <c r="B16" s="1" t="s">
        <v>510</v>
      </c>
      <c r="C16">
        <f t="shared" si="1"/>
        <v>39</v>
      </c>
      <c r="D16">
        <f t="shared" si="2"/>
        <v>0</v>
      </c>
      <c r="E16">
        <v>5</v>
      </c>
      <c r="F16">
        <v>0</v>
      </c>
    </row>
    <row r="17" spans="1:6" ht="56.25">
      <c r="B17" s="1" t="s">
        <v>511</v>
      </c>
      <c r="C17">
        <f t="shared" si="1"/>
        <v>75</v>
      </c>
      <c r="D17">
        <f t="shared" si="2"/>
        <v>0</v>
      </c>
    </row>
    <row r="18" spans="1:6" ht="37.5">
      <c r="A18" s="2" t="s">
        <v>237</v>
      </c>
      <c r="B18" s="1" t="s">
        <v>512</v>
      </c>
      <c r="C18">
        <f t="shared" si="1"/>
        <v>31</v>
      </c>
      <c r="D18">
        <f t="shared" si="2"/>
        <v>5</v>
      </c>
      <c r="E18">
        <v>5</v>
      </c>
      <c r="F18">
        <v>1</v>
      </c>
    </row>
    <row r="19" spans="1:6">
      <c r="C19" t="str">
        <f t="shared" si="1"/>
        <v/>
      </c>
    </row>
    <row r="20" spans="1:6">
      <c r="C20" t="str">
        <f t="shared" si="1"/>
        <v/>
      </c>
    </row>
    <row r="21" spans="1:6">
      <c r="C21" t="str">
        <f t="shared" si="1"/>
        <v/>
      </c>
    </row>
    <row r="22" spans="1:6">
      <c r="C22" t="str">
        <f t="shared" si="1"/>
        <v/>
      </c>
    </row>
    <row r="23" spans="1:6">
      <c r="C23" t="str">
        <f t="shared" si="1"/>
        <v/>
      </c>
    </row>
    <row r="24" spans="1:6">
      <c r="C24" t="str">
        <f t="shared" si="1"/>
        <v/>
      </c>
    </row>
    <row r="25" spans="1:6">
      <c r="C25" t="str">
        <f t="shared" si="1"/>
        <v/>
      </c>
    </row>
    <row r="26" spans="1:6">
      <c r="C26" t="str">
        <f t="shared" si="1"/>
        <v/>
      </c>
    </row>
    <row r="27" spans="1:6">
      <c r="C27" t="str">
        <f t="shared" si="1"/>
        <v/>
      </c>
    </row>
    <row r="28" spans="1:6">
      <c r="C28" t="str">
        <f t="shared" si="1"/>
        <v/>
      </c>
    </row>
    <row r="29" spans="1:6">
      <c r="C29" t="str">
        <f t="shared" si="1"/>
        <v/>
      </c>
    </row>
    <row r="30" spans="1:6">
      <c r="C30" t="str">
        <f t="shared" si="1"/>
        <v/>
      </c>
    </row>
    <row r="31" spans="1:6">
      <c r="C31" t="str">
        <f t="shared" si="1"/>
        <v/>
      </c>
    </row>
    <row r="32" spans="1:6">
      <c r="C32" t="str">
        <f t="shared" si="1"/>
        <v/>
      </c>
    </row>
    <row r="33" spans="3:3">
      <c r="C33" t="str">
        <f t="shared" si="1"/>
        <v/>
      </c>
    </row>
    <row r="34" spans="3:3">
      <c r="C34" t="str">
        <f t="shared" si="1"/>
        <v/>
      </c>
    </row>
    <row r="35" spans="3:3">
      <c r="C35" t="str">
        <f t="shared" si="1"/>
        <v/>
      </c>
    </row>
    <row r="36" spans="3:3">
      <c r="C36" t="str">
        <f t="shared" si="1"/>
        <v/>
      </c>
    </row>
    <row r="37" spans="3:3">
      <c r="C37" t="str">
        <f t="shared" si="1"/>
        <v/>
      </c>
    </row>
    <row r="38" spans="3:3">
      <c r="C38" t="str">
        <f t="shared" si="1"/>
        <v/>
      </c>
    </row>
    <row r="39" spans="3:3">
      <c r="C39" t="str">
        <f t="shared" si="1"/>
        <v/>
      </c>
    </row>
    <row r="40" spans="3:3">
      <c r="C40" t="str">
        <f t="shared" si="1"/>
        <v/>
      </c>
    </row>
    <row r="41" spans="3:3">
      <c r="C41" t="str">
        <f t="shared" si="1"/>
        <v/>
      </c>
    </row>
    <row r="42" spans="3:3">
      <c r="C42" t="str">
        <f t="shared" si="1"/>
        <v/>
      </c>
    </row>
    <row r="43" spans="3:3">
      <c r="C43" t="str">
        <f t="shared" si="1"/>
        <v/>
      </c>
    </row>
    <row r="44" spans="3:3">
      <c r="C44" t="str">
        <f t="shared" si="1"/>
        <v/>
      </c>
    </row>
    <row r="45" spans="3:3">
      <c r="C45" t="str">
        <f t="shared" si="1"/>
        <v/>
      </c>
    </row>
    <row r="46" spans="3:3">
      <c r="C46" t="str">
        <f t="shared" si="1"/>
        <v/>
      </c>
    </row>
    <row r="47" spans="3:3">
      <c r="C47" t="str">
        <f t="shared" si="1"/>
        <v/>
      </c>
    </row>
    <row r="48" spans="3:3">
      <c r="C48" t="str">
        <f t="shared" si="1"/>
        <v/>
      </c>
    </row>
    <row r="49" spans="3:3">
      <c r="C49" t="str">
        <f t="shared" si="1"/>
        <v/>
      </c>
    </row>
    <row r="50" spans="3:3">
      <c r="C50" t="str">
        <f t="shared" si="1"/>
        <v/>
      </c>
    </row>
    <row r="51" spans="3:3">
      <c r="C51" t="str">
        <f t="shared" si="1"/>
        <v/>
      </c>
    </row>
    <row r="52" spans="3:3">
      <c r="C52" t="str">
        <f t="shared" si="1"/>
        <v/>
      </c>
    </row>
    <row r="53" spans="3:3">
      <c r="C53" t="str">
        <f t="shared" si="1"/>
        <v/>
      </c>
    </row>
    <row r="54" spans="3:3">
      <c r="C54" t="str">
        <f t="shared" si="1"/>
        <v/>
      </c>
    </row>
    <row r="55" spans="3:3">
      <c r="C55" t="str">
        <f t="shared" si="1"/>
        <v/>
      </c>
    </row>
    <row r="56" spans="3:3">
      <c r="C56" t="str">
        <f t="shared" si="1"/>
        <v/>
      </c>
    </row>
    <row r="57" spans="3:3">
      <c r="C57" t="str">
        <f t="shared" si="1"/>
        <v/>
      </c>
    </row>
    <row r="58" spans="3:3">
      <c r="C58" t="str">
        <f t="shared" si="1"/>
        <v/>
      </c>
    </row>
    <row r="59" spans="3:3">
      <c r="C59" t="str">
        <f t="shared" si="1"/>
        <v/>
      </c>
    </row>
    <row r="60" spans="3:3">
      <c r="C60" t="str">
        <f t="shared" si="1"/>
        <v/>
      </c>
    </row>
    <row r="61" spans="3:3">
      <c r="C61" t="str">
        <f t="shared" si="1"/>
        <v/>
      </c>
    </row>
    <row r="62" spans="3:3">
      <c r="C62" t="str">
        <f t="shared" si="1"/>
        <v/>
      </c>
    </row>
    <row r="63" spans="3:3">
      <c r="C63" t="str">
        <f t="shared" si="1"/>
        <v/>
      </c>
    </row>
    <row r="64" spans="3:3">
      <c r="C64" t="str">
        <f t="shared" si="1"/>
        <v/>
      </c>
    </row>
    <row r="65" spans="3:3">
      <c r="C65" t="str">
        <f t="shared" si="1"/>
        <v/>
      </c>
    </row>
    <row r="66" spans="3:3">
      <c r="C66" t="str">
        <f t="shared" si="1"/>
        <v/>
      </c>
    </row>
    <row r="67" spans="3:3">
      <c r="C67" t="str">
        <f t="shared" si="1"/>
        <v/>
      </c>
    </row>
    <row r="68" spans="3:3">
      <c r="C68" t="str">
        <f t="shared" si="1"/>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ADE87-4757-4AE6-BF92-8DB39D07A09C}">
  <sheetPr codeName="Sheet17"/>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9" style="2"/>
    <col min="2" max="2" width="46" style="1" customWidth="1"/>
    <col min="3" max="3" width="9.75" customWidth="1"/>
    <col min="7" max="16" width="7" customWidth="1"/>
  </cols>
  <sheetData>
    <row r="1" spans="1:13">
      <c r="A1" s="2" t="s">
        <v>0</v>
      </c>
      <c r="B1" s="2" t="s">
        <v>12</v>
      </c>
    </row>
    <row r="2" spans="1:13">
      <c r="A2" s="2" t="s">
        <v>2</v>
      </c>
      <c r="B2" s="3" t="s">
        <v>60</v>
      </c>
      <c r="D2">
        <f>SUM(D4:D1000)</f>
        <v>46</v>
      </c>
      <c r="E2">
        <f>SUM(E4:E1000)</f>
        <v>50</v>
      </c>
    </row>
    <row r="3" spans="1:13">
      <c r="A3" s="2" t="s">
        <v>1</v>
      </c>
      <c r="B3" s="1" t="s">
        <v>3</v>
      </c>
      <c r="C3" t="s">
        <v>6</v>
      </c>
      <c r="D3" t="s">
        <v>4</v>
      </c>
      <c r="E3" t="s">
        <v>5</v>
      </c>
    </row>
    <row r="4" spans="1:13" ht="37.5">
      <c r="A4" s="2" t="s">
        <v>77</v>
      </c>
      <c r="B4" s="1" t="s">
        <v>526</v>
      </c>
      <c r="C4">
        <f>IF(B4&lt;&gt;"",LEN(B4),"")</f>
        <v>47</v>
      </c>
      <c r="D4">
        <f>E4*F4</f>
        <v>5</v>
      </c>
      <c r="E4">
        <v>5</v>
      </c>
      <c r="F4">
        <v>1</v>
      </c>
      <c r="G4" t="s">
        <v>513</v>
      </c>
      <c r="I4" t="s">
        <v>517</v>
      </c>
      <c r="K4" t="s">
        <v>71</v>
      </c>
      <c r="M4" t="s">
        <v>66</v>
      </c>
    </row>
    <row r="5" spans="1:13">
      <c r="A5" s="2" t="s">
        <v>79</v>
      </c>
      <c r="B5" s="1" t="s">
        <v>528</v>
      </c>
      <c r="C5">
        <f t="shared" ref="C5:C68" si="0">IF(B5&lt;&gt;"",LEN(B5),"")</f>
        <v>15</v>
      </c>
      <c r="D5">
        <f t="shared" ref="D5:D15" si="1">E5*F5</f>
        <v>4</v>
      </c>
      <c r="E5">
        <v>4</v>
      </c>
      <c r="F5">
        <v>1</v>
      </c>
      <c r="G5" t="s">
        <v>514</v>
      </c>
      <c r="I5" t="s">
        <v>518</v>
      </c>
      <c r="K5" t="s">
        <v>522</v>
      </c>
      <c r="M5" t="s">
        <v>525</v>
      </c>
    </row>
    <row r="6" spans="1:13">
      <c r="A6" s="2" t="s">
        <v>81</v>
      </c>
      <c r="B6" s="1" t="s">
        <v>529</v>
      </c>
      <c r="C6">
        <f t="shared" si="0"/>
        <v>5</v>
      </c>
      <c r="D6">
        <f t="shared" si="1"/>
        <v>3</v>
      </c>
      <c r="E6">
        <v>3</v>
      </c>
      <c r="F6">
        <v>1</v>
      </c>
      <c r="G6" t="s">
        <v>515</v>
      </c>
      <c r="I6" t="s">
        <v>519</v>
      </c>
      <c r="K6" t="s">
        <v>295</v>
      </c>
      <c r="M6" t="s">
        <v>517</v>
      </c>
    </row>
    <row r="7" spans="1:13">
      <c r="B7" s="1" t="s">
        <v>530</v>
      </c>
      <c r="C7">
        <f t="shared" si="0"/>
        <v>5</v>
      </c>
      <c r="D7">
        <f t="shared" si="1"/>
        <v>3</v>
      </c>
      <c r="E7">
        <v>3</v>
      </c>
      <c r="F7">
        <v>1</v>
      </c>
      <c r="G7" t="s">
        <v>516</v>
      </c>
      <c r="I7" t="s">
        <v>520</v>
      </c>
      <c r="K7" t="s">
        <v>523</v>
      </c>
      <c r="M7" t="s">
        <v>527</v>
      </c>
    </row>
    <row r="8" spans="1:13" ht="37.5">
      <c r="A8" s="2" t="s">
        <v>32</v>
      </c>
      <c r="B8" s="1" t="s">
        <v>531</v>
      </c>
      <c r="C8">
        <f t="shared" si="0"/>
        <v>38</v>
      </c>
      <c r="D8">
        <f t="shared" si="1"/>
        <v>5</v>
      </c>
      <c r="E8">
        <v>5</v>
      </c>
      <c r="F8">
        <v>1</v>
      </c>
      <c r="G8" t="s">
        <v>66</v>
      </c>
      <c r="I8" t="s">
        <v>521</v>
      </c>
      <c r="K8" t="s">
        <v>524</v>
      </c>
    </row>
    <row r="9" spans="1:13" ht="37.5">
      <c r="B9" s="1" t="s">
        <v>532</v>
      </c>
      <c r="C9">
        <f t="shared" si="0"/>
        <v>29</v>
      </c>
      <c r="D9">
        <f t="shared" si="1"/>
        <v>5</v>
      </c>
      <c r="E9">
        <v>5</v>
      </c>
      <c r="F9">
        <v>1</v>
      </c>
      <c r="G9" t="s">
        <v>534</v>
      </c>
      <c r="I9" t="s">
        <v>538</v>
      </c>
    </row>
    <row r="10" spans="1:13" ht="37.5">
      <c r="A10" s="2" t="s">
        <v>34</v>
      </c>
      <c r="B10" s="1" t="s">
        <v>533</v>
      </c>
      <c r="C10">
        <f t="shared" si="0"/>
        <v>30</v>
      </c>
      <c r="D10">
        <f t="shared" si="1"/>
        <v>5</v>
      </c>
      <c r="E10">
        <v>5</v>
      </c>
      <c r="F10">
        <v>1</v>
      </c>
      <c r="G10" t="s">
        <v>535</v>
      </c>
      <c r="I10" t="s">
        <v>539</v>
      </c>
    </row>
    <row r="11" spans="1:13" ht="37.5">
      <c r="A11" s="2" t="s">
        <v>48</v>
      </c>
      <c r="B11" s="1" t="s">
        <v>536</v>
      </c>
      <c r="C11">
        <f t="shared" si="0"/>
        <v>37</v>
      </c>
      <c r="D11">
        <f t="shared" si="1"/>
        <v>5</v>
      </c>
      <c r="E11">
        <v>5</v>
      </c>
      <c r="F11">
        <v>1</v>
      </c>
    </row>
    <row r="12" spans="1:13" ht="37.5">
      <c r="A12" s="2" t="s">
        <v>51</v>
      </c>
      <c r="B12" s="1" t="s">
        <v>537</v>
      </c>
      <c r="C12">
        <f t="shared" si="0"/>
        <v>30</v>
      </c>
      <c r="D12">
        <f t="shared" si="1"/>
        <v>6</v>
      </c>
      <c r="E12">
        <v>6</v>
      </c>
      <c r="F12">
        <v>1</v>
      </c>
    </row>
    <row r="13" spans="1:13">
      <c r="A13" s="2" t="s">
        <v>91</v>
      </c>
      <c r="B13" s="1" t="s">
        <v>540</v>
      </c>
      <c r="C13">
        <f t="shared" si="0"/>
        <v>19</v>
      </c>
      <c r="D13">
        <f t="shared" si="1"/>
        <v>0</v>
      </c>
      <c r="E13">
        <v>4</v>
      </c>
      <c r="F13">
        <v>0</v>
      </c>
    </row>
    <row r="14" spans="1:13">
      <c r="B14" s="1" t="s">
        <v>541</v>
      </c>
      <c r="C14">
        <f t="shared" si="0"/>
        <v>17</v>
      </c>
      <c r="D14">
        <f t="shared" si="1"/>
        <v>0</v>
      </c>
      <c r="F14">
        <v>0</v>
      </c>
    </row>
    <row r="15" spans="1:13" ht="37.5">
      <c r="A15" s="2" t="s">
        <v>93</v>
      </c>
      <c r="B15" s="1" t="s">
        <v>542</v>
      </c>
      <c r="C15">
        <f t="shared" si="0"/>
        <v>31</v>
      </c>
      <c r="D15">
        <f t="shared" si="1"/>
        <v>5</v>
      </c>
      <c r="E15">
        <v>5</v>
      </c>
      <c r="F15">
        <v>1</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レビュー</vt:lpstr>
      <vt:lpstr>format</vt:lpstr>
      <vt:lpstr>1</vt:lpstr>
      <vt:lpstr>2</vt:lpstr>
      <vt:lpstr>3</vt:lpstr>
      <vt:lpstr>4</vt:lpstr>
      <vt:lpstr>5</vt:lpstr>
      <vt:lpstr>6</vt:lpstr>
      <vt:lpstr>7</vt:lpstr>
      <vt:lpstr>8</vt:lpstr>
      <vt:lpstr>9</vt:lpstr>
      <vt:lpstr>10</vt:lpstr>
      <vt:lpstr>11</vt:lpstr>
      <vt:lpstr>12</vt:lpstr>
      <vt:lpstr>13</vt:lpstr>
      <vt:lpstr>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2025-04-19T06:52:58Z</dcterms:modified>
</cp:coreProperties>
</file>