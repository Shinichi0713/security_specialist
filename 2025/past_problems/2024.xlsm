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past_problems\"/>
    </mc:Choice>
  </mc:AlternateContent>
  <xr:revisionPtr revIDLastSave="0" documentId="13_ncr:1_{910E8F04-3E67-40DB-A602-04DCB0727BED}" xr6:coauthVersionLast="47" xr6:coauthVersionMax="47" xr10:uidLastSave="{00000000-0000-0000-0000-000000000000}"/>
  <bookViews>
    <workbookView xWindow="-120" yWindow="-120" windowWidth="29040" windowHeight="18720" activeTab="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9" l="1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2" i="9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8" l="1"/>
  <c r="D2" i="7"/>
  <c r="D2" i="6"/>
  <c r="D2" i="5"/>
</calcChain>
</file>

<file path=xl/sharedStrings.xml><?xml version="1.0" encoding="utf-8"?>
<sst xmlns="http://schemas.openxmlformats.org/spreadsheetml/2006/main" count="307" uniqueCount="227">
  <si>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</si>
  <si>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</si>
  <si>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</si>
  <si>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</si>
  <si>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</si>
  <si>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</si>
  <si>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</si>
  <si>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</si>
  <si>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</si>
  <si>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</si>
  <si>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</si>
  <si>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</si>
  <si>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</si>
  <si>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</si>
  <si>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</si>
  <si>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</si>
  <si>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</si>
  <si>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</si>
  <si>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</si>
  <si>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</si>
  <si>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</si>
  <si>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</si>
  <si>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</si>
  <si>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</si>
  <si>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</si>
  <si>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</si>
  <si>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</si>
  <si>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</si>
  <si>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</si>
  <si>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</si>
  <si>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</si>
  <si>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</si>
  <si>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</si>
  <si>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</si>
  <si>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</si>
  <si>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</si>
  <si>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</si>
  <si>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</si>
  <si>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</si>
  <si>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</si>
  <si>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</si>
  <si>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</si>
  <si>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</si>
  <si>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</si>
  <si>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</si>
  <si>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</si>
  <si>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</si>
  <si>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</si>
  <si>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</si>
  <si>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</si>
  <si>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</si>
  <si>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</si>
  <si>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</si>
  <si>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</si>
  <si>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</si>
  <si>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</si>
  <si>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</si>
  <si>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</si>
  <si>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</si>
  <si>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</si>
  <si>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</si>
  <si>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</si>
  <si>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</si>
  <si>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</si>
  <si>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</si>
  <si>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</si>
  <si>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</si>
  <si>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</si>
  <si>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</si>
  <si>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</si>
  <si>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</si>
  <si>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</si>
  <si>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</si>
  <si>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</si>
  <si>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</si>
  <si>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</si>
  <si>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</si>
  <si>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</si>
  <si>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</si>
  <si>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</si>
  <si>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</si>
  <si>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</si>
  <si>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</si>
  <si>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</si>
  <si>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</si>
  <si>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</si>
  <si>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</si>
  <si>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</si>
  <si>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</si>
  <si>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</si>
  <si>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</si>
  <si>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</si>
  <si>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</si>
  <si>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</si>
  <si>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</si>
  <si>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</si>
  <si>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</si>
  <si>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</si>
  <si>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</si>
  <si>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</si>
  <si>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</si>
  <si>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</si>
  <si>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</si>
  <si>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</si>
  <si>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</si>
  <si>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</si>
  <si>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</si>
  <si>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</si>
  <si>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</si>
  <si>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</si>
  <si>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</si>
  <si>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</si>
  <si>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</si>
  <si>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</si>
  <si>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</si>
  <si>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</si>
  <si>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</si>
  <si>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</si>
  <si>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</si>
  <si>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</si>
  <si>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</si>
  <si>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</si>
  <si>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</si>
  <si>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</si>
  <si>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</si>
  <si>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</si>
  <si>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</si>
  <si>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</si>
  <si>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</si>
  <si>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</si>
  <si>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</si>
  <si>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</si>
  <si>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</si>
  <si>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</si>
  <si>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</si>
  <si>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</si>
  <si>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</si>
  <si>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</si>
  <si>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</si>
  <si>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</si>
  <si>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</si>
  <si>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</si>
  <si>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</si>
  <si>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</si>
  <si>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</si>
  <si>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</si>
  <si>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</si>
  <si>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</si>
  <si>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</si>
  <si>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</si>
  <si>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</si>
  <si>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</si>
  <si>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</si>
  <si>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</si>
  <si>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</si>
  <si>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</si>
  <si>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</si>
  <si>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</si>
  <si>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</si>
  <si>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</si>
  <si>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</si>
  <si>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</si>
  <si>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</si>
  <si>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</si>
  <si>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</si>
  <si>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</si>
  <si>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</si>
  <si>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</si>
  <si>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</si>
  <si>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</si>
  <si>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</si>
  <si>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</si>
  <si>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</si>
  <si>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</si>
  <si>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</si>
  <si>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</si>
  <si>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</si>
  <si>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</si>
  <si>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</si>
  <si>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</si>
  <si>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</si>
  <si>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</si>
  <si>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</si>
  <si>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</si>
  <si>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</si>
  <si>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</si>
  <si>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</si>
  <si>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</si>
  <si>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</si>
  <si>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</si>
  <si>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</si>
  <si>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</si>
  <si>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</si>
  <si>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</si>
  <si>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</si>
  <si>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</si>
  <si>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</si>
  <si>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</si>
  <si>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</si>
  <si>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</si>
  <si>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</si>
  <si>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</si>
  <si>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</si>
  <si>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</si>
  <si>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</si>
  <si>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</si>
  <si>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</si>
  <si>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</si>
  <si>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</si>
  <si>
    <t>PM-3</t>
    <phoneticPr fontId="1"/>
  </si>
  <si>
    <t>D社はECサイトなどのwebサイトでは診断アプリ</t>
    <rPh sb="1" eb="2">
      <t>シャ</t>
    </rPh>
    <rPh sb="19" eb="21">
      <t>シンダン</t>
    </rPh>
    <phoneticPr fontId="1"/>
  </si>
  <si>
    <t>インターネットから直接アクセスできないプライベートIpアドレス</t>
    <rPh sb="9" eb="11">
      <t>チョクセツ</t>
    </rPh>
    <phoneticPr fontId="1"/>
  </si>
  <si>
    <t>特定のURLにアクセスして情報取得</t>
    <rPh sb="0" eb="2">
      <t>トクテイ</t>
    </rPh>
    <rPh sb="13" eb="15">
      <t>ジョウホウ</t>
    </rPh>
    <rPh sb="15" eb="17">
      <t>シュトク</t>
    </rPh>
    <phoneticPr fontId="1"/>
  </si>
  <si>
    <t>トークンのULRにPUTでアクセス</t>
    <phoneticPr fontId="1"/>
  </si>
  <si>
    <t>webサーバーX、サーバーYにアクセス→ログイン画面</t>
    <rPh sb="24" eb="26">
      <t>ガメン</t>
    </rPh>
    <phoneticPr fontId="1"/>
  </si>
  <si>
    <t>サイトXログイン</t>
    <phoneticPr fontId="1"/>
  </si>
  <si>
    <t>利用者機能</t>
    <rPh sb="0" eb="3">
      <t>リヨウシャ</t>
    </rPh>
    <rPh sb="3" eb="5">
      <t>キノウ</t>
    </rPh>
    <phoneticPr fontId="1"/>
  </si>
  <si>
    <t>注文機能</t>
    <rPh sb="0" eb="2">
      <t>チュウモン</t>
    </rPh>
    <rPh sb="2" eb="4">
      <t>キノウ</t>
    </rPh>
    <phoneticPr fontId="1"/>
  </si>
  <si>
    <t>サイト管理機能</t>
    <rPh sb="3" eb="5">
      <t>カンリ</t>
    </rPh>
    <rPh sb="5" eb="7">
      <t>キノウ</t>
    </rPh>
    <phoneticPr fontId="1"/>
  </si>
  <si>
    <t>サイトXとYの構築はOK</t>
    <rPh sb="7" eb="9">
      <t>コウチク</t>
    </rPh>
    <phoneticPr fontId="1"/>
  </si>
  <si>
    <t>XSS、CSRF</t>
    <phoneticPr fontId="1"/>
  </si>
  <si>
    <t>攻撃者が、わなスクリプトを仕込んだリンク先を画面に表示する。管理者がリンク先を踏むことで、管理者権限のcookieをwebサイトに送信し、攻撃者が、送付の値を利用することで、管理者としてサイトXにアクセスし、利用者情報を取得する</t>
    <rPh sb="0" eb="3">
      <t>コウゲキシャ</t>
    </rPh>
    <rPh sb="13" eb="15">
      <t>シコ</t>
    </rPh>
    <rPh sb="20" eb="21">
      <t>サキ</t>
    </rPh>
    <rPh sb="22" eb="24">
      <t>ガメン</t>
    </rPh>
    <rPh sb="25" eb="27">
      <t>ヒョウジ</t>
    </rPh>
    <rPh sb="30" eb="33">
      <t>カンリシャ</t>
    </rPh>
    <rPh sb="37" eb="38">
      <t>サキ</t>
    </rPh>
    <rPh sb="39" eb="40">
      <t>フ</t>
    </rPh>
    <rPh sb="45" eb="48">
      <t>カンリシャ</t>
    </rPh>
    <rPh sb="48" eb="50">
      <t>ケンゲン</t>
    </rPh>
    <rPh sb="65" eb="67">
      <t>ソウシン</t>
    </rPh>
    <rPh sb="69" eb="72">
      <t>コウゲキシャ</t>
    </rPh>
    <rPh sb="74" eb="76">
      <t>ソウフ</t>
    </rPh>
    <rPh sb="77" eb="78">
      <t>アタイ</t>
    </rPh>
    <rPh sb="79" eb="81">
      <t>リヨウ</t>
    </rPh>
    <rPh sb="87" eb="90">
      <t>カンリシャ</t>
    </rPh>
    <rPh sb="104" eb="107">
      <t>リヨウシャ</t>
    </rPh>
    <rPh sb="107" eb="109">
      <t>ジョウホウ</t>
    </rPh>
    <rPh sb="110" eb="112">
      <t>シュトク</t>
    </rPh>
    <phoneticPr fontId="1"/>
  </si>
  <si>
    <t>攻撃者が自らのアカウントで取得したcsrf_tokenと一緒に利用者情報をサイトXに送るように構成したわなフォームに、詐欺メールで利用者を誘導し、利用者情報を変更させる</t>
    <rPh sb="0" eb="3">
      <t>コウゲキシャ</t>
    </rPh>
    <rPh sb="4" eb="5">
      <t>ミズカ</t>
    </rPh>
    <rPh sb="13" eb="15">
      <t>シュトク</t>
    </rPh>
    <rPh sb="28" eb="30">
      <t>イッショ</t>
    </rPh>
    <rPh sb="31" eb="34">
      <t>リヨウシャ</t>
    </rPh>
    <rPh sb="34" eb="36">
      <t>ジョウホウ</t>
    </rPh>
    <rPh sb="42" eb="43">
      <t>オク</t>
    </rPh>
    <rPh sb="47" eb="49">
      <t>コウセイ</t>
    </rPh>
    <rPh sb="59" eb="61">
      <t>サギ</t>
    </rPh>
    <rPh sb="65" eb="68">
      <t>リヨウシャ</t>
    </rPh>
    <rPh sb="69" eb="71">
      <t>ユウドウ</t>
    </rPh>
    <rPh sb="73" eb="76">
      <t>リヨウシャ</t>
    </rPh>
    <rPh sb="76" eb="78">
      <t>ジョウホウ</t>
    </rPh>
    <rPh sb="79" eb="81">
      <t>ヘンコウ</t>
    </rPh>
    <phoneticPr fontId="1"/>
  </si>
  <si>
    <t>a:×</t>
    <phoneticPr fontId="1"/>
  </si>
  <si>
    <t>b:×</t>
    <phoneticPr fontId="1"/>
  </si>
  <si>
    <t>c:〇</t>
    <phoneticPr fontId="1"/>
  </si>
  <si>
    <t>d:×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</si>
</sst>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D4" sqref="D4:D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25" sqref="B25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301-FE55-4F56-BB31-63C8F44DB1F0}">
  <sheetPr codeName="Sheet8"/>
  <dimension ref="A1:K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2" sqref="C12"/>
    </sheetView>
  </sheetViews>
  <sheetFormatPr defaultRowHeight="18.75"/>
  <cols>
    <col min="1" max="1" width="9" style="2"/>
    <col min="2" max="2" width="66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0</v>
      </c>
      <c r="E2">
        <f>SUM(E4:E1000)</f>
        <v>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F4">
        <v>1</v>
      </c>
      <c r="G4" t="s">
        <v>210</v>
      </c>
      <c r="I4" t="s">
        <v>215</v>
      </c>
      <c r="K4" t="s">
        <v>220</v>
      </c>
    </row>
    <row r="5" spans="1:11" ht="75">
      <c r="A5" s="2" t="s">
        <v>79</v>
      </c>
      <c r="B5" s="1" t="s">
        <v>221</v>
      </c>
      <c r="C5">
        <f t="shared" ref="C5:C68" si="0">IF(B5&lt;&gt;"",LEN(B5),"")</f>
        <v>114</v>
      </c>
      <c r="F5">
        <v>0.5</v>
      </c>
      <c r="G5" t="s">
        <v>211</v>
      </c>
      <c r="I5" t="s">
        <v>216</v>
      </c>
    </row>
    <row r="6" spans="1:11" ht="56.25">
      <c r="A6" s="2" t="s">
        <v>32</v>
      </c>
      <c r="B6" s="1" t="s">
        <v>222</v>
      </c>
      <c r="C6">
        <f t="shared" si="0"/>
        <v>84</v>
      </c>
      <c r="F6">
        <v>0</v>
      </c>
      <c r="G6" t="s">
        <v>212</v>
      </c>
      <c r="I6" t="s">
        <v>217</v>
      </c>
    </row>
    <row r="7" spans="1:11">
      <c r="A7" s="2" t="s">
        <v>34</v>
      </c>
      <c r="B7" s="1" t="s">
        <v>223</v>
      </c>
      <c r="C7">
        <f t="shared" si="0"/>
        <v>3</v>
      </c>
      <c r="F7">
        <v>1</v>
      </c>
      <c r="G7" t="s">
        <v>213</v>
      </c>
      <c r="I7" t="s">
        <v>218</v>
      </c>
    </row>
    <row r="8" spans="1:11">
      <c r="B8" s="1" t="s">
        <v>224</v>
      </c>
      <c r="C8">
        <f t="shared" si="0"/>
        <v>3</v>
      </c>
      <c r="F8">
        <v>1</v>
      </c>
      <c r="G8" t="s">
        <v>214</v>
      </c>
      <c r="I8" t="s">
        <v>219</v>
      </c>
    </row>
    <row r="9" spans="1:11">
      <c r="B9" s="1" t="s">
        <v>225</v>
      </c>
      <c r="C9">
        <f t="shared" si="0"/>
        <v>3</v>
      </c>
      <c r="F9">
        <v>1</v>
      </c>
    </row>
    <row r="10" spans="1:11">
      <c r="B10" s="1" t="s">
        <v>226</v>
      </c>
      <c r="C10">
        <f t="shared" si="0"/>
        <v>3</v>
      </c>
      <c r="F10">
        <v>1</v>
      </c>
    </row>
    <row r="11" spans="1:11">
      <c r="C11" t="str">
        <f t="shared" si="0"/>
        <v/>
      </c>
    </row>
    <row r="12" spans="1:11">
      <c r="C12" t="str">
        <f t="shared" si="0"/>
        <v/>
      </c>
    </row>
    <row r="13" spans="1:11">
      <c r="C13" t="str">
        <f t="shared" si="0"/>
        <v/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レビュー</vt:lpstr>
      <vt:lpstr>format</vt:lpstr>
      <vt:lpstr>1</vt:lpstr>
      <vt:lpstr>2</vt:lpstr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2025-03-30T12:54:42Z</dcterms:modified>
</cp:coreProperties>
</file>