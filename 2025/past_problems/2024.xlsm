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C06F58E9-F05F-400D-8666-4B7B91486955}" xr6:coauthVersionLast="47" xr6:coauthVersionMax="47" xr10:uidLastSave="{00000000-0000-0000-0000-000000000000}"/>
  <bookViews>
    <workbookView xWindow="780" yWindow="75" windowWidth="21270" windowHeight="151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definedNames>
    <definedName name="_xlnm._FilterDatabase" localSheetId="2" hidden="1">'1'!$A$3:$O$167</definedName>
    <definedName name="_xlnm._FilterDatabase" localSheetId="3" hidden="1">'2'!$A$3:$O$167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8" l="1"/>
  <c r="D14" i="8"/>
  <c r="D13" i="8"/>
  <c r="D12" i="8"/>
  <c r="D11" i="8"/>
  <c r="D10" i="8"/>
  <c r="D9" i="8"/>
  <c r="D8" i="8"/>
  <c r="D7" i="8"/>
  <c r="D6" i="8"/>
  <c r="D5" i="8"/>
  <c r="D2" i="8" s="1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4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7" l="1"/>
  <c r="D2" i="6"/>
  <c r="D2" i="5"/>
</calcChain>
</file>

<file path=xl/sharedStrings.xml><?xml version="1.0" encoding="utf-8"?>
<sst xmlns="http://schemas.openxmlformats.org/spreadsheetml/2006/main" count="242" uniqueCount="183">
  <si>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</si>
  <si>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</si>
  <si>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</si>
  <si>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</si>
  <si>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</si>
  <si>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</si>
  <si>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</si>
  <si>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</si>
  <si>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</si>
  <si>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</si>
  <si>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</si>
  <si>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</si>
  <si>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</si>
  <si>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</si>
  <si>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</si>
  <si>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</si>
  <si>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</si>
  <si>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</si>
  <si>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</si>
  <si>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</si>
  <si>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</si>
  <si>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</si>
  <si>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</si>
  <si>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</si>
  <si>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</si>
  <si>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</si>
  <si>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</si>
  <si>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</si>
  <si>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</si>
  <si>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</si>
  <si>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</si>
  <si>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</si>
  <si>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</si>
  <si>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</si>
  <si>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</si>
  <si>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</si>
  <si>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</si>
  <si>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</si>
  <si>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</si>
  <si>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</si>
  <si>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</si>
  <si>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</si>
  <si>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</si>
  <si>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</si>
  <si>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</si>
  <si>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</si>
  <si>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</si>
  <si>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</si>
  <si>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</si>
  <si>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</si>
  <si>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</si>
  <si>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</si>
  <si>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</si>
  <si>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</si>
  <si>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</si>
  <si>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</si>
  <si>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</si>
  <si>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</si>
  <si>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</si>
  <si>
    <t>PM-2</t>
  </si>
  <si>
    <t>PM-2</t>
    <phoneticPr fontId="1"/>
  </si>
  <si>
    <t>H社</t>
    <rPh sb="1" eb="2">
      <t>シャ</t>
    </rPh>
    <phoneticPr fontId="1"/>
  </si>
  <si>
    <t>HTTPSでアクセス</t>
    <phoneticPr fontId="1"/>
  </si>
  <si>
    <t>ID＋PWでログイン</t>
    <phoneticPr fontId="1"/>
  </si>
  <si>
    <t>H-PC</t>
    <phoneticPr fontId="1"/>
  </si>
  <si>
    <t>リモート接続用PC</t>
    <rPh sb="4" eb="7">
      <t>セツゾクヨウ</t>
    </rPh>
    <phoneticPr fontId="1"/>
  </si>
  <si>
    <t>VPN-GW</t>
    <phoneticPr fontId="1"/>
  </si>
  <si>
    <t>VPN-N</t>
    <phoneticPr fontId="1"/>
  </si>
  <si>
    <t>FW機能</t>
    <rPh sb="2" eb="4">
      <t>キノウ</t>
    </rPh>
    <phoneticPr fontId="1"/>
  </si>
  <si>
    <t>IPとポート</t>
    <phoneticPr fontId="1"/>
  </si>
  <si>
    <t>IPS機能アノマリとシグネチャ</t>
    <rPh sb="3" eb="5">
      <t>キノウ</t>
    </rPh>
    <phoneticPr fontId="1"/>
  </si>
  <si>
    <t>VPNダイアログ</t>
    <phoneticPr fontId="1"/>
  </si>
  <si>
    <t>多要素認証</t>
    <rPh sb="0" eb="5">
      <t>タヨウソニンショウ</t>
    </rPh>
    <phoneticPr fontId="1"/>
  </si>
  <si>
    <t>DDoS攻撃の被害</t>
    <rPh sb="4" eb="6">
      <t>コウゲキ</t>
    </rPh>
    <rPh sb="7" eb="9">
      <t>ヒガイ</t>
    </rPh>
    <phoneticPr fontId="1"/>
  </si>
  <si>
    <t>脆弱性を利用する</t>
    <rPh sb="0" eb="3">
      <t>ゼイジャクセイ</t>
    </rPh>
    <rPh sb="4" eb="6">
      <t>リヨウ</t>
    </rPh>
    <phoneticPr fontId="1"/>
  </si>
  <si>
    <t>ステルス</t>
    <phoneticPr fontId="1"/>
  </si>
  <si>
    <t>VPN-Hへのアクセスは多要素認証</t>
    <rPh sb="12" eb="15">
      <t>タヨウソ</t>
    </rPh>
    <rPh sb="15" eb="17">
      <t>ニンショウ</t>
    </rPh>
    <phoneticPr fontId="1"/>
  </si>
  <si>
    <t>1-1</t>
    <phoneticPr fontId="1"/>
  </si>
  <si>
    <t>公開webサーバーに対して、大量のHTTP GETリクエストを大量に送信する</t>
    <rPh sb="0" eb="2">
      <t>コウカイ</t>
    </rPh>
    <rPh sb="10" eb="11">
      <t>タイ</t>
    </rPh>
    <rPh sb="14" eb="16">
      <t>タイリョウ</t>
    </rPh>
    <rPh sb="31" eb="33">
      <t>タイリョウ</t>
    </rPh>
    <rPh sb="34" eb="36">
      <t>ソウシン</t>
    </rPh>
    <phoneticPr fontId="1"/>
  </si>
  <si>
    <t>1-2</t>
    <phoneticPr fontId="1"/>
  </si>
  <si>
    <t>正常の通信のみの場合でも、攻撃と誤検知してしまう。</t>
    <rPh sb="0" eb="2">
      <t>セイジョウ</t>
    </rPh>
    <rPh sb="3" eb="5">
      <t>ツウシン</t>
    </rPh>
    <rPh sb="8" eb="10">
      <t>バアイ</t>
    </rPh>
    <rPh sb="13" eb="15">
      <t>コウゲキ</t>
    </rPh>
    <rPh sb="16" eb="19">
      <t>ゴケンチ</t>
    </rPh>
    <phoneticPr fontId="1"/>
  </si>
  <si>
    <t>1-3</t>
    <phoneticPr fontId="1"/>
  </si>
  <si>
    <t>DNS-K:権威</t>
    <rPh sb="6" eb="8">
      <t>ケンイ</t>
    </rPh>
    <phoneticPr fontId="1"/>
  </si>
  <si>
    <t>DNS-F：リゾルバ</t>
    <phoneticPr fontId="1"/>
  </si>
  <si>
    <t>b: DNS-K</t>
    <phoneticPr fontId="1"/>
  </si>
  <si>
    <t>c: DNS-F</t>
    <phoneticPr fontId="1"/>
  </si>
  <si>
    <t>d: 攻撃者が、利用者の入力した情報を正規のwebサイトに入力する。正規利用者のデバイスにセキュリティコードが送付される。</t>
    <rPh sb="3" eb="6">
      <t>コウゲキシャ</t>
    </rPh>
    <rPh sb="8" eb="11">
      <t>リヨウシャ</t>
    </rPh>
    <rPh sb="12" eb="14">
      <t>ニュウリョク</t>
    </rPh>
    <rPh sb="16" eb="18">
      <t>ジョウホウ</t>
    </rPh>
    <rPh sb="19" eb="21">
      <t>セイキ</t>
    </rPh>
    <rPh sb="29" eb="31">
      <t>ニュウリョク</t>
    </rPh>
    <rPh sb="34" eb="39">
      <t>セイキリヨウシャ</t>
    </rPh>
    <rPh sb="55" eb="57">
      <t>ソウフ</t>
    </rPh>
    <phoneticPr fontId="1"/>
  </si>
  <si>
    <t>e: 偽のセキュリティコード入力の画面を表示して、正規利用者にセキュリティコードを入力する。攻撃者は入力値を、正規のセキュリティコード入力画面に入力する。</t>
    <rPh sb="3" eb="4">
      <t>ニセ</t>
    </rPh>
    <rPh sb="14" eb="16">
      <t>ニュウリョク</t>
    </rPh>
    <rPh sb="17" eb="19">
      <t>ガメン</t>
    </rPh>
    <rPh sb="20" eb="22">
      <t>ヒョウジ</t>
    </rPh>
    <rPh sb="25" eb="30">
      <t>セイキリヨウシャ</t>
    </rPh>
    <rPh sb="41" eb="43">
      <t>ニュウリョク</t>
    </rPh>
    <rPh sb="46" eb="49">
      <t>コウゲキシャ</t>
    </rPh>
    <rPh sb="50" eb="52">
      <t>ニュウリョク</t>
    </rPh>
    <rPh sb="52" eb="53">
      <t>アタイ</t>
    </rPh>
    <rPh sb="55" eb="57">
      <t>セイキ</t>
    </rPh>
    <rPh sb="67" eb="69">
      <t>ニュウリョク</t>
    </rPh>
    <rPh sb="69" eb="71">
      <t>ガメン</t>
    </rPh>
    <rPh sb="72" eb="74">
      <t>ニュウリョク</t>
    </rPh>
    <phoneticPr fontId="1"/>
  </si>
  <si>
    <t>認証情報の入力は、VPNクライアントソフトの画面のみに入力し、webブラウザの画面に対しては行わない。</t>
    <rPh sb="0" eb="2">
      <t>ニンショウ</t>
    </rPh>
    <rPh sb="2" eb="4">
      <t>ジョウホウ</t>
    </rPh>
    <rPh sb="5" eb="7">
      <t>ニュウリョク</t>
    </rPh>
    <rPh sb="22" eb="24">
      <t>ガメン</t>
    </rPh>
    <rPh sb="27" eb="29">
      <t>ニュウリョク</t>
    </rPh>
    <rPh sb="39" eb="41">
      <t>ガメン</t>
    </rPh>
    <rPh sb="42" eb="43">
      <t>タイ</t>
    </rPh>
    <rPh sb="46" eb="47">
      <t>オコナ</t>
    </rPh>
    <phoneticPr fontId="1"/>
  </si>
  <si>
    <t>取得したパケットの順番通りに、通信要求を送信する</t>
    <rPh sb="0" eb="2">
      <t>シュトク</t>
    </rPh>
    <rPh sb="9" eb="11">
      <t>ジュンバン</t>
    </rPh>
    <rPh sb="11" eb="12">
      <t>トオ</t>
    </rPh>
    <rPh sb="15" eb="17">
      <t>ツウシン</t>
    </rPh>
    <rPh sb="17" eb="19">
      <t>ヨウキュウ</t>
    </rPh>
    <rPh sb="20" eb="22">
      <t>ソウシン</t>
    </rPh>
    <phoneticPr fontId="1"/>
  </si>
  <si>
    <t>先行するランダム値をそのまま利用すると、パケットが破棄されるため。</t>
    <rPh sb="0" eb="2">
      <t>センコウ</t>
    </rPh>
    <rPh sb="8" eb="9">
      <t>アタイ</t>
    </rPh>
    <rPh sb="14" eb="16">
      <t>リヨウ</t>
    </rPh>
    <rPh sb="25" eb="27">
      <t>ハキ</t>
    </rPh>
    <phoneticPr fontId="1"/>
  </si>
  <si>
    <t>4-1</t>
    <phoneticPr fontId="1"/>
  </si>
  <si>
    <t>DDoS対策をゆするCDNサービス</t>
    <rPh sb="4" eb="6">
      <t>タイサク</t>
    </rPh>
    <phoneticPr fontId="1"/>
  </si>
  <si>
    <t>4-2</t>
    <phoneticPr fontId="1"/>
  </si>
  <si>
    <t>VPN経由でない通信をすべてUTMにて拒否することが出来るため</t>
    <rPh sb="3" eb="5">
      <t>ケイユ</t>
    </rPh>
    <rPh sb="8" eb="10">
      <t>ツウシン</t>
    </rPh>
    <rPh sb="19" eb="21">
      <t>キョヒ</t>
    </rPh>
    <rPh sb="26" eb="28">
      <t>デキ</t>
    </rPh>
    <phoneticPr fontId="1"/>
  </si>
  <si>
    <t>UTMの設定変更によって、ボットネットからの通信が遮断されるため</t>
    <rPh sb="4" eb="6">
      <t>セッテイ</t>
    </rPh>
    <rPh sb="6" eb="8">
      <t>ヘンコウ</t>
    </rPh>
    <rPh sb="22" eb="24">
      <t>ツウシン</t>
    </rPh>
    <rPh sb="25" eb="27">
      <t>シャダン</t>
    </rPh>
    <phoneticPr fontId="1"/>
  </si>
  <si>
    <t>S</t>
    <phoneticPr fontId="1"/>
  </si>
  <si>
    <t>ステートレス</t>
    <phoneticPr fontId="1"/>
  </si>
  <si>
    <t>共通モジュールP</t>
    <rPh sb="0" eb="2">
      <t>キョウツウ</t>
    </rPh>
    <phoneticPr fontId="1"/>
  </si>
  <si>
    <t>テストサーバーのindex.htmlにアクセスされたかを確認する</t>
    <rPh sb="28" eb="30">
      <t>カクニン</t>
    </rPh>
    <phoneticPr fontId="1"/>
  </si>
  <si>
    <t>e: Header</t>
    <phoneticPr fontId="1"/>
  </si>
  <si>
    <t>f: Header</t>
    <phoneticPr fontId="1"/>
  </si>
  <si>
    <t>認証用の情報はwebアプリには入力せず、VPNクライアントソフトのみに入力する。</t>
    <rPh sb="0" eb="2">
      <t>ニンショウ</t>
    </rPh>
    <rPh sb="2" eb="3">
      <t>ヨウ</t>
    </rPh>
    <rPh sb="4" eb="6">
      <t>ジョウホウ</t>
    </rPh>
    <rPh sb="15" eb="17">
      <t>ニュウリョク</t>
    </rPh>
    <rPh sb="35" eb="37">
      <t>ニュウリョク</t>
    </rPh>
    <phoneticPr fontId="1"/>
  </si>
  <si>
    <t>受信したパケットをそのまま転送しても、パケットが破棄されるため</t>
    <rPh sb="0" eb="2">
      <t>ジュシン</t>
    </rPh>
    <rPh sb="13" eb="15">
      <t>テンソウ</t>
    </rPh>
    <rPh sb="24" eb="26">
      <t>ハキ</t>
    </rPh>
    <phoneticPr fontId="1"/>
  </si>
  <si>
    <t>Ddos対策を行っているＣＤＮサービス</t>
    <rPh sb="4" eb="6">
      <t>タイサク</t>
    </rPh>
    <rPh sb="7" eb="8">
      <t>オコナ</t>
    </rPh>
    <phoneticPr fontId="1"/>
  </si>
  <si>
    <t>2024-秋</t>
  </si>
  <si>
    <t>2024-秋</t>
    <rPh sb="5" eb="6">
      <t>アキ</t>
    </rPh>
    <phoneticPr fontId="1"/>
  </si>
  <si>
    <t>Lはソフト</t>
    <phoneticPr fontId="1"/>
  </si>
  <si>
    <t>E社SaaS</t>
    <rPh sb="1" eb="2">
      <t>シャ</t>
    </rPh>
    <phoneticPr fontId="1"/>
  </si>
  <si>
    <t>ドメインサーバ</t>
    <phoneticPr fontId="1"/>
  </si>
  <si>
    <t>IDとPW</t>
    <phoneticPr fontId="1"/>
  </si>
  <si>
    <t>Qプログラム</t>
    <phoneticPr fontId="1"/>
  </si>
  <si>
    <t>L社内ホストよりInet</t>
    <rPh sb="1" eb="3">
      <t>シャナイ</t>
    </rPh>
    <phoneticPr fontId="1"/>
  </si>
  <si>
    <t>フィルタリング</t>
    <phoneticPr fontId="1"/>
  </si>
  <si>
    <t>URLフィルタリングでアクセス許可</t>
    <rPh sb="15" eb="17">
      <t>キョカ</t>
    </rPh>
    <phoneticPr fontId="1"/>
  </si>
  <si>
    <t>ドメインユーザーごと</t>
    <phoneticPr fontId="1"/>
  </si>
  <si>
    <t>ベンダ拒否リスト</t>
    <rPh sb="3" eb="5">
      <t>キョヒ</t>
    </rPh>
    <phoneticPr fontId="1"/>
  </si>
  <si>
    <t>◎ウェソフト</t>
    <phoneticPr fontId="1"/>
  </si>
  <si>
    <t>シンクライアントPCよりRDP</t>
    <phoneticPr fontId="1"/>
  </si>
  <si>
    <t>ローカルアドミニストレータ</t>
    <phoneticPr fontId="1"/>
  </si>
  <si>
    <t>PC-xはホスト名を持つ</t>
    <rPh sb="8" eb="9">
      <t>メイ</t>
    </rPh>
    <rPh sb="10" eb="11">
      <t>モ</t>
    </rPh>
    <phoneticPr fontId="1"/>
  </si>
  <si>
    <t>Fツールの開発</t>
    <rPh sb="5" eb="7">
      <t>カイハツ</t>
    </rPh>
    <phoneticPr fontId="1"/>
  </si>
  <si>
    <t>ログ、レジストリの証拠データを収集</t>
    <rPh sb="9" eb="11">
      <t>ショウコ</t>
    </rPh>
    <rPh sb="15" eb="17">
      <t>シュウシュウ</t>
    </rPh>
    <phoneticPr fontId="1"/>
  </si>
  <si>
    <t>ディスクイメージ</t>
    <phoneticPr fontId="1"/>
  </si>
  <si>
    <t>PC-A</t>
    <phoneticPr fontId="1"/>
  </si>
  <si>
    <t>プロキシサービスの通信ログ調査</t>
    <rPh sb="9" eb="11">
      <t>ツウシン</t>
    </rPh>
    <rPh sb="13" eb="15">
      <t>チョウサ</t>
    </rPh>
    <phoneticPr fontId="1"/>
  </si>
  <si>
    <t>PC-C</t>
    <phoneticPr fontId="1"/>
  </si>
  <si>
    <t>filesv</t>
    <phoneticPr fontId="1"/>
  </si>
  <si>
    <t>ad01\user019</t>
    <phoneticPr fontId="1"/>
  </si>
  <si>
    <t>1-4</t>
    <phoneticPr fontId="1"/>
  </si>
  <si>
    <t>無効化</t>
    <rPh sb="0" eb="3">
      <t>ムコウカ</t>
    </rPh>
    <phoneticPr fontId="1"/>
  </si>
  <si>
    <t>1-5</t>
    <phoneticPr fontId="1"/>
  </si>
  <si>
    <t>管理者拒否リストに、すべてのドメインユーザーに対して、https://△△.△.com.、https://〇〇.〇.com.、https://□.□.□.com.を登録する。</t>
    <rPh sb="0" eb="3">
      <t>カンリシャ</t>
    </rPh>
    <rPh sb="3" eb="5">
      <t>キョヒ</t>
    </rPh>
    <rPh sb="23" eb="24">
      <t>タイ</t>
    </rPh>
    <rPh sb="82" eb="84">
      <t>トウロク</t>
    </rPh>
    <phoneticPr fontId="1"/>
  </si>
  <si>
    <t>1-6</t>
    <phoneticPr fontId="1"/>
  </si>
  <si>
    <t>https://△△.△.com/へ接続を試みたPCがほかにないかをtime.csvより確認する。</t>
    <rPh sb="18" eb="20">
      <t>セツゾク</t>
    </rPh>
    <rPh sb="21" eb="22">
      <t>ココロ</t>
    </rPh>
    <rPh sb="44" eb="46">
      <t>カクニン</t>
    </rPh>
    <phoneticPr fontId="1"/>
  </si>
  <si>
    <t>1-7</t>
    <phoneticPr fontId="1"/>
  </si>
  <si>
    <t>i.ps1の動作</t>
    <rPh sb="6" eb="8">
      <t>ドウサ</t>
    </rPh>
    <phoneticPr fontId="1"/>
  </si>
  <si>
    <t>１２・６niDL</t>
    <phoneticPr fontId="1"/>
  </si>
  <si>
    <t>pingでホストを探索</t>
    <rPh sb="9" eb="11">
      <t>タンサク</t>
    </rPh>
    <phoneticPr fontId="1"/>
  </si>
  <si>
    <t>PC-A以外に、他ホストPCに対して、RDPを試みているPCがないか</t>
    <rPh sb="4" eb="6">
      <t>イガイ</t>
    </rPh>
    <rPh sb="8" eb="9">
      <t>ホカ</t>
    </rPh>
    <rPh sb="15" eb="16">
      <t>タイ</t>
    </rPh>
    <rPh sb="23" eb="24">
      <t>ココロ</t>
    </rPh>
    <phoneticPr fontId="1"/>
  </si>
  <si>
    <t>1-8</t>
    <phoneticPr fontId="1"/>
  </si>
  <si>
    <t>・マルウェア対策ソフトが停止されたホストPCがないかを検出する。</t>
    <rPh sb="6" eb="8">
      <t>タイサク</t>
    </rPh>
    <rPh sb="12" eb="14">
      <t>テイシ</t>
    </rPh>
    <rPh sb="27" eb="29">
      <t>ケンシュツ</t>
    </rPh>
    <phoneticPr fontId="1"/>
  </si>
  <si>
    <t>・他PCに対してRDP接続を繰り替えてしているホストPCがないかを検出する。</t>
    <rPh sb="1" eb="2">
      <t>ホカ</t>
    </rPh>
    <rPh sb="5" eb="6">
      <t>タイ</t>
    </rPh>
    <rPh sb="11" eb="13">
      <t>セツゾク</t>
    </rPh>
    <rPh sb="14" eb="15">
      <t>ク</t>
    </rPh>
    <rPh sb="16" eb="17">
      <t>カ</t>
    </rPh>
    <rPh sb="33" eb="35">
      <t>ケンシュツ</t>
    </rPh>
    <phoneticPr fontId="1"/>
  </si>
  <si>
    <t>2</t>
    <phoneticPr fontId="1"/>
  </si>
  <si>
    <t>マルウェア感染への対策以外に技術的対策</t>
    <rPh sb="5" eb="7">
      <t>カンセン</t>
    </rPh>
    <rPh sb="9" eb="11">
      <t>タイサク</t>
    </rPh>
    <rPh sb="11" eb="13">
      <t>イガイ</t>
    </rPh>
    <rPh sb="14" eb="17">
      <t>ギジュツテキ</t>
    </rPh>
    <rPh sb="17" eb="19">
      <t>タイサク</t>
    </rPh>
    <phoneticPr fontId="1"/>
  </si>
  <si>
    <t>他PCに対するRDP接続する際に、接続元の制限を行う</t>
    <rPh sb="0" eb="1">
      <t>ホカ</t>
    </rPh>
    <rPh sb="4" eb="5">
      <t>タイ</t>
    </rPh>
    <rPh sb="10" eb="12">
      <t>セツゾク</t>
    </rPh>
    <rPh sb="14" eb="15">
      <t>サイ</t>
    </rPh>
    <rPh sb="17" eb="20">
      <t>セツゾクモト</t>
    </rPh>
    <rPh sb="21" eb="23">
      <t>セイゲン</t>
    </rPh>
    <rPh sb="24" eb="25">
      <t>オコナ</t>
    </rPh>
    <phoneticPr fontId="1"/>
  </si>
  <si>
    <t>社外に対して、容量の大きいファイルのアップロードに通信制限をかける。</t>
    <rPh sb="0" eb="2">
      <t>シャガイ</t>
    </rPh>
    <rPh sb="3" eb="4">
      <t>タイ</t>
    </rPh>
    <rPh sb="7" eb="9">
      <t>ヨウリョウ</t>
    </rPh>
    <rPh sb="10" eb="11">
      <t>オオ</t>
    </rPh>
    <rPh sb="25" eb="27">
      <t>ツウシン</t>
    </rPh>
    <rPh sb="27" eb="29">
      <t>セイゲン</t>
    </rPh>
    <phoneticPr fontId="1"/>
  </si>
  <si>
    <t>DLPによりファイル持ち出しを制限する</t>
    <rPh sb="10" eb="11">
      <t>モ</t>
    </rPh>
    <rPh sb="12" eb="13">
      <t>ダ</t>
    </rPh>
    <rPh sb="15" eb="17">
      <t>セイゲン</t>
    </rPh>
    <phoneticPr fontId="1"/>
  </si>
  <si>
    <t>ドメイン名変更</t>
    <rPh sb="4" eb="5">
      <t>メイ</t>
    </rPh>
    <rPh sb="5" eb="7">
      <t>ヘンコウ</t>
    </rPh>
    <phoneticPr fontId="1"/>
  </si>
  <si>
    <t>工作機械</t>
    <rPh sb="0" eb="4">
      <t>コウサクキカイ</t>
    </rPh>
    <phoneticPr fontId="1"/>
  </si>
  <si>
    <t>IRとリンク</t>
    <phoneticPr fontId="1"/>
  </si>
  <si>
    <t>ソフトを提供</t>
    <rPh sb="4" eb="6">
      <t>テイキョウ</t>
    </rPh>
    <phoneticPr fontId="1"/>
  </si>
  <si>
    <t>電子メール</t>
    <rPh sb="0" eb="2">
      <t>デンシ</t>
    </rPh>
    <phoneticPr fontId="1"/>
  </si>
  <si>
    <t>A社メールが送られている</t>
    <rPh sb="1" eb="2">
      <t>シャ</t>
    </rPh>
    <rPh sb="6" eb="7">
      <t>オク</t>
    </rPh>
    <phoneticPr fontId="1"/>
  </si>
  <si>
    <t>S社サービス</t>
    <rPh sb="1" eb="2">
      <t>シャ</t>
    </rPh>
    <phoneticPr fontId="1"/>
  </si>
  <si>
    <t>A社ドメイン名</t>
    <rPh sb="1" eb="2">
      <t>シャ</t>
    </rPh>
    <rPh sb="6" eb="7">
      <t>メイ</t>
    </rPh>
    <phoneticPr fontId="1"/>
  </si>
  <si>
    <t>周囲の記載法もしっかりと見よう</t>
    <rPh sb="0" eb="2">
      <t>シュウイ</t>
    </rPh>
    <rPh sb="3" eb="6">
      <t>キサイホウ</t>
    </rPh>
    <rPh sb="12" eb="13">
      <t>ミ</t>
    </rPh>
    <phoneticPr fontId="1"/>
  </si>
  <si>
    <t>DNSサービスは外部</t>
    <rPh sb="8" eb="10">
      <t>ガイブ</t>
    </rPh>
    <phoneticPr fontId="1"/>
  </si>
  <si>
    <t>すべて</t>
    <phoneticPr fontId="1"/>
  </si>
  <si>
    <t>社名変更</t>
    <rPh sb="0" eb="2">
      <t>シャメイ</t>
    </rPh>
    <rPh sb="2" eb="4">
      <t>ヘンコウ</t>
    </rPh>
    <phoneticPr fontId="1"/>
  </si>
  <si>
    <t>Zドメインサイトを立ち上げる</t>
    <rPh sb="9" eb="10">
      <t>タ</t>
    </rPh>
    <rPh sb="11" eb="12">
      <t>ア</t>
    </rPh>
    <phoneticPr fontId="1"/>
  </si>
  <si>
    <t>DKIM署名を追加</t>
    <rPh sb="4" eb="6">
      <t>ショメイ</t>
    </rPh>
    <rPh sb="7" eb="9">
      <t>ツイカ</t>
    </rPh>
    <phoneticPr fontId="1"/>
  </si>
  <si>
    <t>SPFとDKIMのどちらか</t>
    <phoneticPr fontId="1"/>
  </si>
  <si>
    <t>メール確率と拒否</t>
    <rPh sb="3" eb="5">
      <t>カクリツ</t>
    </rPh>
    <rPh sb="6" eb="8">
      <t>キョヒ</t>
    </rPh>
    <phoneticPr fontId="1"/>
  </si>
  <si>
    <t>SMTPS</t>
    <phoneticPr fontId="1"/>
  </si>
  <si>
    <t>利用者アカウントの登録を行う</t>
    <rPh sb="0" eb="3">
      <t>リヨウシャ</t>
    </rPh>
    <rPh sb="9" eb="11">
      <t>トウロク</t>
    </rPh>
    <rPh sb="12" eb="13">
      <t>オコナ</t>
    </rPh>
    <phoneticPr fontId="1"/>
  </si>
  <si>
    <t>Z-Webサイトに同一構成で配置</t>
    <rPh sb="9" eb="11">
      <t>ドウイツ</t>
    </rPh>
    <rPh sb="11" eb="13">
      <t>コウセイ</t>
    </rPh>
    <rPh sb="14" eb="16">
      <t>ハイチ</t>
    </rPh>
    <phoneticPr fontId="1"/>
  </si>
  <si>
    <t>コンテンツを書き換える</t>
    <rPh sb="6" eb="7">
      <t>カ</t>
    </rPh>
    <rPh sb="8" eb="9">
      <t>カ</t>
    </rPh>
    <phoneticPr fontId="1"/>
  </si>
  <si>
    <t>サービス移管</t>
    <rPh sb="4" eb="6">
      <t>イカン</t>
    </rPh>
    <phoneticPr fontId="1"/>
  </si>
  <si>
    <t>A-web→Z-webにリダイレクト</t>
    <phoneticPr fontId="1"/>
  </si>
  <si>
    <t>オ</t>
    <phoneticPr fontId="1"/>
  </si>
  <si>
    <t>イ</t>
    <phoneticPr fontId="1"/>
  </si>
  <si>
    <t>正式のソフトウェアを装った攻撃プログラムをダウンロードさせる</t>
    <rPh sb="0" eb="2">
      <t>セイシキ</t>
    </rPh>
    <rPh sb="10" eb="11">
      <t>ヨソオ</t>
    </rPh>
    <rPh sb="13" eb="15">
      <t>コウゲキ</t>
    </rPh>
    <phoneticPr fontId="1"/>
  </si>
  <si>
    <t>会社の業務内容と関係者の宛先が記載されている</t>
    <rPh sb="0" eb="2">
      <t>カイシャ</t>
    </rPh>
    <rPh sb="3" eb="5">
      <t>ギョウム</t>
    </rPh>
    <rPh sb="5" eb="7">
      <t>ナイヨウ</t>
    </rPh>
    <rPh sb="8" eb="11">
      <t>カンケイシャ</t>
    </rPh>
    <rPh sb="12" eb="14">
      <t>アテサキ</t>
    </rPh>
    <rPh sb="15" eb="17">
      <t>キサイ</t>
    </rPh>
    <phoneticPr fontId="1"/>
  </si>
  <si>
    <t>本人に成りすまして、関係者とやり取りを行い、機密情報を盗み出す。</t>
    <rPh sb="0" eb="2">
      <t>ホンニン</t>
    </rPh>
    <rPh sb="3" eb="4">
      <t>ナ</t>
    </rPh>
    <rPh sb="10" eb="13">
      <t>カンケイシャ</t>
    </rPh>
    <rPh sb="16" eb="17">
      <t>ト</t>
    </rPh>
    <rPh sb="19" eb="20">
      <t>オコナ</t>
    </rPh>
    <rPh sb="22" eb="26">
      <t>キミツジョウホウ</t>
    </rPh>
    <rPh sb="27" eb="28">
      <t>ヌス</t>
    </rPh>
    <rPh sb="29" eb="30">
      <t>ダ</t>
    </rPh>
    <phoneticPr fontId="1"/>
  </si>
  <si>
    <t>4-3</t>
    <phoneticPr fontId="1"/>
  </si>
  <si>
    <t>エ</t>
    <phoneticPr fontId="1"/>
  </si>
  <si>
    <t>DMARCレポート</t>
    <phoneticPr fontId="1"/>
  </si>
  <si>
    <t>5-1</t>
    <phoneticPr fontId="1"/>
  </si>
  <si>
    <t>SPFレコードに、Tサービスのメール送信元IPアドレスを追加する。</t>
    <rPh sb="18" eb="21">
      <t>ソウシンモト</t>
    </rPh>
    <rPh sb="28" eb="30">
      <t>ツイカ</t>
    </rPh>
    <phoneticPr fontId="1"/>
  </si>
  <si>
    <t>5-2</t>
    <phoneticPr fontId="1"/>
  </si>
  <si>
    <t>SPFレコードにYサービス情報が登録されていない状態で、メールがYサービスより送付される。</t>
    <rPh sb="13" eb="15">
      <t>ジョウホウ</t>
    </rPh>
    <rPh sb="16" eb="18">
      <t>トウロク</t>
    </rPh>
    <rPh sb="24" eb="26">
      <t>ジョウタイ</t>
    </rPh>
    <rPh sb="39" eb="41">
      <t>ソウフ</t>
    </rPh>
    <phoneticPr fontId="1"/>
  </si>
  <si>
    <t>DKIMレコードのhタグにsubjectが含まれているのに、Yサービスメールのsubjectが変わる</t>
    <rPh sb="21" eb="22">
      <t>フク</t>
    </rPh>
    <rPh sb="47" eb="48">
      <t>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</si>
</sst>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 applyAlignment="1">
      <alignment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&#9651;&#9651;.&#9651;.com/&#12408;&#25509;&#32154;&#12434;&#35430;&#12415;&#12383;PC&#12364;&#12411;&#12363;&#12395;&#12394;&#12356;&#12363;&#12434;time.csv&#12424;&#12426;&#30906;&#35469;&#12377;&#12427;&#12290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tabSelected="1" workbookViewId="0">
      <selection activeCell="D4" sqref="D4:D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  <row r="3" spans="1:6">
      <c r="A3">
        <v>2</v>
      </c>
      <c r="B3" s="2" t="s">
        <v>12</v>
      </c>
      <c r="C3" s="2" t="s">
        <v>59</v>
      </c>
      <c r="D3">
        <v>38</v>
      </c>
      <c r="E3">
        <v>50</v>
      </c>
    </row>
    <row r="4" spans="1:6">
      <c r="A4">
        <v>3</v>
      </c>
      <c r="B4" s="2" t="s">
        <v>105</v>
      </c>
      <c r="C4" s="2" t="s">
        <v>14</v>
      </c>
      <c r="D4">
        <v>31</v>
      </c>
      <c r="E4">
        <v>50</v>
      </c>
    </row>
    <row r="5" spans="1:6">
      <c r="A5">
        <v>4</v>
      </c>
      <c r="B5" s="2" t="s">
        <v>105</v>
      </c>
      <c r="C5" s="2" t="s">
        <v>59</v>
      </c>
      <c r="D5">
        <v>27</v>
      </c>
      <c r="E5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4" sqref="C24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  <c r="I10" t="s">
        <v>96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>
      <c r="C19" t="str">
        <f t="shared" si="0"/>
        <v/>
      </c>
    </row>
    <row r="20" spans="1:3">
      <c r="C20" t="str">
        <f t="shared" si="0"/>
        <v/>
      </c>
    </row>
    <row r="21" spans="1:3">
      <c r="A21" s="2" t="s">
        <v>19</v>
      </c>
      <c r="B21" s="1" t="s">
        <v>97</v>
      </c>
      <c r="C21">
        <v>1</v>
      </c>
    </row>
    <row r="22" spans="1:3">
      <c r="A22" s="2" t="s">
        <v>44</v>
      </c>
      <c r="B22" s="1" t="s">
        <v>98</v>
      </c>
      <c r="C22">
        <v>1</v>
      </c>
    </row>
    <row r="23" spans="1:3">
      <c r="A23" s="2" t="s">
        <v>48</v>
      </c>
      <c r="B23" s="1" t="s">
        <v>99</v>
      </c>
      <c r="C23">
        <v>0</v>
      </c>
    </row>
    <row r="24" spans="1:3">
      <c r="A24" s="2" t="s">
        <v>51</v>
      </c>
      <c r="B24" s="1" t="s">
        <v>100</v>
      </c>
      <c r="C24">
        <v>1</v>
      </c>
    </row>
    <row r="25" spans="1:3">
      <c r="B25" s="1" t="s">
        <v>101</v>
      </c>
      <c r="C25">
        <v>1</v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D2E17339-672A-4CD2-9C30-1F97D055E686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B793-0035-4387-8243-0F6D485095AB}">
  <sheetPr codeName="Sheet5"/>
  <dimension ref="A1:O167"/>
  <sheetViews>
    <sheetView zoomScale="85" zoomScaleNormal="85" workbookViewId="0">
      <pane xSplit="1" ySplit="3" topLeftCell="B10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56.375" style="1" customWidth="1"/>
    <col min="3" max="3" width="9.75" customWidth="1"/>
  </cols>
  <sheetData>
    <row r="1" spans="1:15">
      <c r="A1" s="2" t="s">
        <v>0</v>
      </c>
      <c r="B1" s="1" t="s">
        <v>13</v>
      </c>
    </row>
    <row r="2" spans="1:15">
      <c r="A2" s="2" t="s">
        <v>2</v>
      </c>
      <c r="B2" s="3" t="s">
        <v>60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 ht="37.5">
      <c r="A4" s="2" t="s">
        <v>77</v>
      </c>
      <c r="B4" s="1" t="s">
        <v>78</v>
      </c>
      <c r="C4">
        <f>IF(B4&lt;&gt;"",LEN(B4),"")</f>
        <v>38</v>
      </c>
      <c r="D4">
        <f>E4*F4</f>
        <v>5</v>
      </c>
      <c r="E4">
        <v>5</v>
      </c>
      <c r="F4">
        <v>1</v>
      </c>
      <c r="G4" t="s">
        <v>61</v>
      </c>
      <c r="I4" t="s">
        <v>65</v>
      </c>
      <c r="K4" t="s">
        <v>69</v>
      </c>
      <c r="M4" t="s">
        <v>66</v>
      </c>
      <c r="O4" t="s">
        <v>76</v>
      </c>
    </row>
    <row r="5" spans="1:15">
      <c r="A5" s="2" t="s">
        <v>79</v>
      </c>
      <c r="B5" s="1" t="s">
        <v>80</v>
      </c>
      <c r="C5">
        <f t="shared" ref="C5:C68" si="0">IF(B5&lt;&gt;"",LEN(B5),"")</f>
        <v>25</v>
      </c>
      <c r="D5">
        <f t="shared" ref="D5:D14" si="1">E5*F5</f>
        <v>4</v>
      </c>
      <c r="E5">
        <v>4</v>
      </c>
      <c r="F5">
        <v>1</v>
      </c>
      <c r="G5" t="s">
        <v>62</v>
      </c>
      <c r="I5" t="s">
        <v>66</v>
      </c>
      <c r="K5" t="s">
        <v>70</v>
      </c>
      <c r="M5" t="s">
        <v>73</v>
      </c>
      <c r="O5" t="s">
        <v>82</v>
      </c>
    </row>
    <row r="6" spans="1:15">
      <c r="A6" s="2" t="s">
        <v>81</v>
      </c>
      <c r="B6" s="1" t="s">
        <v>84</v>
      </c>
      <c r="C6">
        <f t="shared" si="0"/>
        <v>8</v>
      </c>
      <c r="D6">
        <f t="shared" si="1"/>
        <v>3</v>
      </c>
      <c r="E6">
        <v>3</v>
      </c>
      <c r="F6">
        <v>1</v>
      </c>
      <c r="G6" t="s">
        <v>63</v>
      </c>
      <c r="I6" t="s">
        <v>67</v>
      </c>
      <c r="K6" t="s">
        <v>71</v>
      </c>
      <c r="M6" t="s">
        <v>74</v>
      </c>
      <c r="O6" t="s">
        <v>83</v>
      </c>
    </row>
    <row r="7" spans="1:15">
      <c r="B7" s="1" t="s">
        <v>85</v>
      </c>
      <c r="C7">
        <f t="shared" si="0"/>
        <v>8</v>
      </c>
      <c r="D7">
        <f t="shared" si="1"/>
        <v>3</v>
      </c>
      <c r="E7">
        <v>3</v>
      </c>
      <c r="F7">
        <v>1</v>
      </c>
      <c r="G7" t="s">
        <v>64</v>
      </c>
      <c r="I7" t="s">
        <v>68</v>
      </c>
      <c r="K7" t="s">
        <v>72</v>
      </c>
      <c r="M7" t="s">
        <v>75</v>
      </c>
    </row>
    <row r="8" spans="1:15" ht="37.5">
      <c r="A8" s="2" t="s">
        <v>32</v>
      </c>
      <c r="B8" s="1" t="s">
        <v>86</v>
      </c>
      <c r="C8">
        <f t="shared" si="0"/>
        <v>61</v>
      </c>
      <c r="D8">
        <f t="shared" si="1"/>
        <v>5</v>
      </c>
      <c r="E8">
        <v>5</v>
      </c>
      <c r="F8">
        <v>1</v>
      </c>
    </row>
    <row r="9" spans="1:15" ht="56.25">
      <c r="B9" s="1" t="s">
        <v>87</v>
      </c>
      <c r="C9">
        <f t="shared" si="0"/>
        <v>77</v>
      </c>
      <c r="D9">
        <f t="shared" si="1"/>
        <v>5</v>
      </c>
      <c r="E9">
        <v>5</v>
      </c>
      <c r="F9">
        <v>1</v>
      </c>
    </row>
    <row r="10" spans="1:15" ht="37.5">
      <c r="A10" s="2" t="s">
        <v>34</v>
      </c>
      <c r="B10" s="1" t="s">
        <v>88</v>
      </c>
      <c r="C10">
        <f t="shared" si="0"/>
        <v>51</v>
      </c>
      <c r="D10">
        <f t="shared" si="1"/>
        <v>0</v>
      </c>
      <c r="E10">
        <v>5</v>
      </c>
      <c r="F10">
        <v>0</v>
      </c>
    </row>
    <row r="11" spans="1:15">
      <c r="A11" s="2" t="s">
        <v>48</v>
      </c>
      <c r="B11" s="1" t="s">
        <v>89</v>
      </c>
      <c r="C11">
        <f t="shared" si="0"/>
        <v>24</v>
      </c>
      <c r="D11">
        <f t="shared" si="1"/>
        <v>5</v>
      </c>
      <c r="E11">
        <v>5</v>
      </c>
      <c r="F11">
        <v>1</v>
      </c>
    </row>
    <row r="12" spans="1:15" ht="37.5">
      <c r="A12" s="2" t="s">
        <v>51</v>
      </c>
      <c r="B12" s="1" t="s">
        <v>90</v>
      </c>
      <c r="C12">
        <f t="shared" si="0"/>
        <v>33</v>
      </c>
      <c r="D12">
        <f t="shared" si="1"/>
        <v>3</v>
      </c>
      <c r="E12">
        <v>6</v>
      </c>
      <c r="F12">
        <v>0.5</v>
      </c>
    </row>
    <row r="13" spans="1:15">
      <c r="A13" s="2" t="s">
        <v>91</v>
      </c>
      <c r="B13" s="1" t="s">
        <v>92</v>
      </c>
      <c r="C13">
        <f t="shared" si="0"/>
        <v>17</v>
      </c>
      <c r="D13">
        <f t="shared" si="1"/>
        <v>0</v>
      </c>
      <c r="E13">
        <v>4</v>
      </c>
      <c r="F13">
        <v>0</v>
      </c>
    </row>
    <row r="14" spans="1:15">
      <c r="A14" s="2" t="s">
        <v>93</v>
      </c>
      <c r="B14" s="1" t="s">
        <v>94</v>
      </c>
      <c r="C14">
        <f t="shared" si="0"/>
        <v>31</v>
      </c>
      <c r="D14">
        <f t="shared" si="1"/>
        <v>5</v>
      </c>
      <c r="E14">
        <v>5</v>
      </c>
      <c r="F14">
        <v>1</v>
      </c>
    </row>
    <row r="15" spans="1:15">
      <c r="C15" t="str">
        <f t="shared" si="0"/>
        <v/>
      </c>
    </row>
    <row r="16" spans="1:15" ht="37.5">
      <c r="B16" s="1" t="s">
        <v>95</v>
      </c>
      <c r="C16">
        <f t="shared" si="0"/>
        <v>32</v>
      </c>
    </row>
    <row r="17" spans="1:3">
      <c r="C17" t="str">
        <f t="shared" si="0"/>
        <v/>
      </c>
    </row>
    <row r="18" spans="1:3">
      <c r="C18" t="str">
        <f t="shared" si="0"/>
        <v/>
      </c>
    </row>
    <row r="19" spans="1:3" ht="37.5">
      <c r="A19" s="2" t="s">
        <v>34</v>
      </c>
      <c r="B19" s="1" t="s">
        <v>102</v>
      </c>
      <c r="C19">
        <v>1</v>
      </c>
    </row>
    <row r="20" spans="1:3" ht="37.5">
      <c r="A20" s="2" t="s">
        <v>51</v>
      </c>
      <c r="B20" s="1" t="s">
        <v>103</v>
      </c>
      <c r="C20">
        <v>1</v>
      </c>
    </row>
    <row r="21" spans="1:3">
      <c r="A21" s="2" t="s">
        <v>91</v>
      </c>
      <c r="B21" s="1" t="s">
        <v>104</v>
      </c>
      <c r="C21">
        <v>1</v>
      </c>
    </row>
    <row r="22" spans="1:3">
      <c r="C22" t="str">
        <f t="shared" si="0"/>
        <v/>
      </c>
    </row>
    <row r="23" spans="1:3">
      <c r="C23" t="str">
        <f t="shared" si="0"/>
        <v/>
      </c>
    </row>
    <row r="24" spans="1:3">
      <c r="C24" t="str">
        <f t="shared" si="0"/>
        <v/>
      </c>
    </row>
    <row r="25" spans="1:3">
      <c r="C25" t="str">
        <f t="shared" si="0"/>
        <v/>
      </c>
    </row>
    <row r="26" spans="1:3">
      <c r="C26" t="str">
        <f t="shared" si="0"/>
        <v/>
      </c>
    </row>
    <row r="27" spans="1:3">
      <c r="C27" t="str">
        <f t="shared" si="0"/>
        <v/>
      </c>
    </row>
    <row r="28" spans="1:3">
      <c r="C28" t="str">
        <f t="shared" si="0"/>
        <v/>
      </c>
    </row>
    <row r="29" spans="1:3">
      <c r="C29" t="str">
        <f t="shared" si="0"/>
        <v/>
      </c>
    </row>
    <row r="30" spans="1:3">
      <c r="C30" t="str">
        <f t="shared" si="0"/>
        <v/>
      </c>
    </row>
    <row r="31" spans="1:3">
      <c r="C31" t="str">
        <f t="shared" si="0"/>
        <v/>
      </c>
    </row>
    <row r="32" spans="1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autoFilter ref="A3:O167" xr:uid="{082BB793-0035-4387-8243-0F6D485095AB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984-A1F3-465F-AF17-C32F022971DA}">
  <sheetPr codeName="Sheet6"/>
  <dimension ref="A1:M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63.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15</v>
      </c>
      <c r="D2">
        <f>SUM(D4:D1000)</f>
        <v>31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126</v>
      </c>
      <c r="C4">
        <f>IF(B4&lt;&gt;"",LEN(B4),"")</f>
        <v>4</v>
      </c>
      <c r="D4">
        <f>E4*F4</f>
        <v>3</v>
      </c>
      <c r="E4">
        <v>3</v>
      </c>
      <c r="F4">
        <v>1</v>
      </c>
      <c r="G4" t="s">
        <v>107</v>
      </c>
      <c r="I4" t="s">
        <v>113</v>
      </c>
      <c r="K4" t="s">
        <v>119</v>
      </c>
      <c r="M4" t="s">
        <v>125</v>
      </c>
    </row>
    <row r="5" spans="1:13">
      <c r="A5" s="2" t="s">
        <v>79</v>
      </c>
      <c r="B5" s="1" t="s">
        <v>127</v>
      </c>
      <c r="C5">
        <f t="shared" ref="C5:C68" si="0">IF(B5&lt;&gt;"",LEN(B5),"")</f>
        <v>6</v>
      </c>
      <c r="D5">
        <f t="shared" ref="D5:D14" si="1">E5*F5</f>
        <v>3</v>
      </c>
      <c r="E5">
        <v>3</v>
      </c>
      <c r="F5">
        <v>1</v>
      </c>
      <c r="G5" t="s">
        <v>108</v>
      </c>
      <c r="I5" t="s">
        <v>114</v>
      </c>
      <c r="K5" t="s">
        <v>120</v>
      </c>
      <c r="M5" t="s">
        <v>136</v>
      </c>
    </row>
    <row r="6" spans="1:13">
      <c r="A6" s="2" t="s">
        <v>81</v>
      </c>
      <c r="B6" s="1" t="s">
        <v>128</v>
      </c>
      <c r="C6">
        <f t="shared" si="0"/>
        <v>12</v>
      </c>
      <c r="D6">
        <f t="shared" si="1"/>
        <v>3</v>
      </c>
      <c r="E6">
        <v>3</v>
      </c>
      <c r="F6">
        <v>1</v>
      </c>
      <c r="G6" t="s">
        <v>109</v>
      </c>
      <c r="I6" t="s">
        <v>115</v>
      </c>
      <c r="K6" t="s">
        <v>121</v>
      </c>
      <c r="M6" t="s">
        <v>137</v>
      </c>
    </row>
    <row r="7" spans="1:13">
      <c r="A7" s="2" t="s">
        <v>129</v>
      </c>
      <c r="B7" s="1" t="s">
        <v>130</v>
      </c>
      <c r="C7">
        <f t="shared" si="0"/>
        <v>3</v>
      </c>
      <c r="D7">
        <f t="shared" si="1"/>
        <v>3</v>
      </c>
      <c r="E7">
        <v>3</v>
      </c>
      <c r="F7">
        <v>1</v>
      </c>
      <c r="G7" t="s">
        <v>110</v>
      </c>
      <c r="I7" t="s">
        <v>116</v>
      </c>
      <c r="K7" t="s">
        <v>122</v>
      </c>
    </row>
    <row r="8" spans="1:13" ht="37.5">
      <c r="A8" s="2" t="s">
        <v>131</v>
      </c>
      <c r="B8" s="1" t="s">
        <v>132</v>
      </c>
      <c r="C8">
        <f t="shared" si="0"/>
        <v>87</v>
      </c>
      <c r="D8">
        <f t="shared" si="1"/>
        <v>6</v>
      </c>
      <c r="E8">
        <v>6</v>
      </c>
      <c r="F8">
        <v>1</v>
      </c>
      <c r="G8" t="s">
        <v>111</v>
      </c>
      <c r="I8" t="s">
        <v>117</v>
      </c>
      <c r="K8" t="s">
        <v>123</v>
      </c>
      <c r="M8" t="s">
        <v>138</v>
      </c>
    </row>
    <row r="9" spans="1:13" ht="37.5">
      <c r="A9" s="2" t="s">
        <v>133</v>
      </c>
      <c r="B9" s="4" t="s">
        <v>134</v>
      </c>
      <c r="C9">
        <f t="shared" si="0"/>
        <v>49</v>
      </c>
      <c r="D9">
        <f t="shared" si="1"/>
        <v>0</v>
      </c>
      <c r="E9">
        <v>6</v>
      </c>
      <c r="F9">
        <v>0</v>
      </c>
      <c r="G9" t="s">
        <v>112</v>
      </c>
      <c r="I9" t="s">
        <v>118</v>
      </c>
      <c r="K9" t="s">
        <v>124</v>
      </c>
      <c r="M9" t="s">
        <v>144</v>
      </c>
    </row>
    <row r="10" spans="1:13">
      <c r="A10" s="2" t="s">
        <v>135</v>
      </c>
      <c r="B10" s="1" t="s">
        <v>139</v>
      </c>
      <c r="C10">
        <f t="shared" si="0"/>
        <v>34</v>
      </c>
      <c r="D10">
        <f t="shared" si="1"/>
        <v>0</v>
      </c>
      <c r="E10">
        <v>6</v>
      </c>
      <c r="F10">
        <v>0</v>
      </c>
    </row>
    <row r="11" spans="1:13">
      <c r="A11" s="2" t="s">
        <v>140</v>
      </c>
      <c r="B11" s="1" t="s">
        <v>141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3" ht="37.5">
      <c r="B12" s="1" t="s">
        <v>142</v>
      </c>
      <c r="C12">
        <f t="shared" si="0"/>
        <v>38</v>
      </c>
      <c r="D12">
        <f t="shared" si="1"/>
        <v>5</v>
      </c>
      <c r="E12">
        <v>5</v>
      </c>
      <c r="F12">
        <v>1</v>
      </c>
      <c r="H12" t="s">
        <v>147</v>
      </c>
    </row>
    <row r="13" spans="1:13">
      <c r="A13" s="2" t="s">
        <v>143</v>
      </c>
      <c r="B13" s="1" t="s">
        <v>145</v>
      </c>
      <c r="C13">
        <f t="shared" si="0"/>
        <v>26</v>
      </c>
      <c r="D13">
        <v>3</v>
      </c>
      <c r="E13">
        <v>5</v>
      </c>
      <c r="F13">
        <v>0.5</v>
      </c>
    </row>
    <row r="14" spans="1:13" ht="37.5">
      <c r="B14" s="1" t="s">
        <v>146</v>
      </c>
      <c r="C14">
        <f t="shared" si="0"/>
        <v>34</v>
      </c>
      <c r="D14">
        <f t="shared" si="1"/>
        <v>0</v>
      </c>
      <c r="E14">
        <v>5</v>
      </c>
      <c r="F14">
        <v>0</v>
      </c>
    </row>
    <row r="15" spans="1:13">
      <c r="C15" t="str">
        <f t="shared" si="0"/>
        <v/>
      </c>
    </row>
    <row r="16" spans="1:13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hyperlinks>
    <hyperlink ref="B9" r:id="rId1" xr:uid="{CE18F807-FFBC-45F7-878A-EF42CD5CE5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8B68B-ED49-4F89-A8C4-EE5AEDDDC9F5}">
  <sheetPr codeName="Sheet7"/>
  <dimension ref="A1:M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5" sqref="F15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3">
      <c r="A1" s="2" t="s">
        <v>0</v>
      </c>
      <c r="B1" s="1" t="s">
        <v>106</v>
      </c>
    </row>
    <row r="2" spans="1:13">
      <c r="A2" s="2" t="s">
        <v>2</v>
      </c>
      <c r="B2" s="3" t="s">
        <v>60</v>
      </c>
      <c r="D2">
        <f>SUM(D4:D1000)</f>
        <v>27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77</v>
      </c>
      <c r="B4" s="1" t="s">
        <v>155</v>
      </c>
      <c r="C4">
        <f>IF(B4&lt;&gt;"",LEN(B4),"")</f>
        <v>7</v>
      </c>
      <c r="D4">
        <f>E4*F4</f>
        <v>3</v>
      </c>
      <c r="E4">
        <v>3</v>
      </c>
      <c r="F4">
        <v>1</v>
      </c>
      <c r="G4" t="s">
        <v>148</v>
      </c>
      <c r="I4" t="s">
        <v>153</v>
      </c>
      <c r="K4" t="s">
        <v>160</v>
      </c>
      <c r="M4" t="s">
        <v>166</v>
      </c>
    </row>
    <row r="5" spans="1:13">
      <c r="A5" s="2" t="s">
        <v>79</v>
      </c>
      <c r="B5" s="1" t="s">
        <v>158</v>
      </c>
      <c r="C5">
        <f t="shared" ref="C5:C68" si="0">IF(B5&lt;&gt;"",LEN(B5),"")</f>
        <v>3</v>
      </c>
      <c r="D5">
        <f t="shared" ref="D5:D15" si="1">E5*F5</f>
        <v>3</v>
      </c>
      <c r="E5">
        <v>3</v>
      </c>
      <c r="F5">
        <v>1</v>
      </c>
      <c r="G5" t="s">
        <v>149</v>
      </c>
      <c r="I5" t="s">
        <v>154</v>
      </c>
      <c r="K5" t="s">
        <v>161</v>
      </c>
      <c r="M5" t="s">
        <v>167</v>
      </c>
    </row>
    <row r="6" spans="1:13">
      <c r="A6" s="2" t="s">
        <v>143</v>
      </c>
      <c r="B6" s="1" t="s">
        <v>164</v>
      </c>
      <c r="C6">
        <f t="shared" si="0"/>
        <v>5</v>
      </c>
      <c r="D6">
        <f t="shared" si="1"/>
        <v>3</v>
      </c>
      <c r="E6">
        <v>3</v>
      </c>
      <c r="F6">
        <v>1</v>
      </c>
      <c r="G6" t="s">
        <v>150</v>
      </c>
      <c r="I6" t="s">
        <v>156</v>
      </c>
      <c r="K6" t="s">
        <v>162</v>
      </c>
      <c r="M6" t="s">
        <v>168</v>
      </c>
    </row>
    <row r="7" spans="1:13">
      <c r="A7" s="2" t="s">
        <v>48</v>
      </c>
      <c r="B7" s="1" t="s">
        <v>170</v>
      </c>
      <c r="C7">
        <f t="shared" si="0"/>
        <v>1</v>
      </c>
      <c r="D7">
        <f t="shared" si="1"/>
        <v>0</v>
      </c>
      <c r="E7">
        <v>3</v>
      </c>
      <c r="F7">
        <v>0</v>
      </c>
      <c r="G7" t="s">
        <v>151</v>
      </c>
      <c r="I7" t="s">
        <v>157</v>
      </c>
      <c r="K7" t="s">
        <v>163</v>
      </c>
      <c r="M7" t="s">
        <v>169</v>
      </c>
    </row>
    <row r="8" spans="1:13">
      <c r="A8" s="2" t="s">
        <v>51</v>
      </c>
      <c r="B8" s="1" t="s">
        <v>171</v>
      </c>
      <c r="C8">
        <f t="shared" si="0"/>
        <v>1</v>
      </c>
      <c r="D8">
        <f t="shared" si="1"/>
        <v>3</v>
      </c>
      <c r="E8">
        <v>3</v>
      </c>
      <c r="F8">
        <v>1</v>
      </c>
      <c r="G8" t="s">
        <v>152</v>
      </c>
      <c r="I8" t="s">
        <v>159</v>
      </c>
      <c r="K8" t="s">
        <v>165</v>
      </c>
      <c r="M8" t="s">
        <v>177</v>
      </c>
    </row>
    <row r="9" spans="1:13" ht="37.5">
      <c r="A9" s="2" t="s">
        <v>91</v>
      </c>
      <c r="B9" s="1" t="s">
        <v>172</v>
      </c>
      <c r="C9">
        <f t="shared" si="0"/>
        <v>30</v>
      </c>
      <c r="D9">
        <f t="shared" si="1"/>
        <v>6</v>
      </c>
      <c r="E9">
        <v>6</v>
      </c>
      <c r="F9">
        <v>1</v>
      </c>
    </row>
    <row r="10" spans="1:13">
      <c r="A10" s="2" t="s">
        <v>93</v>
      </c>
      <c r="B10" s="1" t="s">
        <v>173</v>
      </c>
      <c r="C10">
        <f t="shared" si="0"/>
        <v>22</v>
      </c>
      <c r="D10">
        <f t="shared" si="1"/>
        <v>0</v>
      </c>
      <c r="E10">
        <v>4</v>
      </c>
      <c r="F10">
        <v>0</v>
      </c>
    </row>
    <row r="11" spans="1:13" ht="37.5">
      <c r="B11" s="1" t="s">
        <v>174</v>
      </c>
      <c r="C11">
        <f t="shared" si="0"/>
        <v>32</v>
      </c>
      <c r="D11">
        <f t="shared" si="1"/>
        <v>0</v>
      </c>
      <c r="E11">
        <v>4</v>
      </c>
      <c r="F11">
        <v>0</v>
      </c>
    </row>
    <row r="12" spans="1:13">
      <c r="A12" s="2" t="s">
        <v>175</v>
      </c>
      <c r="B12" s="1" t="s">
        <v>176</v>
      </c>
      <c r="C12">
        <f t="shared" si="0"/>
        <v>1</v>
      </c>
      <c r="D12">
        <f t="shared" si="1"/>
        <v>0</v>
      </c>
      <c r="E12">
        <v>3</v>
      </c>
      <c r="F12">
        <v>0</v>
      </c>
    </row>
    <row r="13" spans="1:13" ht="37.5">
      <c r="A13" s="2" t="s">
        <v>178</v>
      </c>
      <c r="B13" s="1" t="s">
        <v>179</v>
      </c>
      <c r="C13">
        <f t="shared" si="0"/>
        <v>33</v>
      </c>
      <c r="D13">
        <f t="shared" si="1"/>
        <v>3</v>
      </c>
      <c r="E13">
        <v>6</v>
      </c>
      <c r="F13">
        <v>0.5</v>
      </c>
    </row>
    <row r="14" spans="1:13" ht="37.5">
      <c r="A14" s="2" t="s">
        <v>180</v>
      </c>
      <c r="B14" s="1" t="s">
        <v>181</v>
      </c>
      <c r="C14">
        <f t="shared" si="0"/>
        <v>45</v>
      </c>
      <c r="D14">
        <f t="shared" si="1"/>
        <v>6</v>
      </c>
      <c r="E14">
        <v>6</v>
      </c>
      <c r="F14">
        <v>1</v>
      </c>
    </row>
    <row r="15" spans="1:13" ht="37.5">
      <c r="B15" s="1" t="s">
        <v>182</v>
      </c>
      <c r="C15">
        <f t="shared" si="0"/>
        <v>50</v>
      </c>
      <c r="D15">
        <f t="shared" si="1"/>
        <v>0</v>
      </c>
      <c r="E15">
        <v>6</v>
      </c>
      <c r="F15">
        <v>0</v>
      </c>
    </row>
    <row r="16" spans="1:13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2025-03-29T23:29:21Z</dcterms:modified>
</cp:coreProperties>
</file>