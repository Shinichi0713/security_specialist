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6123417F-E847-40D1-B196-229B3D611F64}" xr6:coauthVersionLast="47" xr6:coauthVersionMax="47" xr10:uidLastSave="{00000000-0000-0000-0000-000000000000}"/>
  <bookViews>
    <workbookView xWindow="0" yWindow="0" windowWidth="21975" windowHeight="15585" activeTab="2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</sheets>
  <functionGroups builtInGroupCount="19"/>
  <definedNames>
    <definedName name="_xlnm._FilterDatabase" localSheetId="2" hidden="1">'1'!$A$3:$O$167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" i="6" l="1"/>
  <c r="D13" i="6"/>
  <c r="D12" i="6"/>
  <c r="D11" i="6"/>
  <c r="D10" i="6"/>
  <c r="D9" i="6"/>
  <c r="D8" i="6"/>
  <c r="D7" i="6"/>
  <c r="D6" i="6"/>
  <c r="D5" i="6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D16" i="5"/>
  <c r="D15" i="5"/>
  <c r="D14" i="5"/>
  <c r="D13" i="5"/>
  <c r="D12" i="5"/>
  <c r="D11" i="5"/>
  <c r="D10" i="5"/>
  <c r="D9" i="5"/>
  <c r="D8" i="5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5" l="1"/>
</calcChain>
</file>

<file path=xl/sharedStrings.xml><?xml version="1.0" encoding="utf-8"?>
<sst xmlns="http://schemas.openxmlformats.org/spreadsheetml/2006/main" count="128" uniqueCount="102">
  <si>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</si>
  <si>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</si>
  <si>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</si>
  <si>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</si>
  <si>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</si>
  <si>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</si>
  <si>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</si>
  <si>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</si>
  <si>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</si>
  <si>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</si>
  <si>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</si>
  <si>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</si>
  <si>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2024-春</t>
  </si>
  <si>
    <t>2024-春</t>
    <rPh sb="5" eb="6">
      <t>ハル</t>
    </rPh>
    <phoneticPr fontId="1"/>
  </si>
  <si>
    <t>PM-1</t>
  </si>
  <si>
    <t>PM-1</t>
    <phoneticPr fontId="1"/>
  </si>
  <si>
    <t>G社ヘルスケア</t>
    <rPh sb="1" eb="2">
      <t>シャ</t>
    </rPh>
    <phoneticPr fontId="1"/>
  </si>
  <si>
    <t>サービスY</t>
    <phoneticPr fontId="1"/>
  </si>
  <si>
    <t>サービスK→サービスL</t>
    <phoneticPr fontId="1"/>
  </si>
  <si>
    <t>1</t>
    <phoneticPr fontId="1"/>
  </si>
  <si>
    <t>セッション非管理</t>
    <rPh sb="5" eb="6">
      <t>ヒ</t>
    </rPh>
    <rPh sb="6" eb="8">
      <t>カンリ</t>
    </rPh>
    <phoneticPr fontId="1"/>
  </si>
  <si>
    <t>文字列Xで認証</t>
    <rPh sb="0" eb="3">
      <t>モジレツ</t>
    </rPh>
    <rPh sb="5" eb="7">
      <t>ニンショウ</t>
    </rPh>
    <phoneticPr fontId="1"/>
  </si>
  <si>
    <t>成功ならJWT</t>
    <rPh sb="0" eb="2">
      <t>セイコウ</t>
    </rPh>
    <phoneticPr fontId="1"/>
  </si>
  <si>
    <t>共通ライブラリPを利用</t>
    <rPh sb="0" eb="2">
      <t>キョウツウ</t>
    </rPh>
    <rPh sb="9" eb="11">
      <t>リヨウ</t>
    </rPh>
    <phoneticPr fontId="1"/>
  </si>
  <si>
    <t>サービスLとMで活用</t>
    <rPh sb="8" eb="10">
      <t>カツヨウ</t>
    </rPh>
    <phoneticPr fontId="1"/>
  </si>
  <si>
    <t>midで利用者</t>
    <rPh sb="4" eb="7">
      <t>リヨウシャ</t>
    </rPh>
    <phoneticPr fontId="1"/>
  </si>
  <si>
    <t>JWTライブラリを利用</t>
    <rPh sb="9" eb="11">
      <t>リヨウ</t>
    </rPh>
    <phoneticPr fontId="1"/>
  </si>
  <si>
    <t>JWTスキーム</t>
    <phoneticPr fontId="1"/>
  </si>
  <si>
    <t xml:space="preserve">gaibu </t>
    <phoneticPr fontId="1"/>
  </si>
  <si>
    <t xml:space="preserve">gakushuu </t>
    <phoneticPr fontId="1"/>
  </si>
  <si>
    <t xml:space="preserve">sa-bisu </t>
    <phoneticPr fontId="1"/>
  </si>
  <si>
    <t>脆弱性診断</t>
    <rPh sb="0" eb="3">
      <t>ゼイジャクセイ</t>
    </rPh>
    <rPh sb="3" eb="5">
      <t>シンダン</t>
    </rPh>
    <phoneticPr fontId="1"/>
  </si>
  <si>
    <t>2-1</t>
    <phoneticPr fontId="1"/>
  </si>
  <si>
    <t>RS256</t>
    <phoneticPr fontId="1"/>
  </si>
  <si>
    <t>2-2</t>
    <phoneticPr fontId="1"/>
  </si>
  <si>
    <t>ライブラリQ:JWT管理ライブラリ</t>
    <rPh sb="10" eb="12">
      <t>カンリ</t>
    </rPh>
    <phoneticPr fontId="1"/>
  </si>
  <si>
    <t>LDAPリクエストW</t>
    <phoneticPr fontId="1"/>
  </si>
  <si>
    <t>JWTに設定されたalgの値</t>
    <rPh sb="4" eb="6">
      <t>セッテイ</t>
    </rPh>
    <rPh sb="13" eb="14">
      <t>アタイ</t>
    </rPh>
    <phoneticPr fontId="1"/>
  </si>
  <si>
    <t>Noneでないことを確認する</t>
    <rPh sb="10" eb="12">
      <t>カクニン</t>
    </rPh>
    <phoneticPr fontId="1"/>
  </si>
  <si>
    <t>2-3</t>
    <phoneticPr fontId="1"/>
  </si>
  <si>
    <t>通信モジュールP</t>
    <rPh sb="0" eb="2">
      <t>ツウシン</t>
    </rPh>
    <phoneticPr fontId="1"/>
  </si>
  <si>
    <t>サービスLに定義</t>
    <rPh sb="6" eb="8">
      <t>テイギ</t>
    </rPh>
    <phoneticPr fontId="1"/>
  </si>
  <si>
    <t>サービスMをcall</t>
    <phoneticPr fontId="1"/>
  </si>
  <si>
    <t>JWTに含まれる利用者IDとmidが一致するかを確認する</t>
    <rPh sb="4" eb="5">
      <t>フク</t>
    </rPh>
    <rPh sb="8" eb="11">
      <t>リヨウシャ</t>
    </rPh>
    <rPh sb="18" eb="20">
      <t>イッチ</t>
    </rPh>
    <rPh sb="24" eb="26">
      <t>カクニン</t>
    </rPh>
    <phoneticPr fontId="1"/>
  </si>
  <si>
    <t>2-4</t>
    <phoneticPr fontId="1"/>
  </si>
  <si>
    <t>利用者API</t>
    <rPh sb="0" eb="3">
      <t>リヨウシャ</t>
    </rPh>
    <phoneticPr fontId="1"/>
  </si>
  <si>
    <t>2-5</t>
    <phoneticPr fontId="1"/>
  </si>
  <si>
    <t>連続で失敗した回数が閾値を超えたらロックアウトする機能</t>
    <rPh sb="0" eb="2">
      <t>レンゾク</t>
    </rPh>
    <rPh sb="3" eb="5">
      <t>シッパイ</t>
    </rPh>
    <rPh sb="7" eb="9">
      <t>カイスウ</t>
    </rPh>
    <rPh sb="10" eb="12">
      <t>シキイチ</t>
    </rPh>
    <rPh sb="13" eb="14">
      <t>コ</t>
    </rPh>
    <rPh sb="25" eb="27">
      <t>キノウ</t>
    </rPh>
    <phoneticPr fontId="1"/>
  </si>
  <si>
    <t>3-1</t>
    <phoneticPr fontId="1"/>
  </si>
  <si>
    <t>jndi</t>
    <phoneticPr fontId="1"/>
  </si>
  <si>
    <t>テストサーバーのindexファイルへのアクセスを記録する仕組み。</t>
    <rPh sb="24" eb="26">
      <t>キロク</t>
    </rPh>
    <rPh sb="28" eb="30">
      <t>シク</t>
    </rPh>
    <phoneticPr fontId="1"/>
  </si>
  <si>
    <t>3-2</t>
    <phoneticPr fontId="1"/>
  </si>
  <si>
    <t>c: ANY</t>
    <phoneticPr fontId="1"/>
  </si>
  <si>
    <t>d: ANY</t>
    <phoneticPr fontId="1"/>
  </si>
  <si>
    <t>3-3</t>
    <phoneticPr fontId="1"/>
  </si>
  <si>
    <t>\W[jJ][nN][dD][iI]\W</t>
    <phoneticPr fontId="1"/>
  </si>
  <si>
    <t>3-4</t>
    <phoneticPr fontId="1"/>
  </si>
  <si>
    <t>誤検知による遮断を防ぐことが出来る</t>
    <rPh sb="0" eb="3">
      <t>ゴケンチ</t>
    </rPh>
    <rPh sb="6" eb="8">
      <t>シャダン</t>
    </rPh>
    <rPh sb="9" eb="10">
      <t>フセ</t>
    </rPh>
    <rPh sb="14" eb="16">
      <t>デキ</t>
    </rPh>
    <phoneticPr fontId="1"/>
  </si>
  <si>
    <t>アラートが出た場合に、攻撃かを確認する</t>
    <rPh sb="5" eb="6">
      <t>デ</t>
    </rPh>
    <rPh sb="7" eb="9">
      <t>バアイ</t>
    </rPh>
    <rPh sb="11" eb="13">
      <t>コウゲキ</t>
    </rPh>
    <rPh sb="15" eb="17">
      <t>カクニン</t>
    </rPh>
    <phoneticPr fontId="1"/>
  </si>
  <si>
    <t>PM-2</t>
  </si>
  <si>
    <t>PM-2</t>
    <phoneticPr fontId="1"/>
  </si>
  <si>
    <t>H社</t>
    <rPh sb="1" eb="2">
      <t>シャ</t>
    </rPh>
    <phoneticPr fontId="1"/>
  </si>
  <si>
    <t>HTTPSでアクセス</t>
    <phoneticPr fontId="1"/>
  </si>
  <si>
    <t>ID＋PWでログイン</t>
    <phoneticPr fontId="1"/>
  </si>
  <si>
    <t>H-PC</t>
    <phoneticPr fontId="1"/>
  </si>
  <si>
    <t>リモート接続用PC</t>
    <rPh sb="4" eb="7">
      <t>セツゾクヨウ</t>
    </rPh>
    <phoneticPr fontId="1"/>
  </si>
  <si>
    <t>VPN-GW</t>
    <phoneticPr fontId="1"/>
  </si>
  <si>
    <t>VPN-N</t>
    <phoneticPr fontId="1"/>
  </si>
  <si>
    <t>FW機能</t>
    <rPh sb="2" eb="4">
      <t>キノウ</t>
    </rPh>
    <phoneticPr fontId="1"/>
  </si>
  <si>
    <t>IPとポート</t>
    <phoneticPr fontId="1"/>
  </si>
  <si>
    <t>IPS機能アノマリとシグネチャ</t>
    <rPh sb="3" eb="5">
      <t>キノウ</t>
    </rPh>
    <phoneticPr fontId="1"/>
  </si>
  <si>
    <t>VPNダイアログ</t>
    <phoneticPr fontId="1"/>
  </si>
  <si>
    <t>多要素認証</t>
    <rPh sb="0" eb="5">
      <t>タヨウソニンショウ</t>
    </rPh>
    <phoneticPr fontId="1"/>
  </si>
  <si>
    <t>DDoS攻撃の被害</t>
    <rPh sb="4" eb="6">
      <t>コウゲキ</t>
    </rPh>
    <rPh sb="7" eb="9">
      <t>ヒガイ</t>
    </rPh>
    <phoneticPr fontId="1"/>
  </si>
  <si>
    <t>脆弱性を利用する</t>
    <rPh sb="0" eb="3">
      <t>ゼイジャクセイ</t>
    </rPh>
    <rPh sb="4" eb="6">
      <t>リヨウ</t>
    </rPh>
    <phoneticPr fontId="1"/>
  </si>
  <si>
    <t>ステルス</t>
    <phoneticPr fontId="1"/>
  </si>
  <si>
    <t>VPN-Hへのアクセスは多要素認証</t>
    <rPh sb="12" eb="15">
      <t>タヨウソ</t>
    </rPh>
    <rPh sb="15" eb="17">
      <t>ニンショウ</t>
    </rPh>
    <phoneticPr fontId="1"/>
  </si>
  <si>
    <t>1-1</t>
    <phoneticPr fontId="1"/>
  </si>
  <si>
    <t>公開webサーバーに対して、大量のHTTP GETリクエストを大量に送信する</t>
    <rPh sb="0" eb="2">
      <t>コウカイ</t>
    </rPh>
    <rPh sb="10" eb="11">
      <t>タイ</t>
    </rPh>
    <rPh sb="14" eb="16">
      <t>タイリョウ</t>
    </rPh>
    <rPh sb="31" eb="33">
      <t>タイリョウ</t>
    </rPh>
    <rPh sb="34" eb="36">
      <t>ソウシン</t>
    </rPh>
    <phoneticPr fontId="1"/>
  </si>
  <si>
    <t>1-2</t>
    <phoneticPr fontId="1"/>
  </si>
  <si>
    <t>正常の通信のみの場合でも、攻撃と誤検知してしまう。</t>
    <rPh sb="0" eb="2">
      <t>セイジョウ</t>
    </rPh>
    <rPh sb="3" eb="5">
      <t>ツウシン</t>
    </rPh>
    <rPh sb="8" eb="10">
      <t>バアイ</t>
    </rPh>
    <rPh sb="13" eb="15">
      <t>コウゲキ</t>
    </rPh>
    <rPh sb="16" eb="19">
      <t>ゴケンチ</t>
    </rPh>
    <phoneticPr fontId="1"/>
  </si>
  <si>
    <t>1-3</t>
    <phoneticPr fontId="1"/>
  </si>
  <si>
    <t>DNS-K:権威</t>
    <rPh sb="6" eb="8">
      <t>ケンイ</t>
    </rPh>
    <phoneticPr fontId="1"/>
  </si>
  <si>
    <t>DNS-F：リゾルバ</t>
    <phoneticPr fontId="1"/>
  </si>
  <si>
    <t>b: DNS-K</t>
    <phoneticPr fontId="1"/>
  </si>
  <si>
    <t>c: DNS-F</t>
    <phoneticPr fontId="1"/>
  </si>
  <si>
    <t>d: 攻撃者が、利用者の入力した情報を正規のwebサイトに入力する。正規利用者のデバイスにセキュリティコードが送付される。</t>
    <rPh sb="3" eb="6">
      <t>コウゲキシャ</t>
    </rPh>
    <rPh sb="8" eb="11">
      <t>リヨウシャ</t>
    </rPh>
    <rPh sb="12" eb="14">
      <t>ニュウリョク</t>
    </rPh>
    <rPh sb="16" eb="18">
      <t>ジョウホウ</t>
    </rPh>
    <rPh sb="19" eb="21">
      <t>セイキ</t>
    </rPh>
    <rPh sb="29" eb="31">
      <t>ニュウリョク</t>
    </rPh>
    <rPh sb="34" eb="39">
      <t>セイキリヨウシャ</t>
    </rPh>
    <rPh sb="55" eb="57">
      <t>ソウフ</t>
    </rPh>
    <phoneticPr fontId="1"/>
  </si>
  <si>
    <t>e: 偽のセキュリティコード入力の画面を表示して、正規利用者にセキュリティコードを入力する。攻撃者は入力値を、正規のセキュリティコード入力画面に入力する。</t>
    <rPh sb="3" eb="4">
      <t>ニセ</t>
    </rPh>
    <rPh sb="14" eb="16">
      <t>ニュウリョク</t>
    </rPh>
    <rPh sb="17" eb="19">
      <t>ガメン</t>
    </rPh>
    <rPh sb="20" eb="22">
      <t>ヒョウジ</t>
    </rPh>
    <rPh sb="25" eb="30">
      <t>セイキリヨウシャ</t>
    </rPh>
    <rPh sb="41" eb="43">
      <t>ニュウリョク</t>
    </rPh>
    <rPh sb="46" eb="49">
      <t>コウゲキシャ</t>
    </rPh>
    <rPh sb="50" eb="52">
      <t>ニュウリョク</t>
    </rPh>
    <rPh sb="52" eb="53">
      <t>アタイ</t>
    </rPh>
    <rPh sb="55" eb="57">
      <t>セイキ</t>
    </rPh>
    <rPh sb="67" eb="69">
      <t>ニュウリョク</t>
    </rPh>
    <rPh sb="69" eb="71">
      <t>ガメン</t>
    </rPh>
    <rPh sb="72" eb="74">
      <t>ニュウリョク</t>
    </rPh>
    <phoneticPr fontId="1"/>
  </si>
  <si>
    <t>認証情報の入力は、VPNクライアントソフトの画面のみに入力し、webブラウザの画面に対しては行わない。</t>
    <rPh sb="0" eb="2">
      <t>ニンショウ</t>
    </rPh>
    <rPh sb="2" eb="4">
      <t>ジョウホウ</t>
    </rPh>
    <rPh sb="5" eb="7">
      <t>ニュウリョク</t>
    </rPh>
    <rPh sb="22" eb="24">
      <t>ガメン</t>
    </rPh>
    <rPh sb="27" eb="29">
      <t>ニュウリョク</t>
    </rPh>
    <rPh sb="39" eb="41">
      <t>ガメン</t>
    </rPh>
    <rPh sb="42" eb="43">
      <t>タイ</t>
    </rPh>
    <rPh sb="46" eb="47">
      <t>オコナ</t>
    </rPh>
    <phoneticPr fontId="1"/>
  </si>
  <si>
    <t>取得したパケットの順番通りに、通信要求を送信する</t>
    <rPh sb="0" eb="2">
      <t>シュトク</t>
    </rPh>
    <rPh sb="9" eb="11">
      <t>ジュンバン</t>
    </rPh>
    <rPh sb="11" eb="12">
      <t>トオ</t>
    </rPh>
    <rPh sb="15" eb="17">
      <t>ツウシン</t>
    </rPh>
    <rPh sb="17" eb="19">
      <t>ヨウキュウ</t>
    </rPh>
    <rPh sb="20" eb="22">
      <t>ソウシン</t>
    </rPh>
    <phoneticPr fontId="1"/>
  </si>
  <si>
    <t>先行するランダム値をそのまま利用すると、パケットが破棄されるため。</t>
    <rPh sb="0" eb="2">
      <t>センコウ</t>
    </rPh>
    <rPh sb="8" eb="9">
      <t>アタイ</t>
    </rPh>
    <rPh sb="14" eb="16">
      <t>リヨウ</t>
    </rPh>
    <rPh sb="25" eb="27">
      <t>ハキ</t>
    </rPh>
    <phoneticPr fontId="1"/>
  </si>
  <si>
    <t>4-1</t>
    <phoneticPr fontId="1"/>
  </si>
  <si>
    <t>DDoS対策をゆするCDNサービス</t>
    <rPh sb="4" eb="6">
      <t>タイサク</t>
    </rPh>
    <phoneticPr fontId="1"/>
  </si>
  <si>
    <t>4-2</t>
    <phoneticPr fontId="1"/>
  </si>
  <si>
    <t>VPN経由でない通信をすべてUTMにて拒否することが出来るため</t>
    <rPh sb="3" eb="5">
      <t>ケイユ</t>
    </rPh>
    <rPh sb="8" eb="10">
      <t>ツウシン</t>
    </rPh>
    <rPh sb="19" eb="21">
      <t>キョヒ</t>
    </rPh>
    <rPh sb="26" eb="28">
      <t>デキ</t>
    </rPh>
    <phoneticPr fontId="1"/>
  </si>
  <si>
    <t>UTMの設定変更によって、ボットネットからの通信が遮断されるため</t>
    <rPh sb="4" eb="6">
      <t>セッテイ</t>
    </rPh>
    <rPh sb="6" eb="8">
      <t>ヘンコウ</t>
    </rPh>
    <rPh sb="22" eb="24">
      <t>ツウシン</t>
    </rPh>
    <rPh sb="25" eb="27">
      <t>シャダン</t>
    </rPh>
    <phoneticPr fontId="1"/>
  </si>
  <si>
    <t>S</t>
    <phoneticPr fontId="1"/>
  </si>
  <si>
    <t>ステートレス</t>
    <phoneticPr fontId="1"/>
  </si>
  <si>
    <t>共通モジュールP</t>
    <rPh sb="0" eb="2">
      <t>キョウツウ</t>
    </rPh>
    <phoneticPr fontId="1"/>
  </si>
  <si>
    <t>テストサーバーのindex.htmlにアクセスされたかを確認する</t>
    <rPh sb="28" eb="30">
      <t>カクニン</t>
    </rPh>
    <phoneticPr fontId="1"/>
  </si>
  <si>
    <t>e: Header</t>
    <phoneticPr fontId="1"/>
  </si>
  <si>
    <t>f: Header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</si>
</sst>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3"/>
  <sheetViews>
    <sheetView workbookViewId="0">
      <selection activeCell="I7" sqref="I7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38</v>
      </c>
      <c r="E2">
        <v>50</v>
      </c>
    </row>
    <row r="3" spans="1:6">
      <c r="A3">
        <v>2</v>
      </c>
      <c r="B3" s="2" t="s">
        <v>12</v>
      </c>
      <c r="C3" s="2" t="s">
        <v>59</v>
      </c>
      <c r="D3">
        <v>38</v>
      </c>
      <c r="E3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17339-672A-4CD2-9C30-1F97D055E686}">
  <sheetPr codeName="Sheet4"/>
  <dimension ref="A1:O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24" sqref="C24"/>
    </sheetView>
  </sheetViews>
  <sheetFormatPr defaultRowHeight="18.75"/>
  <cols>
    <col min="1" max="1" width="9" style="2"/>
    <col min="2" max="2" width="51.5" style="1" customWidth="1"/>
    <col min="3" max="3" width="9.75" customWidth="1"/>
  </cols>
  <sheetData>
    <row r="1" spans="1:15">
      <c r="A1" s="2" t="s">
        <v>0</v>
      </c>
      <c r="B1" s="1" t="s">
        <v>13</v>
      </c>
      <c r="K1" t="s">
        <v>49</v>
      </c>
    </row>
    <row r="2" spans="1:15">
      <c r="A2" s="2" t="s">
        <v>2</v>
      </c>
      <c r="B2" s="3" t="s">
        <v>15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19</v>
      </c>
      <c r="B4" s="1" t="s">
        <v>20</v>
      </c>
      <c r="C4">
        <f>IF(B4&lt;&gt;"",LEN(B4),"")</f>
        <v>8</v>
      </c>
      <c r="D4">
        <f>E4*F4</f>
        <v>0</v>
      </c>
      <c r="E4">
        <v>3</v>
      </c>
      <c r="F4">
        <v>0</v>
      </c>
      <c r="G4" t="s">
        <v>16</v>
      </c>
      <c r="I4" t="s">
        <v>21</v>
      </c>
      <c r="K4" t="s">
        <v>26</v>
      </c>
      <c r="M4" t="s">
        <v>31</v>
      </c>
      <c r="O4" t="s">
        <v>40</v>
      </c>
    </row>
    <row r="5" spans="1:15">
      <c r="A5" s="2" t="s">
        <v>32</v>
      </c>
      <c r="B5" s="1">
        <v>500</v>
      </c>
      <c r="C5">
        <f t="shared" ref="C5:C68" si="0">IF(B5&lt;&gt;"",LEN(B5),"")</f>
        <v>3</v>
      </c>
      <c r="D5">
        <f t="shared" ref="D5:D16" si="1">E5*F5</f>
        <v>3</v>
      </c>
      <c r="E5">
        <v>3</v>
      </c>
      <c r="F5">
        <v>1</v>
      </c>
      <c r="G5" t="s">
        <v>17</v>
      </c>
      <c r="I5" t="s">
        <v>22</v>
      </c>
      <c r="K5" t="s">
        <v>27</v>
      </c>
      <c r="M5" t="s">
        <v>33</v>
      </c>
      <c r="O5" t="s">
        <v>41</v>
      </c>
    </row>
    <row r="6" spans="1:15">
      <c r="A6" s="2" t="s">
        <v>34</v>
      </c>
      <c r="B6" s="1" t="s">
        <v>37</v>
      </c>
      <c r="C6">
        <f t="shared" si="0"/>
        <v>14</v>
      </c>
      <c r="D6">
        <f t="shared" si="1"/>
        <v>2</v>
      </c>
      <c r="E6">
        <v>2</v>
      </c>
      <c r="F6">
        <v>1</v>
      </c>
      <c r="G6" t="s">
        <v>18</v>
      </c>
      <c r="I6" t="s">
        <v>23</v>
      </c>
      <c r="K6" t="s">
        <v>28</v>
      </c>
      <c r="M6" t="s">
        <v>35</v>
      </c>
      <c r="O6" t="s">
        <v>42</v>
      </c>
    </row>
    <row r="7" spans="1:15">
      <c r="B7" s="1" t="s">
        <v>38</v>
      </c>
      <c r="C7">
        <f t="shared" si="0"/>
        <v>14</v>
      </c>
      <c r="D7">
        <f t="shared" si="1"/>
        <v>3</v>
      </c>
      <c r="E7">
        <v>3</v>
      </c>
      <c r="F7">
        <v>1</v>
      </c>
      <c r="I7" t="s">
        <v>24</v>
      </c>
      <c r="K7" t="s">
        <v>29</v>
      </c>
      <c r="M7" t="s">
        <v>36</v>
      </c>
    </row>
    <row r="8" spans="1:15">
      <c r="A8" s="2" t="s">
        <v>39</v>
      </c>
      <c r="B8" s="1" t="s">
        <v>43</v>
      </c>
      <c r="C8">
        <f t="shared" si="0"/>
        <v>28</v>
      </c>
      <c r="D8">
        <f t="shared" si="1"/>
        <v>5</v>
      </c>
      <c r="E8">
        <v>5</v>
      </c>
      <c r="F8">
        <v>1</v>
      </c>
      <c r="I8" t="s">
        <v>25</v>
      </c>
      <c r="K8" t="s">
        <v>30</v>
      </c>
    </row>
    <row r="9" spans="1:15">
      <c r="A9" s="2" t="s">
        <v>44</v>
      </c>
      <c r="B9" s="1" t="s">
        <v>45</v>
      </c>
      <c r="C9">
        <f t="shared" si="0"/>
        <v>6</v>
      </c>
      <c r="D9">
        <f t="shared" si="1"/>
        <v>0</v>
      </c>
      <c r="E9">
        <v>3</v>
      </c>
      <c r="F9">
        <v>0</v>
      </c>
    </row>
    <row r="10" spans="1:15">
      <c r="A10" s="2" t="s">
        <v>46</v>
      </c>
      <c r="B10" s="1" t="s">
        <v>47</v>
      </c>
      <c r="C10">
        <f t="shared" si="0"/>
        <v>27</v>
      </c>
      <c r="D10">
        <f t="shared" si="1"/>
        <v>5</v>
      </c>
      <c r="E10">
        <v>5</v>
      </c>
      <c r="F10">
        <v>1</v>
      </c>
      <c r="I10" t="s">
        <v>96</v>
      </c>
    </row>
    <row r="11" spans="1:15" ht="37.5">
      <c r="A11" s="2" t="s">
        <v>48</v>
      </c>
      <c r="B11" s="1" t="s">
        <v>50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5">
      <c r="A12" s="2" t="s">
        <v>51</v>
      </c>
      <c r="B12" s="1" t="s">
        <v>52</v>
      </c>
      <c r="C12">
        <f t="shared" si="0"/>
        <v>6</v>
      </c>
      <c r="D12">
        <f t="shared" si="1"/>
        <v>0</v>
      </c>
      <c r="E12">
        <v>3</v>
      </c>
      <c r="F12">
        <v>0</v>
      </c>
    </row>
    <row r="13" spans="1:15">
      <c r="B13" s="1" t="s">
        <v>53</v>
      </c>
      <c r="C13">
        <f t="shared" si="0"/>
        <v>6</v>
      </c>
      <c r="D13">
        <f t="shared" si="1"/>
        <v>0</v>
      </c>
      <c r="E13">
        <v>3</v>
      </c>
      <c r="F13">
        <v>0</v>
      </c>
    </row>
    <row r="14" spans="1:15">
      <c r="A14" s="2" t="s">
        <v>54</v>
      </c>
      <c r="B14" s="1" t="s">
        <v>55</v>
      </c>
      <c r="C14">
        <f t="shared" si="0"/>
        <v>20</v>
      </c>
      <c r="D14">
        <f t="shared" si="1"/>
        <v>5</v>
      </c>
      <c r="E14">
        <v>5</v>
      </c>
      <c r="F14">
        <v>1</v>
      </c>
    </row>
    <row r="15" spans="1:15">
      <c r="A15" s="2" t="s">
        <v>56</v>
      </c>
      <c r="B15" s="1" t="s">
        <v>57</v>
      </c>
      <c r="C15">
        <f t="shared" si="0"/>
        <v>17</v>
      </c>
      <c r="D15">
        <f t="shared" si="1"/>
        <v>5</v>
      </c>
      <c r="E15">
        <v>5</v>
      </c>
      <c r="F15">
        <v>1</v>
      </c>
    </row>
    <row r="16" spans="1:15">
      <c r="B16" s="1" t="s">
        <v>58</v>
      </c>
      <c r="C16">
        <f t="shared" si="0"/>
        <v>19</v>
      </c>
      <c r="D16">
        <f t="shared" si="1"/>
        <v>5</v>
      </c>
      <c r="E16">
        <v>5</v>
      </c>
      <c r="F16">
        <v>1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>
      <c r="C19" t="str">
        <f t="shared" si="0"/>
        <v/>
      </c>
    </row>
    <row r="20" spans="1:3">
      <c r="C20" t="str">
        <f t="shared" si="0"/>
        <v/>
      </c>
    </row>
    <row r="21" spans="1:3">
      <c r="A21" s="2" t="s">
        <v>19</v>
      </c>
      <c r="B21" s="1" t="s">
        <v>97</v>
      </c>
      <c r="C21">
        <v>1</v>
      </c>
    </row>
    <row r="22" spans="1:3">
      <c r="A22" s="2" t="s">
        <v>44</v>
      </c>
      <c r="B22" s="1" t="s">
        <v>98</v>
      </c>
      <c r="C22">
        <v>1</v>
      </c>
    </row>
    <row r="23" spans="1:3">
      <c r="A23" s="2" t="s">
        <v>48</v>
      </c>
      <c r="B23" s="1" t="s">
        <v>99</v>
      </c>
      <c r="C23">
        <v>0</v>
      </c>
    </row>
    <row r="24" spans="1:3">
      <c r="A24" s="2" t="s">
        <v>51</v>
      </c>
      <c r="B24" s="1" t="s">
        <v>100</v>
      </c>
      <c r="C24">
        <v>1</v>
      </c>
    </row>
    <row r="25" spans="1:3">
      <c r="B25" s="1" t="s">
        <v>101</v>
      </c>
      <c r="C25">
        <v>1</v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D2E17339-672A-4CD2-9C30-1F97D055E686}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BB793-0035-4387-8243-0F6D485095AB}">
  <sheetPr codeName="Sheet5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22" sqref="B22"/>
    </sheetView>
  </sheetViews>
  <sheetFormatPr defaultRowHeight="18.75"/>
  <cols>
    <col min="1" max="1" width="9" style="2"/>
    <col min="2" max="2" width="56.375" style="1" customWidth="1"/>
    <col min="3" max="3" width="9.75" customWidth="1"/>
  </cols>
  <sheetData>
    <row r="1" spans="1:15">
      <c r="A1" s="2" t="s">
        <v>0</v>
      </c>
      <c r="B1" s="1" t="s">
        <v>13</v>
      </c>
    </row>
    <row r="2" spans="1:15">
      <c r="A2" s="2" t="s">
        <v>2</v>
      </c>
      <c r="B2" s="3" t="s">
        <v>60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 ht="37.5">
      <c r="A4" s="2" t="s">
        <v>77</v>
      </c>
      <c r="B4" s="1" t="s">
        <v>78</v>
      </c>
      <c r="C4">
        <f>IF(B4&lt;&gt;"",LEN(B4),"")</f>
        <v>38</v>
      </c>
      <c r="D4">
        <f>E4*F4</f>
        <v>5</v>
      </c>
      <c r="E4">
        <v>5</v>
      </c>
      <c r="F4">
        <v>1</v>
      </c>
      <c r="G4" t="s">
        <v>61</v>
      </c>
      <c r="I4" t="s">
        <v>65</v>
      </c>
      <c r="K4" t="s">
        <v>69</v>
      </c>
      <c r="M4" t="s">
        <v>66</v>
      </c>
      <c r="O4" t="s">
        <v>76</v>
      </c>
    </row>
    <row r="5" spans="1:15">
      <c r="A5" s="2" t="s">
        <v>79</v>
      </c>
      <c r="B5" s="1" t="s">
        <v>80</v>
      </c>
      <c r="C5">
        <f t="shared" ref="C5:C68" si="0">IF(B5&lt;&gt;"",LEN(B5),"")</f>
        <v>25</v>
      </c>
      <c r="D5">
        <f t="shared" ref="D5:D14" si="1">E5*F5</f>
        <v>4</v>
      </c>
      <c r="E5">
        <v>4</v>
      </c>
      <c r="F5">
        <v>1</v>
      </c>
      <c r="G5" t="s">
        <v>62</v>
      </c>
      <c r="I5" t="s">
        <v>66</v>
      </c>
      <c r="K5" t="s">
        <v>70</v>
      </c>
      <c r="M5" t="s">
        <v>73</v>
      </c>
      <c r="O5" t="s">
        <v>82</v>
      </c>
    </row>
    <row r="6" spans="1:15">
      <c r="A6" s="2" t="s">
        <v>81</v>
      </c>
      <c r="B6" s="1" t="s">
        <v>84</v>
      </c>
      <c r="C6">
        <f t="shared" si="0"/>
        <v>8</v>
      </c>
      <c r="D6">
        <f t="shared" si="1"/>
        <v>3</v>
      </c>
      <c r="E6">
        <v>3</v>
      </c>
      <c r="F6">
        <v>1</v>
      </c>
      <c r="G6" t="s">
        <v>63</v>
      </c>
      <c r="I6" t="s">
        <v>67</v>
      </c>
      <c r="K6" t="s">
        <v>71</v>
      </c>
      <c r="M6" t="s">
        <v>74</v>
      </c>
      <c r="O6" t="s">
        <v>83</v>
      </c>
    </row>
    <row r="7" spans="1:15">
      <c r="B7" s="1" t="s">
        <v>85</v>
      </c>
      <c r="C7">
        <f t="shared" si="0"/>
        <v>8</v>
      </c>
      <c r="D7">
        <f t="shared" si="1"/>
        <v>3</v>
      </c>
      <c r="E7">
        <v>3</v>
      </c>
      <c r="F7">
        <v>1</v>
      </c>
      <c r="G7" t="s">
        <v>64</v>
      </c>
      <c r="I7" t="s">
        <v>68</v>
      </c>
      <c r="K7" t="s">
        <v>72</v>
      </c>
      <c r="M7" t="s">
        <v>75</v>
      </c>
    </row>
    <row r="8" spans="1:15" ht="37.5">
      <c r="A8" s="2" t="s">
        <v>32</v>
      </c>
      <c r="B8" s="1" t="s">
        <v>86</v>
      </c>
      <c r="C8">
        <f t="shared" si="0"/>
        <v>61</v>
      </c>
      <c r="D8">
        <f t="shared" si="1"/>
        <v>5</v>
      </c>
      <c r="E8">
        <v>5</v>
      </c>
      <c r="F8">
        <v>1</v>
      </c>
    </row>
    <row r="9" spans="1:15" ht="56.25">
      <c r="B9" s="1" t="s">
        <v>87</v>
      </c>
      <c r="C9">
        <f t="shared" si="0"/>
        <v>77</v>
      </c>
      <c r="D9">
        <f t="shared" si="1"/>
        <v>5</v>
      </c>
      <c r="E9">
        <v>5</v>
      </c>
      <c r="F9">
        <v>1</v>
      </c>
    </row>
    <row r="10" spans="1:15" ht="37.5">
      <c r="A10" s="2" t="s">
        <v>34</v>
      </c>
      <c r="B10" s="1" t="s">
        <v>88</v>
      </c>
      <c r="C10">
        <f t="shared" si="0"/>
        <v>51</v>
      </c>
      <c r="D10">
        <f t="shared" si="1"/>
        <v>0</v>
      </c>
      <c r="E10">
        <v>5</v>
      </c>
      <c r="F10">
        <v>0</v>
      </c>
    </row>
    <row r="11" spans="1:15">
      <c r="A11" s="2" t="s">
        <v>48</v>
      </c>
      <c r="B11" s="1" t="s">
        <v>89</v>
      </c>
      <c r="C11">
        <f t="shared" si="0"/>
        <v>24</v>
      </c>
      <c r="D11">
        <f t="shared" si="1"/>
        <v>5</v>
      </c>
      <c r="E11">
        <v>5</v>
      </c>
      <c r="F11">
        <v>1</v>
      </c>
    </row>
    <row r="12" spans="1:15" ht="37.5">
      <c r="A12" s="2" t="s">
        <v>51</v>
      </c>
      <c r="B12" s="1" t="s">
        <v>90</v>
      </c>
      <c r="C12">
        <f t="shared" si="0"/>
        <v>33</v>
      </c>
      <c r="D12">
        <f t="shared" si="1"/>
        <v>3</v>
      </c>
      <c r="E12">
        <v>6</v>
      </c>
      <c r="F12">
        <v>0.5</v>
      </c>
    </row>
    <row r="13" spans="1:15">
      <c r="A13" s="2" t="s">
        <v>91</v>
      </c>
      <c r="B13" s="1" t="s">
        <v>92</v>
      </c>
      <c r="C13">
        <f t="shared" si="0"/>
        <v>17</v>
      </c>
      <c r="D13">
        <f t="shared" si="1"/>
        <v>0</v>
      </c>
      <c r="E13">
        <v>4</v>
      </c>
      <c r="F13">
        <v>0</v>
      </c>
    </row>
    <row r="14" spans="1:15">
      <c r="A14" s="2" t="s">
        <v>93</v>
      </c>
      <c r="B14" s="1" t="s">
        <v>94</v>
      </c>
      <c r="C14">
        <f t="shared" si="0"/>
        <v>31</v>
      </c>
      <c r="D14">
        <f t="shared" si="1"/>
        <v>5</v>
      </c>
      <c r="E14">
        <v>5</v>
      </c>
      <c r="F14">
        <v>1</v>
      </c>
    </row>
    <row r="15" spans="1:15">
      <c r="C15" t="str">
        <f t="shared" si="0"/>
        <v/>
      </c>
    </row>
    <row r="16" spans="1:15" ht="37.5">
      <c r="B16" s="1" t="s">
        <v>95</v>
      </c>
      <c r="C16">
        <f t="shared" si="0"/>
        <v>32</v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レビュー</vt:lpstr>
      <vt:lpstr>format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2025-03-29T08:30:34Z</dcterms:modified>
</cp:coreProperties>
</file>