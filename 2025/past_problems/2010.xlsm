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B1FB0DCE-C896-4DBE-A03D-DC070D2A86A8}" xr6:coauthVersionLast="47" xr6:coauthVersionMax="47" xr10:uidLastSave="{00000000-0000-0000-0000-000000000000}"/>
  <bookViews>
    <workbookView xWindow="13245" yWindow="3615" windowWidth="15570" windowHeight="14400" activeTab="7" xr2:uid="{00000000-000D-0000-FFFF-FFFF00000000}"/>
  </bookViews>
  <sheets>
    <sheet name="レビュー" sheetId="2" r:id="rId1"/>
    <sheet name="format" sheetId="4" r:id="rId2"/>
    <sheet name="1" sheetId="5" r:id="rId3"/>
    <sheet name="2" sheetId="6" r:id="rId4"/>
    <sheet name="3" sheetId="7" r:id="rId5"/>
    <sheet name="4" sheetId="8" r:id="rId6"/>
    <sheet name="5" sheetId="9" r:id="rId7"/>
    <sheet name="6" sheetId="10" r:id="rId8"/>
    <sheet name="7" sheetId="11" r:id="rId9"/>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11" l="1"/>
  <c r="D11" i="11"/>
  <c r="D10" i="11"/>
  <c r="D9" i="11"/>
  <c r="D8" i="11"/>
  <c r="D7" i="11"/>
  <c r="D6" i="11"/>
  <c r="D5" i="11"/>
  <c r="D2" i="11" s="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E2" i="11"/>
  <c r="D13" i="10"/>
  <c r="D12" i="10"/>
  <c r="D11" i="10"/>
  <c r="D10" i="10"/>
  <c r="D9" i="10"/>
  <c r="D8" i="10"/>
  <c r="D7" i="10"/>
  <c r="D6" i="10"/>
  <c r="D5" i="10"/>
  <c r="D2" i="10" s="1"/>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1" i="9"/>
  <c r="D20" i="9"/>
  <c r="D19" i="9"/>
  <c r="D18" i="9"/>
  <c r="D17" i="9"/>
  <c r="D16" i="9"/>
  <c r="D15" i="9"/>
  <c r="D14" i="9"/>
  <c r="D13" i="9"/>
  <c r="D12" i="9"/>
  <c r="D11" i="9"/>
  <c r="D10" i="9"/>
  <c r="D9" i="9"/>
  <c r="D8" i="9"/>
  <c r="D2" i="9" s="1"/>
  <c r="D7" i="9"/>
  <c r="D6" i="9"/>
  <c r="D5" i="9"/>
  <c r="D4"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2" i="6"/>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<sst xmlns="http://schemas.openxmlformats.org/spreadsheetml/2006/main" count="375" uniqueCount="260">
  <si>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</si>
  <si>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</si>
  <si>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</si>
  <si>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</si>
  <si>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</si>
  <si>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</si>
  <si>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</si>
  <si>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</si>
  <si>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</si>
  <si>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</si>
  <si>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</si>
  <si>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</si>
  <si>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2010-秋</t>
  </si>
  <si>
    <t>2010-秋</t>
    <rPh sb="5" eb="6">
      <t>アキ</t>
    </rPh>
    <phoneticPr fontId="1"/>
  </si>
  <si>
    <t>PM2</t>
  </si>
  <si>
    <t>PM2</t>
    <phoneticPr fontId="1"/>
  </si>
  <si>
    <t>1</t>
    <phoneticPr fontId="1"/>
  </si>
  <si>
    <t>2-(1)</t>
    <phoneticPr fontId="1"/>
  </si>
  <si>
    <t>2-(2)</t>
    <phoneticPr fontId="1"/>
  </si>
  <si>
    <t>2-(3)</t>
    <phoneticPr fontId="1"/>
  </si>
  <si>
    <t>3-(1)</t>
    <phoneticPr fontId="1"/>
  </si>
  <si>
    <t>3-(2)</t>
    <phoneticPr fontId="1"/>
  </si>
  <si>
    <t>4-(1)</t>
    <phoneticPr fontId="1"/>
  </si>
  <si>
    <t>4-(2)</t>
    <phoneticPr fontId="1"/>
  </si>
  <si>
    <t>5-(2)</t>
    <phoneticPr fontId="1"/>
  </si>
  <si>
    <t>5-(1)</t>
    <phoneticPr fontId="1"/>
  </si>
  <si>
    <t>5-(3)</t>
    <phoneticPr fontId="1"/>
  </si>
  <si>
    <t>間違い直し</t>
    <rPh sb="0" eb="2">
      <t>マチガ</t>
    </rPh>
    <rPh sb="3" eb="4">
      <t>ナオ</t>
    </rPh>
    <phoneticPr fontId="1"/>
  </si>
  <si>
    <t>PM1-1</t>
    <phoneticPr fontId="1"/>
  </si>
  <si>
    <t>3-(3)</t>
    <phoneticPr fontId="1"/>
  </si>
  <si>
    <t>4</t>
    <phoneticPr fontId="1"/>
  </si>
  <si>
    <t>PM1-1</t>
  </si>
  <si>
    <t>PM1-2</t>
    <phoneticPr fontId="1"/>
  </si>
  <si>
    <t>2</t>
    <phoneticPr fontId="1"/>
  </si>
  <si>
    <t>3-1</t>
    <phoneticPr fontId="1"/>
  </si>
  <si>
    <t>3-2</t>
    <phoneticPr fontId="1"/>
  </si>
  <si>
    <t>3-3</t>
    <phoneticPr fontId="1"/>
  </si>
  <si>
    <t>PM1-2</t>
  </si>
  <si>
    <t>勤怠管理システム</t>
    <rPh sb="0" eb="2">
      <t>キンタイ</t>
    </rPh>
    <rPh sb="2" eb="4">
      <t>カンリ</t>
    </rPh>
    <phoneticPr fontId="1"/>
  </si>
  <si>
    <t>勤怠データは店舗ごとに管理</t>
    <rPh sb="0" eb="2">
      <t>キンタイ</t>
    </rPh>
    <rPh sb="6" eb="8">
      <t>テンポ</t>
    </rPh>
    <rPh sb="11" eb="13">
      <t>カンリ</t>
    </rPh>
    <phoneticPr fontId="1"/>
  </si>
  <si>
    <t>FWのアクセス制御</t>
    <rPh sb="7" eb="9">
      <t>セイギョ</t>
    </rPh>
    <phoneticPr fontId="1"/>
  </si>
  <si>
    <t>aア</t>
    <phoneticPr fontId="1"/>
  </si>
  <si>
    <t>bウ</t>
    <phoneticPr fontId="1"/>
  </si>
  <si>
    <t>OK</t>
    <phoneticPr fontId="1"/>
  </si>
  <si>
    <t>大きな変更が必要となった場合、プロジェクトの遅延に繋がる</t>
    <rPh sb="0" eb="1">
      <t>オオ</t>
    </rPh>
    <rPh sb="3" eb="5">
      <t>ヘンコウ</t>
    </rPh>
    <rPh sb="6" eb="8">
      <t>ヒツヨウ</t>
    </rPh>
    <rPh sb="12" eb="14">
      <t>バアイ</t>
    </rPh>
    <rPh sb="22" eb="24">
      <t>チエン</t>
    </rPh>
    <rPh sb="25" eb="26">
      <t>ツナ</t>
    </rPh>
    <phoneticPr fontId="1"/>
  </si>
  <si>
    <t>セキュリティ要件が満たされているかをレビューする。</t>
    <rPh sb="6" eb="8">
      <t>ヨウケン</t>
    </rPh>
    <rPh sb="9" eb="10">
      <t>ミ</t>
    </rPh>
    <phoneticPr fontId="1"/>
  </si>
  <si>
    <t>開発ガイドラインとコーディングルールに基づきコーディングされていることを確認する</t>
    <rPh sb="0" eb="2">
      <t>カイハツ</t>
    </rPh>
    <rPh sb="19" eb="20">
      <t>モト</t>
    </rPh>
    <rPh sb="36" eb="38">
      <t>カクニン</t>
    </rPh>
    <phoneticPr fontId="1"/>
  </si>
  <si>
    <t>データベースのテーブルとアカウントを顧客ごとに分離し、アクセス権を設定する</t>
    <rPh sb="18" eb="20">
      <t>コキャク</t>
    </rPh>
    <rPh sb="23" eb="25">
      <t>ブンリ</t>
    </rPh>
    <rPh sb="31" eb="32">
      <t>ケン</t>
    </rPh>
    <rPh sb="33" eb="35">
      <t>セッテイ</t>
    </rPh>
    <phoneticPr fontId="1"/>
  </si>
  <si>
    <t>システムテストが終了</t>
    <rPh sb="8" eb="10">
      <t>シュウリョウ</t>
    </rPh>
    <phoneticPr fontId="1"/>
  </si>
  <si>
    <t>Inetに接続して運用テスト</t>
    <rPh sb="5" eb="7">
      <t>セツゾク</t>
    </rPh>
    <rPh sb="9" eb="11">
      <t>ウンヨウ</t>
    </rPh>
    <phoneticPr fontId="1"/>
  </si>
  <si>
    <t>メンバがミドルウェアの脆弱性が公表</t>
    <rPh sb="11" eb="14">
      <t>ゼイジャクセイ</t>
    </rPh>
    <rPh sb="15" eb="17">
      <t>コウヒョウ</t>
    </rPh>
    <phoneticPr fontId="1"/>
  </si>
  <si>
    <t>ア</t>
    <phoneticPr fontId="1"/>
  </si>
  <si>
    <t>X社の標準開発プロセスに構成管理の収集を行うことを規定する。</t>
    <rPh sb="1" eb="2">
      <t>シャ</t>
    </rPh>
    <rPh sb="3" eb="7">
      <t>ヒョウジュンカイハツ</t>
    </rPh>
    <rPh sb="12" eb="14">
      <t>コウセイ</t>
    </rPh>
    <rPh sb="14" eb="16">
      <t>カンリ</t>
    </rPh>
    <rPh sb="17" eb="19">
      <t>シュウシュウ</t>
    </rPh>
    <rPh sb="20" eb="21">
      <t>オコナ</t>
    </rPh>
    <rPh sb="25" eb="27">
      <t>キテイ</t>
    </rPh>
    <phoneticPr fontId="1"/>
  </si>
  <si>
    <t>3-4</t>
    <phoneticPr fontId="1"/>
  </si>
  <si>
    <t>ミドルウェアを販売</t>
    <rPh sb="7" eb="9">
      <t>ハンバイ</t>
    </rPh>
    <phoneticPr fontId="1"/>
  </si>
  <si>
    <t>DCで社内システムを運用</t>
    <rPh sb="3" eb="5">
      <t>シャナイ</t>
    </rPh>
    <rPh sb="10" eb="12">
      <t>ウンヨウ</t>
    </rPh>
    <phoneticPr fontId="1"/>
  </si>
  <si>
    <t>資料データはデータ</t>
    <rPh sb="0" eb="2">
      <t>シリョウ</t>
    </rPh>
    <phoneticPr fontId="1"/>
  </si>
  <si>
    <t>秘密情報をふくむことがあるし各社開示はNG</t>
    <rPh sb="0" eb="4">
      <t>ヒミツジョウホウ</t>
    </rPh>
    <rPh sb="14" eb="16">
      <t>カクシャ</t>
    </rPh>
    <rPh sb="16" eb="18">
      <t>カイジ</t>
    </rPh>
    <phoneticPr fontId="1"/>
  </si>
  <si>
    <t>図1WEBSVにアクセス→DLする</t>
    <rPh sb="0" eb="1">
      <t>ズ</t>
    </rPh>
    <phoneticPr fontId="1"/>
  </si>
  <si>
    <t>広域イーサネットZ社が費用を負担する</t>
    <rPh sb="0" eb="2">
      <t>コウイキ</t>
    </rPh>
    <rPh sb="9" eb="10">
      <t>シャ</t>
    </rPh>
    <rPh sb="11" eb="13">
      <t>ヒヨウ</t>
    </rPh>
    <rPh sb="14" eb="16">
      <t>フタン</t>
    </rPh>
    <phoneticPr fontId="1"/>
  </si>
  <si>
    <t>データ転送方式</t>
    <rPh sb="3" eb="7">
      <t>テンソウホウシキ</t>
    </rPh>
    <phoneticPr fontId="1"/>
  </si>
  <si>
    <t>ベンダPCより共有サーバーにアクセスする</t>
    <rPh sb="7" eb="9">
      <t>キョウユウ</t>
    </rPh>
    <phoneticPr fontId="1"/>
  </si>
  <si>
    <t>aなりすまし</t>
    <phoneticPr fontId="1"/>
  </si>
  <si>
    <t>bクライアント認証</t>
    <rPh sb="7" eb="9">
      <t>ニンショウ</t>
    </rPh>
    <phoneticPr fontId="1"/>
  </si>
  <si>
    <t>c盗聴</t>
    <rPh sb="1" eb="3">
      <t>トウチョウ</t>
    </rPh>
    <phoneticPr fontId="1"/>
  </si>
  <si>
    <t>NG</t>
    <phoneticPr fontId="1"/>
  </si>
  <si>
    <t>通信ログの取得だけでなく作業内容を事後確認</t>
    <rPh sb="0" eb="2">
      <t>ツウシン</t>
    </rPh>
    <rPh sb="5" eb="7">
      <t>シュトク</t>
    </rPh>
    <rPh sb="12" eb="16">
      <t>サギョウナイヨウ</t>
    </rPh>
    <rPh sb="17" eb="21">
      <t>ジゴカクニン</t>
    </rPh>
    <phoneticPr fontId="1"/>
  </si>
  <si>
    <t>通信ログ、作業報告書</t>
    <rPh sb="0" eb="2">
      <t>ツウシン</t>
    </rPh>
    <rPh sb="5" eb="10">
      <t>サギョウホウコクショ</t>
    </rPh>
    <phoneticPr fontId="1"/>
  </si>
  <si>
    <t>OK</t>
    <phoneticPr fontId="1"/>
  </si>
  <si>
    <t>運用手順に対する修正内容</t>
    <rPh sb="0" eb="4">
      <t>ウンヨウテジュン</t>
    </rPh>
    <rPh sb="5" eb="6">
      <t>タイ</t>
    </rPh>
    <rPh sb="8" eb="12">
      <t>シュウセイナイヨウ</t>
    </rPh>
    <phoneticPr fontId="1"/>
  </si>
  <si>
    <t>通信ログの取得と保存だけでなく確認</t>
    <rPh sb="0" eb="2">
      <t>ツウシン</t>
    </rPh>
    <rPh sb="5" eb="7">
      <t>シュトク</t>
    </rPh>
    <rPh sb="8" eb="10">
      <t>ホゾン</t>
    </rPh>
    <rPh sb="15" eb="17">
      <t>カクニン</t>
    </rPh>
    <phoneticPr fontId="1"/>
  </si>
  <si>
    <t>保守担当者と運用担当者の利用者IDを分けておく</t>
    <rPh sb="0" eb="2">
      <t>ホシュ</t>
    </rPh>
    <rPh sb="2" eb="5">
      <t>タントウシャ</t>
    </rPh>
    <rPh sb="6" eb="11">
      <t>ウンヨウタントウシャ</t>
    </rPh>
    <rPh sb="12" eb="15">
      <t>リヨウシャ</t>
    </rPh>
    <rPh sb="18" eb="19">
      <t>ワ</t>
    </rPh>
    <phoneticPr fontId="1"/>
  </si>
  <si>
    <t>管理する側は誰がやったかをきっちりと識別できないといけない</t>
    <rPh sb="0" eb="2">
      <t>カンリ</t>
    </rPh>
    <rPh sb="4" eb="5">
      <t>ガワ</t>
    </rPh>
    <rPh sb="6" eb="7">
      <t>ダレ</t>
    </rPh>
    <rPh sb="18" eb="20">
      <t>シキベツ</t>
    </rPh>
    <phoneticPr fontId="1"/>
  </si>
  <si>
    <t>→IDは確実に別に分けておく</t>
    <rPh sb="4" eb="6">
      <t>カクジツ</t>
    </rPh>
    <rPh sb="7" eb="8">
      <t>ベツ</t>
    </rPh>
    <rPh sb="9" eb="10">
      <t>ワ</t>
    </rPh>
    <phoneticPr fontId="1"/>
  </si>
  <si>
    <t>各ベンダが所有するベンダPCの設定変更が必要となるため</t>
    <rPh sb="0" eb="1">
      <t>カク</t>
    </rPh>
    <rPh sb="5" eb="7">
      <t>ショユウ</t>
    </rPh>
    <rPh sb="15" eb="19">
      <t>セッテイヘンコウ</t>
    </rPh>
    <rPh sb="20" eb="22">
      <t>ヒツヨウ</t>
    </rPh>
    <phoneticPr fontId="1"/>
  </si>
  <si>
    <t>WAF</t>
    <phoneticPr fontId="1"/>
  </si>
  <si>
    <t>販売システム</t>
    <rPh sb="0" eb="2">
      <t>ハンバイ</t>
    </rPh>
    <phoneticPr fontId="1"/>
  </si>
  <si>
    <t>アウトソーシング</t>
    <phoneticPr fontId="1"/>
  </si>
  <si>
    <t>MW上のアプリが稼働</t>
    <rPh sb="2" eb="3">
      <t>ウエ</t>
    </rPh>
    <rPh sb="8" eb="10">
      <t>カドウ</t>
    </rPh>
    <phoneticPr fontId="1"/>
  </si>
  <si>
    <t>ログインIDF</t>
    <phoneticPr fontId="1"/>
  </si>
  <si>
    <t>販売システムのログインIDを保有しない</t>
    <rPh sb="0" eb="2">
      <t>ハンバイ</t>
    </rPh>
    <rPh sb="14" eb="16">
      <t>ホユウ</t>
    </rPh>
    <phoneticPr fontId="1"/>
  </si>
  <si>
    <t>修正PRG</t>
    <rPh sb="0" eb="2">
      <t>シュウセイ</t>
    </rPh>
    <phoneticPr fontId="1"/>
  </si>
  <si>
    <t>FWはパケットのヘッダ情報だけでアクセス制御を行うため</t>
    <rPh sb="11" eb="13">
      <t>ジョウホウ</t>
    </rPh>
    <rPh sb="20" eb="22">
      <t>セイギョ</t>
    </rPh>
    <rPh sb="23" eb="24">
      <t>オコナ</t>
    </rPh>
    <phoneticPr fontId="1"/>
  </si>
  <si>
    <t>クッキーの暗号化</t>
    <rPh sb="5" eb="8">
      <t>アンゴウカ</t>
    </rPh>
    <phoneticPr fontId="1"/>
  </si>
  <si>
    <t>シグネチャによる通信検査</t>
    <rPh sb="8" eb="10">
      <t>ツウシン</t>
    </rPh>
    <rPh sb="10" eb="12">
      <t>ケンサ</t>
    </rPh>
    <phoneticPr fontId="1"/>
  </si>
  <si>
    <t>複合語に有効なセッションIDとなる暗号文を攻撃者では生成できないため</t>
    <rPh sb="0" eb="3">
      <t>フクゴウゴ</t>
    </rPh>
    <rPh sb="4" eb="6">
      <t>ユウコウ</t>
    </rPh>
    <rPh sb="17" eb="20">
      <t>アンゴウブン</t>
    </rPh>
    <rPh sb="21" eb="24">
      <t>コウゲキシャ</t>
    </rPh>
    <rPh sb="26" eb="28">
      <t>セイセイ</t>
    </rPh>
    <phoneticPr fontId="1"/>
  </si>
  <si>
    <t>ウ</t>
    <phoneticPr fontId="1"/>
  </si>
  <si>
    <t>暗号化されたcookieを他webサーバーに転送する場合。</t>
    <rPh sb="0" eb="3">
      <t>アンゴウカ</t>
    </rPh>
    <rPh sb="13" eb="14">
      <t>ホカ</t>
    </rPh>
    <rPh sb="22" eb="24">
      <t>テンソウ</t>
    </rPh>
    <rPh sb="26" eb="28">
      <t>バアイ</t>
    </rPh>
    <phoneticPr fontId="1"/>
  </si>
  <si>
    <t>検出されたシグニチャに対して、WEBアプリが脆弱性がないことを確認する。</t>
    <rPh sb="0" eb="2">
      <t>ケンシュツ</t>
    </rPh>
    <rPh sb="11" eb="12">
      <t>タイ</t>
    </rPh>
    <rPh sb="22" eb="25">
      <t>ゼイジャクセイ</t>
    </rPh>
    <rPh sb="31" eb="33">
      <t>カクニン</t>
    </rPh>
    <phoneticPr fontId="1"/>
  </si>
  <si>
    <t>無効かするシグネチャで定義された攻撃の対象となる脆弱性がwebアプリケーションやミドルウェアに存在しないこと</t>
    <rPh sb="0" eb="2">
      <t>ムコウ</t>
    </rPh>
    <rPh sb="11" eb="13">
      <t>テイギ</t>
    </rPh>
    <rPh sb="16" eb="18">
      <t>コウゲキ</t>
    </rPh>
    <rPh sb="19" eb="21">
      <t>タイショウ</t>
    </rPh>
    <rPh sb="24" eb="27">
      <t>ゼイジャクセイ</t>
    </rPh>
    <rPh sb="47" eb="49">
      <t>ソンザイ</t>
    </rPh>
    <phoneticPr fontId="1"/>
  </si>
  <si>
    <t>通信内容が暗号化されていると、WAFが攻撃の検出をできなくなるため</t>
    <rPh sb="0" eb="4">
      <t>ツウシンナイヨウ</t>
    </rPh>
    <rPh sb="5" eb="8">
      <t>アンゴウカ</t>
    </rPh>
    <rPh sb="19" eb="21">
      <t>コウゲキ</t>
    </rPh>
    <rPh sb="22" eb="24">
      <t>ケンシュツ</t>
    </rPh>
    <phoneticPr fontId="1"/>
  </si>
  <si>
    <t>エ</t>
    <phoneticPr fontId="1"/>
  </si>
  <si>
    <t>PM1-3</t>
    <phoneticPr fontId="1"/>
  </si>
  <si>
    <t>E社</t>
    <rPh sb="1" eb="2">
      <t>シャ</t>
    </rPh>
    <phoneticPr fontId="1"/>
  </si>
  <si>
    <t>商社</t>
    <rPh sb="0" eb="2">
      <t>ショウシャ</t>
    </rPh>
    <phoneticPr fontId="1"/>
  </si>
  <si>
    <t>販売管理</t>
    <rPh sb="0" eb="2">
      <t>ハンバイ</t>
    </rPh>
    <rPh sb="2" eb="4">
      <t>カンリ</t>
    </rPh>
    <phoneticPr fontId="1"/>
  </si>
  <si>
    <t>Eシステム</t>
    <phoneticPr fontId="1"/>
  </si>
  <si>
    <t>UIDはサブシステムごとに独自</t>
    <rPh sb="13" eb="15">
      <t>ドクジ</t>
    </rPh>
    <phoneticPr fontId="1"/>
  </si>
  <si>
    <t>UID管理はサブシステムごと</t>
    <rPh sb="3" eb="5">
      <t>カンリ</t>
    </rPh>
    <phoneticPr fontId="1"/>
  </si>
  <si>
    <t>プロジェクトチームでは連携</t>
    <rPh sb="11" eb="13">
      <t>レンケイ</t>
    </rPh>
    <phoneticPr fontId="1"/>
  </si>
  <si>
    <t>システム管理UID</t>
    <rPh sb="4" eb="6">
      <t>カンリ</t>
    </rPh>
    <phoneticPr fontId="1"/>
  </si>
  <si>
    <t>パスワード</t>
    <phoneticPr fontId="1"/>
  </si>
  <si>
    <t>人事イベントのUID</t>
    <rPh sb="0" eb="2">
      <t>ジンジ</t>
    </rPh>
    <phoneticPr fontId="1"/>
  </si>
  <si>
    <t>1-(1)</t>
    <phoneticPr fontId="1"/>
  </si>
  <si>
    <t>a:無効</t>
    <rPh sb="2" eb="4">
      <t>ムコウ</t>
    </rPh>
    <phoneticPr fontId="1"/>
  </si>
  <si>
    <t>b:有効</t>
    <rPh sb="2" eb="4">
      <t>ユウコウ</t>
    </rPh>
    <phoneticPr fontId="1"/>
  </si>
  <si>
    <t>1-(2)</t>
    <phoneticPr fontId="1"/>
  </si>
  <si>
    <t>UIDの発行</t>
    <rPh sb="4" eb="6">
      <t>ハッコウ</t>
    </rPh>
    <phoneticPr fontId="1"/>
  </si>
  <si>
    <t>72hいないにPWを設定</t>
    <rPh sb="10" eb="12">
      <t>セッテイ</t>
    </rPh>
    <phoneticPr fontId="1"/>
  </si>
  <si>
    <t>一時停止</t>
    <rPh sb="0" eb="4">
      <t>イチジテイシ</t>
    </rPh>
    <phoneticPr fontId="1"/>
  </si>
  <si>
    <t>c:不許可</t>
    <rPh sb="2" eb="5">
      <t>フキョカ</t>
    </rPh>
    <phoneticPr fontId="1"/>
  </si>
  <si>
    <t>d:パスワードを設定してください</t>
    <rPh sb="8" eb="10">
      <t>セッテイ</t>
    </rPh>
    <phoneticPr fontId="1"/>
  </si>
  <si>
    <t>1-(3)</t>
    <phoneticPr fontId="1"/>
  </si>
  <si>
    <t>24時間の経過</t>
    <rPh sb="2" eb="4">
      <t>ジカン</t>
    </rPh>
    <rPh sb="5" eb="7">
      <t>ケイカ</t>
    </rPh>
    <phoneticPr fontId="1"/>
  </si>
  <si>
    <t>プロジェクトチームで管理</t>
    <rPh sb="10" eb="12">
      <t>カンリ</t>
    </rPh>
    <phoneticPr fontId="1"/>
  </si>
  <si>
    <t>サブシステム</t>
    <phoneticPr fontId="1"/>
  </si>
  <si>
    <t>プロジェクトチーム</t>
    <phoneticPr fontId="1"/>
  </si>
  <si>
    <t>UID管理</t>
    <rPh sb="3" eb="5">
      <t>カンリ</t>
    </rPh>
    <phoneticPr fontId="1"/>
  </si>
  <si>
    <t>派遣社員</t>
    <rPh sb="0" eb="4">
      <t>ハケンシャイン</t>
    </rPh>
    <phoneticPr fontId="1"/>
  </si>
  <si>
    <t>満了</t>
    <rPh sb="0" eb="2">
      <t>マンリョウ</t>
    </rPh>
    <phoneticPr fontId="1"/>
  </si>
  <si>
    <t>新規発行</t>
    <rPh sb="0" eb="4">
      <t>シンキハッコウ</t>
    </rPh>
    <phoneticPr fontId="1"/>
  </si>
  <si>
    <t>派遣契約の状態値</t>
    <rPh sb="0" eb="4">
      <t>ハケンケイヤク</t>
    </rPh>
    <rPh sb="5" eb="7">
      <t>ジョウタイ</t>
    </rPh>
    <rPh sb="7" eb="8">
      <t>アタイ</t>
    </rPh>
    <phoneticPr fontId="1"/>
  </si>
  <si>
    <t>一定の時間がかかる</t>
    <rPh sb="0" eb="2">
      <t>イッテイ</t>
    </rPh>
    <rPh sb="3" eb="5">
      <t>ジカン</t>
    </rPh>
    <phoneticPr fontId="1"/>
  </si>
  <si>
    <t>４か月</t>
    <rPh sb="2" eb="3">
      <t>ゲツ</t>
    </rPh>
    <phoneticPr fontId="1"/>
  </si>
  <si>
    <t>万ア両前解除</t>
    <rPh sb="0" eb="1">
      <t>マン</t>
    </rPh>
    <rPh sb="2" eb="4">
      <t>リョウマエ</t>
    </rPh>
    <rPh sb="4" eb="6">
      <t>カイジョ</t>
    </rPh>
    <phoneticPr fontId="1"/>
  </si>
  <si>
    <t>UIDを取得できる</t>
    <rPh sb="4" eb="6">
      <t>シュトク</t>
    </rPh>
    <phoneticPr fontId="1"/>
  </si>
  <si>
    <t>確実に削除できる</t>
    <rPh sb="0" eb="2">
      <t>カクジツ</t>
    </rPh>
    <rPh sb="3" eb="5">
      <t>サクジョ</t>
    </rPh>
    <phoneticPr fontId="1"/>
  </si>
  <si>
    <t>契約期間と、UIDの状態値が無効化されたものを検知する</t>
    <rPh sb="0" eb="4">
      <t>ケイヤクキカン</t>
    </rPh>
    <rPh sb="10" eb="13">
      <t>ジョウタイチ</t>
    </rPh>
    <rPh sb="14" eb="16">
      <t>ムコウ</t>
    </rPh>
    <rPh sb="16" eb="17">
      <t>バ</t>
    </rPh>
    <rPh sb="23" eb="25">
      <t>ケンチ</t>
    </rPh>
    <phoneticPr fontId="1"/>
  </si>
  <si>
    <t>3</t>
    <phoneticPr fontId="1"/>
  </si>
  <si>
    <t>他人のUIDでログイン試行を５回行った後、本人になりすましてアカウント再発行を行う</t>
    <rPh sb="0" eb="2">
      <t>タニン</t>
    </rPh>
    <rPh sb="11" eb="13">
      <t>シコウ</t>
    </rPh>
    <rPh sb="15" eb="16">
      <t>カイ</t>
    </rPh>
    <rPh sb="16" eb="17">
      <t>オコナ</t>
    </rPh>
    <rPh sb="19" eb="20">
      <t>アト</t>
    </rPh>
    <rPh sb="21" eb="23">
      <t>ホンニン</t>
    </rPh>
    <rPh sb="35" eb="38">
      <t>サイハッコウ</t>
    </rPh>
    <rPh sb="39" eb="40">
      <t>オコナ</t>
    </rPh>
    <phoneticPr fontId="1"/>
  </si>
  <si>
    <t>４</t>
    <phoneticPr fontId="1"/>
  </si>
  <si>
    <t>上司が申請する。</t>
    <rPh sb="0" eb="2">
      <t>ジョウシ</t>
    </rPh>
    <rPh sb="3" eb="5">
      <t>シンセイ</t>
    </rPh>
    <phoneticPr fontId="1"/>
  </si>
  <si>
    <t>Xソフトウェア</t>
    <phoneticPr fontId="1"/>
  </si>
  <si>
    <t>事業自社開発、ＯＳＳ</t>
    <rPh sb="0" eb="2">
      <t>ジギョウ</t>
    </rPh>
    <rPh sb="2" eb="6">
      <t>ジシャカイハツ</t>
    </rPh>
    <phoneticPr fontId="1"/>
  </si>
  <si>
    <t>HWとSW</t>
    <phoneticPr fontId="1"/>
  </si>
  <si>
    <t>情報セキュリティ委員会</t>
    <rPh sb="0" eb="2">
      <t>ジョウホウ</t>
    </rPh>
    <rPh sb="8" eb="11">
      <t>イインカイ</t>
    </rPh>
    <phoneticPr fontId="1"/>
  </si>
  <si>
    <t>ポリシの策定</t>
    <rPh sb="4" eb="6">
      <t>サクテイ</t>
    </rPh>
    <phoneticPr fontId="1"/>
  </si>
  <si>
    <t>情報市捨てうやネットワークを自社で企画</t>
    <rPh sb="0" eb="2">
      <t>ジョウホウ</t>
    </rPh>
    <rPh sb="2" eb="4">
      <t>シス</t>
    </rPh>
    <rPh sb="14" eb="16">
      <t>ジシャ</t>
    </rPh>
    <rPh sb="17" eb="19">
      <t>キカク</t>
    </rPh>
    <phoneticPr fontId="1"/>
  </si>
  <si>
    <t>セキュリティ確保</t>
    <rPh sb="6" eb="8">
      <t>カクホ</t>
    </rPh>
    <phoneticPr fontId="1"/>
  </si>
  <si>
    <t>LANで接続</t>
    <rPh sb="4" eb="6">
      <t>セツゾク</t>
    </rPh>
    <phoneticPr fontId="1"/>
  </si>
  <si>
    <t>グループウェア</t>
    <phoneticPr fontId="1"/>
  </si>
  <si>
    <t>業務システムと情報システム</t>
    <rPh sb="0" eb="2">
      <t>ギョウム</t>
    </rPh>
    <rPh sb="7" eb="9">
      <t>ジョウホウ</t>
    </rPh>
    <phoneticPr fontId="1"/>
  </si>
  <si>
    <t>開発システム</t>
    <rPh sb="0" eb="2">
      <t>カイハツ</t>
    </rPh>
    <phoneticPr fontId="1"/>
  </si>
  <si>
    <t>OSSのセキュリティパッチ取得</t>
    <rPh sb="13" eb="15">
      <t>シュトク</t>
    </rPh>
    <phoneticPr fontId="1"/>
  </si>
  <si>
    <t>NPC紛失</t>
    <rPh sb="3" eb="5">
      <t>フンシツ</t>
    </rPh>
    <phoneticPr fontId="1"/>
  </si>
  <si>
    <t>インシデントダメ</t>
    <phoneticPr fontId="1"/>
  </si>
  <si>
    <t>2010-春</t>
  </si>
  <si>
    <t>2010-春</t>
    <rPh sb="5" eb="6">
      <t>ハル</t>
    </rPh>
    <phoneticPr fontId="1"/>
  </si>
  <si>
    <t>PM2-2</t>
  </si>
  <si>
    <t>PM2-2</t>
    <phoneticPr fontId="1"/>
  </si>
  <si>
    <t>a:プライバシーマーク</t>
    <phoneticPr fontId="1"/>
  </si>
  <si>
    <t>b:JPCERT</t>
    <phoneticPr fontId="1"/>
  </si>
  <si>
    <t>JPCERT</t>
    <phoneticPr fontId="1"/>
  </si>
  <si>
    <t>IRT</t>
    <phoneticPr fontId="1"/>
  </si>
  <si>
    <t>原因究明を主体的かつ組織的に行うことが期待できるため。</t>
    <rPh sb="0" eb="2">
      <t>ゲンイン</t>
    </rPh>
    <rPh sb="2" eb="4">
      <t>キュウメイ</t>
    </rPh>
    <rPh sb="5" eb="8">
      <t>シュタイテキ</t>
    </rPh>
    <rPh sb="10" eb="13">
      <t>ソシキテキ</t>
    </rPh>
    <rPh sb="14" eb="15">
      <t>オコナ</t>
    </rPh>
    <rPh sb="19" eb="21">
      <t>キタイ</t>
    </rPh>
    <phoneticPr fontId="1"/>
  </si>
  <si>
    <t>インシデント対応</t>
    <rPh sb="6" eb="8">
      <t>タイオウ</t>
    </rPh>
    <phoneticPr fontId="1"/>
  </si>
  <si>
    <t>紛失、改ざん、漏洩</t>
    <rPh sb="0" eb="2">
      <t>フンシツ</t>
    </rPh>
    <rPh sb="3" eb="4">
      <t>カイ</t>
    </rPh>
    <rPh sb="7" eb="9">
      <t>ロウエイ</t>
    </rPh>
    <phoneticPr fontId="1"/>
  </si>
  <si>
    <t>改ざん、漏洩</t>
    <rPh sb="0" eb="1">
      <t>カイ</t>
    </rPh>
    <rPh sb="4" eb="6">
      <t>ロウエイ</t>
    </rPh>
    <phoneticPr fontId="1"/>
  </si>
  <si>
    <t>対応マニュアル</t>
    <rPh sb="0" eb="2">
      <t>タイオウ</t>
    </rPh>
    <phoneticPr fontId="1"/>
  </si>
  <si>
    <t>対応すべきインシデント</t>
    <rPh sb="0" eb="2">
      <t>タイオウ</t>
    </rPh>
    <phoneticPr fontId="1"/>
  </si>
  <si>
    <t>IRTで対応すべきインシデント</t>
    <rPh sb="4" eb="6">
      <t>タイオウ</t>
    </rPh>
    <phoneticPr fontId="1"/>
  </si>
  <si>
    <t>IRT組織</t>
    <rPh sb="3" eb="5">
      <t>ソシキ</t>
    </rPh>
    <phoneticPr fontId="1"/>
  </si>
  <si>
    <t>期間との連携</t>
    <rPh sb="0" eb="2">
      <t>キカン</t>
    </rPh>
    <rPh sb="4" eb="6">
      <t>レンケイ</t>
    </rPh>
    <phoneticPr fontId="1"/>
  </si>
  <si>
    <t>脆弱性情報やセキュリティパッチ</t>
    <rPh sb="0" eb="3">
      <t>ゼイジャクセイ</t>
    </rPh>
    <rPh sb="3" eb="5">
      <t>ジョウホウ</t>
    </rPh>
    <phoneticPr fontId="1"/>
  </si>
  <si>
    <t>従業員にインシデント対応</t>
    <rPh sb="0" eb="3">
      <t>ジュウギョウイン</t>
    </rPh>
    <rPh sb="10" eb="12">
      <t>タイオウ</t>
    </rPh>
    <phoneticPr fontId="1"/>
  </si>
  <si>
    <t>自社のソフトウェアが出荷された後に起こった異常、不具合。</t>
    <rPh sb="0" eb="2">
      <t>ジシャ</t>
    </rPh>
    <rPh sb="10" eb="12">
      <t>シュッカ</t>
    </rPh>
    <rPh sb="15" eb="16">
      <t>アト</t>
    </rPh>
    <rPh sb="17" eb="18">
      <t>オ</t>
    </rPh>
    <rPh sb="21" eb="23">
      <t>イジョウ</t>
    </rPh>
    <rPh sb="24" eb="27">
      <t>フグアイ</t>
    </rPh>
    <phoneticPr fontId="1"/>
  </si>
  <si>
    <t>ポリシ策定</t>
    <rPh sb="3" eb="5">
      <t>サクテイ</t>
    </rPh>
    <phoneticPr fontId="1"/>
  </si>
  <si>
    <t>セキュリティ対策</t>
    <rPh sb="6" eb="8">
      <t>タイサク</t>
    </rPh>
    <phoneticPr fontId="1"/>
  </si>
  <si>
    <t>構成管理</t>
    <rPh sb="0" eb="2">
      <t>コウセイ</t>
    </rPh>
    <rPh sb="2" eb="4">
      <t>カンリ</t>
    </rPh>
    <phoneticPr fontId="1"/>
  </si>
  <si>
    <t>ログ管理がダメ</t>
    <rPh sb="2" eb="4">
      <t>カンリ</t>
    </rPh>
    <phoneticPr fontId="1"/>
  </si>
  <si>
    <t>取得するべきログの内容、取得すべき機器。</t>
    <rPh sb="0" eb="2">
      <t>シュトク</t>
    </rPh>
    <rPh sb="9" eb="11">
      <t>ナイヨウ</t>
    </rPh>
    <rPh sb="12" eb="14">
      <t>シュトク</t>
    </rPh>
    <rPh sb="17" eb="19">
      <t>キキ</t>
    </rPh>
    <phoneticPr fontId="1"/>
  </si>
  <si>
    <t>インシデントの報告</t>
    <rPh sb="7" eb="9">
      <t>ホウコク</t>
    </rPh>
    <phoneticPr fontId="1"/>
  </si>
  <si>
    <t>外部に対して公開する情報の真正性を保証する</t>
    <rPh sb="0" eb="2">
      <t>ガイブ</t>
    </rPh>
    <rPh sb="3" eb="4">
      <t>タイ</t>
    </rPh>
    <rPh sb="6" eb="8">
      <t>コウカイ</t>
    </rPh>
    <rPh sb="10" eb="12">
      <t>ジョウホウ</t>
    </rPh>
    <rPh sb="13" eb="15">
      <t>シンセイ</t>
    </rPh>
    <rPh sb="15" eb="16">
      <t>セイ</t>
    </rPh>
    <rPh sb="17" eb="19">
      <t>ホショウ</t>
    </rPh>
    <phoneticPr fontId="1"/>
  </si>
  <si>
    <t>DMZにIPSを導入</t>
    <rPh sb="8" eb="10">
      <t>ドウニュウ</t>
    </rPh>
    <phoneticPr fontId="1"/>
  </si>
  <si>
    <t>ID</t>
    <phoneticPr fontId="1"/>
  </si>
  <si>
    <t>脅威</t>
    <rPh sb="0" eb="2">
      <t>キョウイ</t>
    </rPh>
    <phoneticPr fontId="1"/>
  </si>
  <si>
    <t>ログ</t>
    <phoneticPr fontId="1"/>
  </si>
  <si>
    <t>c:検出</t>
    <rPh sb="2" eb="4">
      <t>ケンシュツ</t>
    </rPh>
    <phoneticPr fontId="1"/>
  </si>
  <si>
    <t>d:OSコマンドを直接操作</t>
    <rPh sb="9" eb="11">
      <t>チョクセツ</t>
    </rPh>
    <rPh sb="11" eb="13">
      <t>ソウサ</t>
    </rPh>
    <phoneticPr fontId="1"/>
  </si>
  <si>
    <t>e:redirect</t>
    <phoneticPr fontId="1"/>
  </si>
  <si>
    <t>WEBサーバーがメールの不正な中継に利用される可能性。</t>
    <rPh sb="12" eb="14">
      <t>フセイ</t>
    </rPh>
    <rPh sb="15" eb="17">
      <t>チュウケイ</t>
    </rPh>
    <rPh sb="18" eb="20">
      <t>リヨウ</t>
    </rPh>
    <rPh sb="23" eb="26">
      <t>カノウセイ</t>
    </rPh>
    <phoneticPr fontId="1"/>
  </si>
  <si>
    <t>警告メールが多すぎて、本当に危険な内容の見分けがつかなくなる。</t>
    <rPh sb="0" eb="2">
      <t>ケイコク</t>
    </rPh>
    <rPh sb="6" eb="7">
      <t>オオ</t>
    </rPh>
    <rPh sb="11" eb="13">
      <t>ホントウ</t>
    </rPh>
    <rPh sb="14" eb="16">
      <t>キケン</t>
    </rPh>
    <rPh sb="17" eb="19">
      <t>ナイヨウ</t>
    </rPh>
    <rPh sb="20" eb="22">
      <t>ミワ</t>
    </rPh>
    <phoneticPr fontId="1"/>
  </si>
  <si>
    <t>通信を許可しても、システム側に対策が取られている。</t>
    <rPh sb="0" eb="2">
      <t>ツウシン</t>
    </rPh>
    <rPh sb="3" eb="5">
      <t>キョカ</t>
    </rPh>
    <rPh sb="13" eb="14">
      <t>ガワ</t>
    </rPh>
    <rPh sb="15" eb="17">
      <t>タイサク</t>
    </rPh>
    <rPh sb="18" eb="19">
      <t>ト</t>
    </rPh>
    <phoneticPr fontId="1"/>
  </si>
  <si>
    <t>シャットダウン</t>
    <phoneticPr fontId="1"/>
  </si>
  <si>
    <t>HDD複製</t>
    <rPh sb="3" eb="5">
      <t>フクセイ</t>
    </rPh>
    <phoneticPr fontId="1"/>
  </si>
  <si>
    <t>外部からWEBサーバーを操作される可能性があるため</t>
    <rPh sb="0" eb="2">
      <t>ガイブ</t>
    </rPh>
    <rPh sb="12" eb="14">
      <t>ソウサ</t>
    </rPh>
    <rPh sb="17" eb="20">
      <t>カノウセイ</t>
    </rPh>
    <phoneticPr fontId="1"/>
  </si>
  <si>
    <t>解析されていることを検出すると、内容を変更するマルウェアの可能性があるため</t>
    <rPh sb="0" eb="2">
      <t>カイセキ</t>
    </rPh>
    <rPh sb="10" eb="12">
      <t>ケンシュツ</t>
    </rPh>
    <rPh sb="16" eb="18">
      <t>ナイヨウ</t>
    </rPh>
    <rPh sb="19" eb="21">
      <t>ヘンコウ</t>
    </rPh>
    <rPh sb="29" eb="32">
      <t>カノウセイ</t>
    </rPh>
    <phoneticPr fontId="1"/>
  </si>
  <si>
    <t>ボットに感染</t>
    <rPh sb="4" eb="6">
      <t>カンセン</t>
    </rPh>
    <phoneticPr fontId="1"/>
  </si>
  <si>
    <t>Inewttと通信</t>
    <rPh sb="7" eb="9">
      <t>ツウシン</t>
    </rPh>
    <phoneticPr fontId="1"/>
  </si>
  <si>
    <t>教育を図る</t>
    <rPh sb="0" eb="2">
      <t>キョウイク</t>
    </rPh>
    <rPh sb="3" eb="4">
      <t>ハカ</t>
    </rPh>
    <phoneticPr fontId="1"/>
  </si>
  <si>
    <t>IRTは改善計画に沿ってマニュアル作成</t>
    <rPh sb="4" eb="6">
      <t>カイゼン</t>
    </rPh>
    <rPh sb="6" eb="8">
      <t>ケイカク</t>
    </rPh>
    <rPh sb="9" eb="10">
      <t>ソ</t>
    </rPh>
    <rPh sb="17" eb="19">
      <t>サクセイ</t>
    </rPh>
    <phoneticPr fontId="1"/>
  </si>
  <si>
    <t>5</t>
    <phoneticPr fontId="1"/>
  </si>
  <si>
    <t>・開発系システムの構成情報が最新に保たれていなかった</t>
    <rPh sb="1" eb="4">
      <t>カイハツケイ</t>
    </rPh>
    <rPh sb="9" eb="13">
      <t>コウセイジョウホウ</t>
    </rPh>
    <rPh sb="14" eb="16">
      <t>サイシン</t>
    </rPh>
    <rPh sb="17" eb="18">
      <t>タモ</t>
    </rPh>
    <phoneticPr fontId="1"/>
  </si>
  <si>
    <t>作成したシステムの構成情報を最新に保ち、セキュリティパッチの適用を継続的に実施する。</t>
    <rPh sb="0" eb="2">
      <t>サクセイ</t>
    </rPh>
    <rPh sb="9" eb="11">
      <t>コウセイ</t>
    </rPh>
    <rPh sb="11" eb="13">
      <t>ジョウホウ</t>
    </rPh>
    <rPh sb="14" eb="16">
      <t>サイシン</t>
    </rPh>
    <rPh sb="17" eb="18">
      <t>タモ</t>
    </rPh>
    <rPh sb="30" eb="32">
      <t>テキヨウ</t>
    </rPh>
    <rPh sb="33" eb="36">
      <t>ケイゾクテキ</t>
    </rPh>
    <rPh sb="37" eb="39">
      <t>ジッシ</t>
    </rPh>
    <phoneticPr fontId="1"/>
  </si>
  <si>
    <t>・サーバーの電源が発覚直後にシャットダウンされた。</t>
    <rPh sb="6" eb="8">
      <t>デンゲン</t>
    </rPh>
    <rPh sb="9" eb="13">
      <t>ハッカクチョクゴ</t>
    </rPh>
    <phoneticPr fontId="1"/>
  </si>
  <si>
    <t>インシデントが発生した場合の、メモリ情報取得などの事後対応を実施する。</t>
    <rPh sb="7" eb="9">
      <t>ハッセイ</t>
    </rPh>
    <rPh sb="11" eb="13">
      <t>バアイ</t>
    </rPh>
    <rPh sb="18" eb="20">
      <t>ジョウホウ</t>
    </rPh>
    <rPh sb="20" eb="22">
      <t>シュトク</t>
    </rPh>
    <rPh sb="25" eb="29">
      <t>ジゴタイオウ</t>
    </rPh>
    <rPh sb="30" eb="32">
      <t>ジッシ</t>
    </rPh>
    <phoneticPr fontId="1"/>
  </si>
  <si>
    <t>PM1</t>
  </si>
  <si>
    <t>データ暗号化とBK</t>
    <rPh sb="3" eb="6">
      <t>アンゴウカ</t>
    </rPh>
    <phoneticPr fontId="1"/>
  </si>
  <si>
    <t>医薬品</t>
    <rPh sb="0" eb="3">
      <t>イヤクヒン</t>
    </rPh>
    <phoneticPr fontId="1"/>
  </si>
  <si>
    <t>データ消失</t>
    <rPh sb="3" eb="5">
      <t>ショウシツ</t>
    </rPh>
    <phoneticPr fontId="1"/>
  </si>
  <si>
    <t>機密漏洩</t>
    <rPh sb="0" eb="2">
      <t>キミツ</t>
    </rPh>
    <rPh sb="2" eb="4">
      <t>ロウエイ</t>
    </rPh>
    <phoneticPr fontId="1"/>
  </si>
  <si>
    <t>情報システム</t>
    <rPh sb="0" eb="2">
      <t>ジョウホウ</t>
    </rPh>
    <phoneticPr fontId="1"/>
  </si>
  <si>
    <t>大将となるデータ</t>
    <rPh sb="0" eb="2">
      <t>タイショウ</t>
    </rPh>
    <phoneticPr fontId="1"/>
  </si>
  <si>
    <t>顧客データ</t>
    <rPh sb="0" eb="2">
      <t>コキャク</t>
    </rPh>
    <phoneticPr fontId="1"/>
  </si>
  <si>
    <t>注文データ</t>
    <rPh sb="0" eb="2">
      <t>チュウモン</t>
    </rPh>
    <phoneticPr fontId="1"/>
  </si>
  <si>
    <t>原価データ</t>
    <rPh sb="0" eb="2">
      <t>ゲンカ</t>
    </rPh>
    <phoneticPr fontId="1"/>
  </si>
  <si>
    <t>Eメール</t>
    <phoneticPr fontId="1"/>
  </si>
  <si>
    <t>a:ア</t>
    <phoneticPr fontId="1"/>
  </si>
  <si>
    <t>b:オ</t>
    <phoneticPr fontId="1"/>
  </si>
  <si>
    <t>c:カ</t>
    <phoneticPr fontId="1"/>
  </si>
  <si>
    <t>ウ、ア</t>
    <phoneticPr fontId="1"/>
  </si>
  <si>
    <t>2Wいないに復旧</t>
    <rPh sb="6" eb="8">
      <t>フッキュウ</t>
    </rPh>
    <phoneticPr fontId="1"/>
  </si>
  <si>
    <t>BK完了</t>
    <rPh sb="2" eb="4">
      <t>カンリョウ</t>
    </rPh>
    <phoneticPr fontId="1"/>
  </si>
  <si>
    <t>テープを未使用</t>
    <rPh sb="4" eb="7">
      <t>ミシヨウ</t>
    </rPh>
    <phoneticPr fontId="1"/>
  </si>
  <si>
    <t>BK</t>
    <phoneticPr fontId="1"/>
  </si>
  <si>
    <t>バックアップを本社を郵送する際にテープが盗難にあう。</t>
    <rPh sb="7" eb="9">
      <t>ホンシャ</t>
    </rPh>
    <rPh sb="10" eb="12">
      <t>ユウソウ</t>
    </rPh>
    <rPh sb="14" eb="15">
      <t>サイ</t>
    </rPh>
    <rPh sb="20" eb="22">
      <t>トウナン</t>
    </rPh>
    <phoneticPr fontId="1"/>
  </si>
  <si>
    <t>漏洩リスクが高くなる可能性</t>
    <rPh sb="0" eb="2">
      <t>ロウエイ</t>
    </rPh>
    <rPh sb="6" eb="7">
      <t>タカ</t>
    </rPh>
    <rPh sb="10" eb="13">
      <t>カノウセイ</t>
    </rPh>
    <phoneticPr fontId="1"/>
  </si>
  <si>
    <t>サーバーを本社に導入して本社内でバックアップを取得するようにする</t>
    <rPh sb="5" eb="7">
      <t>ホンシャ</t>
    </rPh>
    <rPh sb="8" eb="10">
      <t>ドウニュウ</t>
    </rPh>
    <rPh sb="12" eb="14">
      <t>ホンシャ</t>
    </rPh>
    <rPh sb="14" eb="15">
      <t>ナイ</t>
    </rPh>
    <rPh sb="23" eb="25">
      <t>シュトク</t>
    </rPh>
    <phoneticPr fontId="1"/>
  </si>
  <si>
    <t>バックアップ方式→で＾－多確認</t>
    <rPh sb="6" eb="8">
      <t>ホウシキ</t>
    </rPh>
    <rPh sb="12" eb="13">
      <t>タ</t>
    </rPh>
    <rPh sb="13" eb="15">
      <t>カクニン</t>
    </rPh>
    <phoneticPr fontId="1"/>
  </si>
  <si>
    <t>パイロット運用</t>
    <rPh sb="5" eb="7">
      <t>ウンヨウ</t>
    </rPh>
    <phoneticPr fontId="1"/>
  </si>
  <si>
    <t>a,c</t>
    <phoneticPr fontId="1"/>
  </si>
  <si>
    <t>メールを復号するための秘密鍵がなくなってしまっているため。</t>
    <rPh sb="4" eb="6">
      <t>フクゴウ</t>
    </rPh>
    <rPh sb="11" eb="14">
      <t>ヒミツカギ</t>
    </rPh>
    <phoneticPr fontId="1"/>
  </si>
  <si>
    <t>メールサーバーでメール保護する場合、メールは復号化して保存する。</t>
    <rPh sb="11" eb="13">
      <t>ホゴ</t>
    </rPh>
    <rPh sb="15" eb="17">
      <t>バアイ</t>
    </rPh>
    <rPh sb="22" eb="25">
      <t>フクゴウカ</t>
    </rPh>
    <rPh sb="27" eb="29">
      <t>ホゾン</t>
    </rPh>
    <phoneticPr fontId="1"/>
  </si>
  <si>
    <t>PM1-4</t>
  </si>
  <si>
    <t>PM1-4</t>
    <phoneticPr fontId="1"/>
  </si>
  <si>
    <t>K</t>
    <phoneticPr fontId="1"/>
  </si>
  <si>
    <t>DMZ</t>
    <phoneticPr fontId="1"/>
  </si>
  <si>
    <t>内部ネットワーク</t>
    <rPh sb="0" eb="2">
      <t>ナイブ</t>
    </rPh>
    <phoneticPr fontId="1"/>
  </si>
  <si>
    <t>社内ネット</t>
    <rPh sb="0" eb="2">
      <t>シャナイ</t>
    </rPh>
    <phoneticPr fontId="1"/>
  </si>
  <si>
    <t>動作が思い</t>
    <rPh sb="0" eb="2">
      <t>ドウサ</t>
    </rPh>
    <rPh sb="3" eb="4">
      <t>オモ</t>
    </rPh>
    <phoneticPr fontId="1"/>
  </si>
  <si>
    <t>NWから切断</t>
    <rPh sb="4" eb="6">
      <t>セツダン</t>
    </rPh>
    <phoneticPr fontId="1"/>
  </si>
  <si>
    <t>最新のウイルス</t>
    <rPh sb="0" eb="2">
      <t>サイシン</t>
    </rPh>
    <phoneticPr fontId="1"/>
  </si>
  <si>
    <t>検査→駆除</t>
    <rPh sb="0" eb="3">
      <t>ケンサミギ</t>
    </rPh>
    <rPh sb="3" eb="5">
      <t>クジョ</t>
    </rPh>
    <phoneticPr fontId="1"/>
  </si>
  <si>
    <t>IP</t>
    <phoneticPr fontId="1"/>
  </si>
  <si>
    <t>脆弱性</t>
    <rPh sb="0" eb="3">
      <t>ゼイジャクセイ</t>
    </rPh>
    <phoneticPr fontId="1"/>
  </si>
  <si>
    <t>動的リンクライブラリ</t>
    <rPh sb="0" eb="2">
      <t>ドウテキ</t>
    </rPh>
    <phoneticPr fontId="1"/>
  </si>
  <si>
    <t>OSの一部</t>
    <rPh sb="3" eb="5">
      <t>イチブ</t>
    </rPh>
    <phoneticPr fontId="1"/>
  </si>
  <si>
    <t>１</t>
    <phoneticPr fontId="1"/>
  </si>
  <si>
    <t>感染PC内部の機密情報が攻撃者のサーバーにアップロードされる</t>
    <rPh sb="0" eb="2">
      <t>カンセン</t>
    </rPh>
    <rPh sb="4" eb="6">
      <t>ナイブ</t>
    </rPh>
    <rPh sb="7" eb="11">
      <t>キミツジョウホウ</t>
    </rPh>
    <rPh sb="12" eb="15">
      <t>コウゲキシャ</t>
    </rPh>
    <phoneticPr fontId="1"/>
  </si>
  <si>
    <t>a:ARP</t>
    <phoneticPr fontId="1"/>
  </si>
  <si>
    <t>b:IPアドレス</t>
    <phoneticPr fontId="1"/>
  </si>
  <si>
    <t>c:管理者権限</t>
    <rPh sb="2" eb="7">
      <t>カンリシャケンゲン</t>
    </rPh>
    <phoneticPr fontId="1"/>
  </si>
  <si>
    <t>d:プロキシ</t>
    <phoneticPr fontId="1"/>
  </si>
  <si>
    <t>e:インターネット上の特定のサーバー</t>
    <rPh sb="9" eb="10">
      <t>ジョウ</t>
    </rPh>
    <rPh sb="11" eb="13">
      <t>トクテイ</t>
    </rPh>
    <phoneticPr fontId="1"/>
  </si>
  <si>
    <t>Xウィルス</t>
    <phoneticPr fontId="1"/>
  </si>
  <si>
    <t>バックドアを経由して再度リモートで制御される</t>
    <rPh sb="6" eb="8">
      <t>ケイユ</t>
    </rPh>
    <rPh sb="10" eb="12">
      <t>サイド</t>
    </rPh>
    <rPh sb="17" eb="19">
      <t>セイギョ</t>
    </rPh>
    <phoneticPr fontId="1"/>
  </si>
  <si>
    <t>当該PCとL2SWの間にファイアウォールを設置して、通信をパッチ配信サーバーに制限する。</t>
    <rPh sb="0" eb="2">
      <t>トウガイ</t>
    </rPh>
    <rPh sb="10" eb="11">
      <t>アイダ</t>
    </rPh>
    <rPh sb="21" eb="23">
      <t>セッチ</t>
    </rPh>
    <rPh sb="26" eb="28">
      <t>ツウシン</t>
    </rPh>
    <rPh sb="32" eb="34">
      <t>ハイシン</t>
    </rPh>
    <rPh sb="39" eb="41">
      <t>セイゲン</t>
    </rPh>
    <phoneticPr fontId="1"/>
  </si>
  <si>
    <t>管理者IDのパスワードを推測しにくいものに変更する</t>
    <rPh sb="0" eb="3">
      <t>カンリシャ</t>
    </rPh>
    <rPh sb="12" eb="14">
      <t>スイソク</t>
    </rPh>
    <rPh sb="21" eb="23">
      <t>ヘンコウ</t>
    </rPh>
    <phoneticPr fontId="1"/>
  </si>
  <si>
    <t>バックアップ方式美々津保持</t>
    <rPh sb="6" eb="8">
      <t>ホウシキ</t>
    </rPh>
    <rPh sb="8" eb="13">
      <t>ミミツホジ</t>
    </rPh>
    <phoneticPr fontId="1"/>
  </si>
  <si>
    <t>カタログ保護</t>
    <rPh sb="4" eb="6">
      <t>ホゴ</t>
    </rPh>
    <phoneticPr fontId="1"/>
  </si>
  <si>
    <t>ウ、エ</t>
    <phoneticPr fontId="1"/>
  </si>
  <si>
    <t>PCだけが被害→データ消失</t>
    <rPh sb="5" eb="7">
      <t>ヒガイ</t>
    </rPh>
    <rPh sb="11" eb="13">
      <t>ショウシツ</t>
    </rPh>
    <phoneticPr fontId="1"/>
  </si>
  <si>
    <t>営業所が被害</t>
    <rPh sb="0" eb="3">
      <t>エイギョウショ</t>
    </rPh>
    <rPh sb="4" eb="6">
      <t>ヒガイ</t>
    </rPh>
    <phoneticPr fontId="1"/>
  </si>
  <si>
    <t>暗号化してバックアップ</t>
    <rPh sb="0" eb="3">
      <t>アンゴウカ</t>
    </rPh>
    <phoneticPr fontId="1"/>
  </si>
  <si>
    <t>送付するテープの内容を暗号化して本社に送付する。</t>
    <rPh sb="0" eb="2">
      <t>ソウフ</t>
    </rPh>
    <rPh sb="8" eb="10">
      <t>ナイヨウ</t>
    </rPh>
    <rPh sb="11" eb="14">
      <t>アンゴウカ</t>
    </rPh>
    <rPh sb="16" eb="18">
      <t>ホンシャ</t>
    </rPh>
    <rPh sb="19" eb="21">
      <t>ソウフ</t>
    </rPh>
    <phoneticPr fontId="1"/>
  </si>
  <si>
    <t>復号できなかったデータ</t>
    <rPh sb="0" eb="2">
      <t>フクゴウ</t>
    </rPh>
    <phoneticPr fontId="1"/>
  </si>
  <si>
    <t>a,b</t>
    <phoneticPr fontId="1"/>
  </si>
  <si>
    <t>b</t>
    <phoneticPr fontId="1"/>
  </si>
  <si>
    <t>TPMに保管されていたメールボックス内の暗号化ファイルを復号するための秘密鍵が使えなくなったため</t>
    <rPh sb="4" eb="6">
      <t>ホカン</t>
    </rPh>
    <rPh sb="18" eb="19">
      <t>ナイ</t>
    </rPh>
    <rPh sb="20" eb="23">
      <t>アンゴウカ</t>
    </rPh>
    <rPh sb="28" eb="30">
      <t>フクゴウ</t>
    </rPh>
    <rPh sb="35" eb="37">
      <t>ヒミツ</t>
    </rPh>
    <rPh sb="37" eb="38">
      <t>カギ</t>
    </rPh>
    <rPh sb="39" eb="40">
      <t>ツカ</t>
    </rPh>
    <phoneticPr fontId="1"/>
  </si>
  <si>
    <t>PCの外部で生成した秘密鍵をTPMに保管して暗号化を行う。秘密鍵は別途厳重に保管する</t>
    <rPh sb="3" eb="5">
      <t>ガイブ</t>
    </rPh>
    <rPh sb="6" eb="8">
      <t>セイセイ</t>
    </rPh>
    <rPh sb="10" eb="13">
      <t>ヒミツカギ</t>
    </rPh>
    <rPh sb="18" eb="20">
      <t>ホカン</t>
    </rPh>
    <rPh sb="22" eb="25">
      <t>アンゴウカ</t>
    </rPh>
    <rPh sb="26" eb="27">
      <t>オコナ</t>
    </rPh>
    <rPh sb="29" eb="32">
      <t>ヒミツカギ</t>
    </rPh>
    <rPh sb="33" eb="35">
      <t>ベット</t>
    </rPh>
    <rPh sb="35" eb="37">
      <t>ゲンジュウ</t>
    </rPh>
    <rPh sb="38" eb="40">
      <t>ホカン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</si>
</sst>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2" borderId="0" xfId="0" applyNumberFormat="1" applyFill="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8"/>
  <sheetViews>
    <sheetView workbookViewId="0">
      <selection activeCell="F6" sqref="F6"/>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58</v>
      </c>
      <c r="E2">
        <v>100</v>
      </c>
    </row>
    <row r="3" spans="1:6">
      <c r="A3">
        <v>2</v>
      </c>
      <c r="B3" s="2" t="s">
        <v>12</v>
      </c>
      <c r="C3" s="2" t="s">
        <v>31</v>
      </c>
      <c r="D3">
        <v>32</v>
      </c>
      <c r="E3">
        <v>50</v>
      </c>
    </row>
    <row r="4" spans="1:6">
      <c r="A4">
        <v>3</v>
      </c>
      <c r="B4" s="2" t="s">
        <v>12</v>
      </c>
      <c r="C4" s="2" t="s">
        <v>92</v>
      </c>
      <c r="D4">
        <v>29</v>
      </c>
      <c r="E4">
        <v>50</v>
      </c>
    </row>
    <row r="5" spans="1:6">
      <c r="A5">
        <v>4</v>
      </c>
      <c r="B5" s="2" t="s">
        <v>12</v>
      </c>
      <c r="C5" s="2" t="s">
        <v>37</v>
      </c>
      <c r="D5">
        <v>32</v>
      </c>
      <c r="E5">
        <v>50</v>
      </c>
    </row>
    <row r="6" spans="1:6">
      <c r="A6">
        <v>5</v>
      </c>
      <c r="B6" s="2" t="s">
        <v>146</v>
      </c>
      <c r="C6" s="2" t="s">
        <v>148</v>
      </c>
      <c r="D6">
        <v>62</v>
      </c>
      <c r="E6">
        <v>100</v>
      </c>
    </row>
    <row r="7" spans="1:6">
      <c r="A7">
        <v>6</v>
      </c>
      <c r="B7" s="2" t="s">
        <v>146</v>
      </c>
      <c r="C7" s="2" t="s">
        <v>196</v>
      </c>
      <c r="D7">
        <v>31</v>
      </c>
      <c r="E7">
        <v>50</v>
      </c>
    </row>
    <row r="8" spans="1:6">
      <c r="A8">
        <v>7</v>
      </c>
      <c r="B8" s="2" t="s">
        <v>146</v>
      </c>
      <c r="C8" s="2" t="s">
        <v>223</v>
      </c>
      <c r="D8">
        <v>26</v>
      </c>
      <c r="E8">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F7F68-3ED8-47CB-8C68-FA1465CB84FE}">
  <sheetPr codeName="Sheet4"/>
  <dimension ref="A1:H167"/>
  <sheetViews>
    <sheetView zoomScale="70" zoomScaleNormal="70"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96.875" style="1" customWidth="1"/>
    <col min="3" max="3" width="9.75" customWidth="1"/>
  </cols>
  <sheetData>
    <row r="1" spans="1:8">
      <c r="A1" s="2" t="s">
        <v>0</v>
      </c>
      <c r="B1" s="1" t="s">
        <v>13</v>
      </c>
    </row>
    <row r="2" spans="1:8">
      <c r="A2" s="2" t="s">
        <v>2</v>
      </c>
      <c r="B2" s="3" t="s">
        <v>15</v>
      </c>
      <c r="D2">
        <f>SUM(D4:D1000)</f>
        <v>58</v>
      </c>
      <c r="E2">
        <f>SUM(E4:E1000)</f>
        <v>100</v>
      </c>
    </row>
    <row r="3" spans="1:8">
      <c r="A3" s="2" t="s">
        <v>1</v>
      </c>
      <c r="B3" s="1" t="s">
        <v>3</v>
      </c>
      <c r="C3" t="s">
        <v>6</v>
      </c>
      <c r="D3" t="s">
        <v>4</v>
      </c>
      <c r="E3" t="s">
        <v>5</v>
      </c>
    </row>
    <row r="4" spans="1:8">
      <c r="A4" s="2" t="s">
        <v>16</v>
      </c>
      <c r="B4" s="1" t="s">
        <v>41</v>
      </c>
      <c r="C4">
        <f>IF(B4&lt;&gt;"",LEN(B4),"")</f>
        <v>2</v>
      </c>
      <c r="D4">
        <v>0</v>
      </c>
      <c r="E4">
        <v>5</v>
      </c>
      <c r="F4" t="s">
        <v>43</v>
      </c>
    </row>
    <row r="5" spans="1:8">
      <c r="B5" s="1" t="s">
        <v>42</v>
      </c>
      <c r="C5">
        <f t="shared" ref="C5:C68" si="0">IF(B5&lt;&gt;"",LEN(B5),"")</f>
        <v>2</v>
      </c>
      <c r="D5">
        <v>5</v>
      </c>
      <c r="E5">
        <v>5</v>
      </c>
      <c r="H5" t="s">
        <v>38</v>
      </c>
    </row>
    <row r="6" spans="1:8">
      <c r="A6" s="2" t="s">
        <v>17</v>
      </c>
      <c r="B6" s="1" t="s">
        <v>44</v>
      </c>
      <c r="C6">
        <f t="shared" si="0"/>
        <v>28</v>
      </c>
      <c r="D6">
        <v>8</v>
      </c>
      <c r="E6">
        <v>8</v>
      </c>
      <c r="H6" t="s">
        <v>39</v>
      </c>
    </row>
    <row r="7" spans="1:8">
      <c r="A7" s="2" t="s">
        <v>18</v>
      </c>
      <c r="B7" s="1" t="s">
        <v>45</v>
      </c>
      <c r="C7">
        <f t="shared" si="0"/>
        <v>25</v>
      </c>
      <c r="D7">
        <v>0</v>
      </c>
      <c r="E7">
        <v>8</v>
      </c>
      <c r="F7" t="s">
        <v>43</v>
      </c>
      <c r="H7" t="s">
        <v>40</v>
      </c>
    </row>
    <row r="8" spans="1:8">
      <c r="A8" s="2" t="s">
        <v>19</v>
      </c>
      <c r="B8" s="1" t="s">
        <v>46</v>
      </c>
      <c r="C8">
        <f t="shared" si="0"/>
        <v>40</v>
      </c>
      <c r="D8">
        <v>0</v>
      </c>
      <c r="E8">
        <v>9</v>
      </c>
      <c r="F8" t="s">
        <v>43</v>
      </c>
    </row>
    <row r="9" spans="1:8">
      <c r="A9" s="2" t="s">
        <v>20</v>
      </c>
      <c r="C9" t="str">
        <f t="shared" si="0"/>
        <v/>
      </c>
      <c r="D9">
        <v>10</v>
      </c>
      <c r="E9">
        <v>10</v>
      </c>
      <c r="H9" t="s">
        <v>48</v>
      </c>
    </row>
    <row r="10" spans="1:8">
      <c r="A10" s="2" t="s">
        <v>21</v>
      </c>
      <c r="C10" t="str">
        <f t="shared" si="0"/>
        <v/>
      </c>
      <c r="D10">
        <v>10</v>
      </c>
      <c r="E10">
        <v>10</v>
      </c>
      <c r="H10" t="s">
        <v>49</v>
      </c>
    </row>
    <row r="11" spans="1:8">
      <c r="A11" s="2" t="s">
        <v>22</v>
      </c>
      <c r="B11" s="1" t="s">
        <v>47</v>
      </c>
      <c r="C11">
        <f t="shared" si="0"/>
        <v>37</v>
      </c>
      <c r="D11">
        <v>0</v>
      </c>
      <c r="E11">
        <v>10</v>
      </c>
      <c r="F11" t="s">
        <v>43</v>
      </c>
      <c r="H11" t="s">
        <v>50</v>
      </c>
    </row>
    <row r="12" spans="1:8">
      <c r="A12" s="2" t="s">
        <v>23</v>
      </c>
      <c r="C12" t="str">
        <f t="shared" si="0"/>
        <v/>
      </c>
      <c r="D12">
        <v>10</v>
      </c>
      <c r="E12">
        <v>10</v>
      </c>
    </row>
    <row r="13" spans="1:8">
      <c r="A13" s="2" t="s">
        <v>25</v>
      </c>
      <c r="C13" t="s">
        <v>51</v>
      </c>
      <c r="D13">
        <v>0</v>
      </c>
      <c r="E13">
        <v>5</v>
      </c>
      <c r="F13" t="s">
        <v>43</v>
      </c>
    </row>
    <row r="14" spans="1:8">
      <c r="A14" s="2" t="s">
        <v>24</v>
      </c>
      <c r="C14" t="str">
        <f t="shared" si="0"/>
        <v/>
      </c>
      <c r="D14">
        <v>10</v>
      </c>
      <c r="E14">
        <v>10</v>
      </c>
    </row>
    <row r="15" spans="1:8">
      <c r="A15" s="2" t="s">
        <v>26</v>
      </c>
      <c r="B15" s="1" t="s">
        <v>52</v>
      </c>
      <c r="C15">
        <f t="shared" si="0"/>
        <v>30</v>
      </c>
      <c r="D15">
        <v>5</v>
      </c>
      <c r="E15">
        <v>10</v>
      </c>
      <c r="F15" t="s">
        <v>43</v>
      </c>
    </row>
    <row r="16" spans="1:8">
      <c r="C16" t="str">
        <f t="shared" si="0"/>
        <v/>
      </c>
    </row>
    <row r="17" spans="2:3">
      <c r="B17" s="1" t="s">
        <v>27</v>
      </c>
      <c r="C17">
        <f t="shared" si="0"/>
        <v>5</v>
      </c>
    </row>
    <row r="18" spans="2:3">
      <c r="C18" t="str">
        <f t="shared" si="0"/>
        <v/>
      </c>
    </row>
    <row r="19" spans="2:3">
      <c r="C19" t="str">
        <f t="shared" si="0"/>
        <v/>
      </c>
    </row>
    <row r="20" spans="2:3">
      <c r="C20" t="str">
        <f t="shared" si="0"/>
        <v/>
      </c>
    </row>
    <row r="21" spans="2:3">
      <c r="C21" t="str">
        <f t="shared" si="0"/>
        <v/>
      </c>
    </row>
    <row r="22" spans="2:3">
      <c r="C22" t="str">
        <f t="shared" si="0"/>
        <v/>
      </c>
    </row>
    <row r="23" spans="2:3">
      <c r="C23" t="str">
        <f t="shared" si="0"/>
        <v/>
      </c>
    </row>
    <row r="24" spans="2:3">
      <c r="C24" t="str">
        <f t="shared" si="0"/>
        <v/>
      </c>
    </row>
    <row r="25" spans="2:3">
      <c r="C25" t="str">
        <f t="shared" si="0"/>
        <v/>
      </c>
    </row>
    <row r="26" spans="2:3">
      <c r="C26" t="str">
        <f t="shared" si="0"/>
        <v/>
      </c>
    </row>
    <row r="27" spans="2:3">
      <c r="C27" t="str">
        <f t="shared" si="0"/>
        <v/>
      </c>
    </row>
    <row r="28" spans="2:3">
      <c r="C28" t="str">
        <f t="shared" si="0"/>
        <v/>
      </c>
    </row>
    <row r="29" spans="2:3">
      <c r="C29" t="str">
        <f t="shared" si="0"/>
        <v/>
      </c>
    </row>
    <row r="30" spans="2:3">
      <c r="C30" t="str">
        <f t="shared" si="0"/>
        <v/>
      </c>
    </row>
    <row r="31" spans="2:3">
      <c r="C31" t="str">
        <f t="shared" si="0"/>
        <v/>
      </c>
    </row>
    <row r="32" spans="2: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D8F86-7F10-4FB6-B1D9-0EFCDC43E34F}">
  <sheetPr codeName="Sheet5"/>
  <dimension ref="A1:M167"/>
  <sheetViews>
    <sheetView zoomScale="85" zoomScaleNormal="85" workbookViewId="0">
      <pane xSplit="1" ySplit="3" topLeftCell="D4" activePane="bottomRight" state="frozen"/>
      <selection pane="topRight" activeCell="B1" sqref="B1"/>
      <selection pane="bottomLeft" activeCell="A4" sqref="A4"/>
      <selection pane="bottomRight" activeCell="M12" sqref="M12"/>
    </sheetView>
  </sheetViews>
  <sheetFormatPr defaultRowHeight="18.75"/>
  <cols>
    <col min="1" max="1" width="9" style="2"/>
    <col min="2" max="2" width="96.875" style="1" customWidth="1"/>
    <col min="3" max="3" width="9.75" customWidth="1"/>
  </cols>
  <sheetData>
    <row r="1" spans="1:13">
      <c r="A1" s="2" t="s">
        <v>0</v>
      </c>
      <c r="B1" s="1" t="s">
        <v>13</v>
      </c>
    </row>
    <row r="2" spans="1:13">
      <c r="A2" s="2" t="s">
        <v>2</v>
      </c>
      <c r="B2" s="3" t="s">
        <v>28</v>
      </c>
      <c r="D2">
        <f>SUM(D4:D1000)</f>
        <v>32</v>
      </c>
      <c r="E2">
        <f>SUM(E4:E1000)</f>
        <v>50</v>
      </c>
    </row>
    <row r="3" spans="1:13">
      <c r="A3" s="2" t="s">
        <v>1</v>
      </c>
      <c r="B3" s="1" t="s">
        <v>3</v>
      </c>
      <c r="C3" t="s">
        <v>6</v>
      </c>
      <c r="D3" t="s">
        <v>4</v>
      </c>
      <c r="E3" t="s">
        <v>5</v>
      </c>
    </row>
    <row r="4" spans="1:13">
      <c r="A4" s="2" t="s">
        <v>16</v>
      </c>
      <c r="B4" s="1" t="s">
        <v>62</v>
      </c>
      <c r="C4">
        <f>IF(B4&lt;&gt;"",LEN(B4),"")</f>
        <v>6</v>
      </c>
      <c r="D4">
        <v>4</v>
      </c>
      <c r="E4">
        <v>4</v>
      </c>
    </row>
    <row r="5" spans="1:13">
      <c r="B5" s="1" t="s">
        <v>63</v>
      </c>
      <c r="C5">
        <f t="shared" ref="C5:C68" si="0">IF(B5&lt;&gt;"",LEN(B5),"")</f>
        <v>9</v>
      </c>
      <c r="D5">
        <v>0</v>
      </c>
      <c r="E5">
        <v>4</v>
      </c>
      <c r="F5" t="s">
        <v>65</v>
      </c>
      <c r="I5" t="s">
        <v>66</v>
      </c>
      <c r="M5" t="s">
        <v>75</v>
      </c>
    </row>
    <row r="6" spans="1:13">
      <c r="B6" s="1" t="s">
        <v>64</v>
      </c>
      <c r="C6">
        <f t="shared" si="0"/>
        <v>3</v>
      </c>
      <c r="D6">
        <v>4</v>
      </c>
      <c r="E6">
        <v>4</v>
      </c>
      <c r="M6" t="s">
        <v>76</v>
      </c>
    </row>
    <row r="7" spans="1:13">
      <c r="A7" s="2" t="s">
        <v>17</v>
      </c>
      <c r="C7" t="str">
        <f t="shared" si="0"/>
        <v/>
      </c>
      <c r="D7">
        <v>6</v>
      </c>
      <c r="E7">
        <v>6</v>
      </c>
      <c r="I7" t="s">
        <v>69</v>
      </c>
      <c r="M7" t="s">
        <v>77</v>
      </c>
    </row>
    <row r="8" spans="1:13">
      <c r="A8" s="2" t="s">
        <v>18</v>
      </c>
      <c r="C8" t="str">
        <f t="shared" si="0"/>
        <v/>
      </c>
      <c r="D8">
        <v>6</v>
      </c>
      <c r="E8">
        <v>6</v>
      </c>
      <c r="I8" t="s">
        <v>70</v>
      </c>
      <c r="M8" t="s">
        <v>78</v>
      </c>
    </row>
    <row r="9" spans="1:13">
      <c r="A9" s="2" t="s">
        <v>20</v>
      </c>
      <c r="B9" s="1" t="s">
        <v>67</v>
      </c>
      <c r="C9">
        <f t="shared" si="0"/>
        <v>10</v>
      </c>
      <c r="D9">
        <v>6</v>
      </c>
      <c r="E9">
        <v>6</v>
      </c>
      <c r="F9" t="s">
        <v>68</v>
      </c>
      <c r="M9" t="s">
        <v>79</v>
      </c>
    </row>
    <row r="10" spans="1:13">
      <c r="A10" s="4" t="s">
        <v>21</v>
      </c>
      <c r="B10" s="1" t="s">
        <v>71</v>
      </c>
      <c r="C10">
        <f t="shared" si="0"/>
        <v>23</v>
      </c>
      <c r="D10">
        <v>0</v>
      </c>
      <c r="E10">
        <v>6</v>
      </c>
      <c r="F10" t="s">
        <v>65</v>
      </c>
      <c r="G10" t="s">
        <v>72</v>
      </c>
      <c r="M10" t="s">
        <v>80</v>
      </c>
    </row>
    <row r="11" spans="1:13">
      <c r="A11" s="2" t="s">
        <v>29</v>
      </c>
      <c r="C11" t="str">
        <f t="shared" si="0"/>
        <v/>
      </c>
      <c r="D11">
        <v>6</v>
      </c>
      <c r="E11">
        <v>6</v>
      </c>
      <c r="G11" t="s">
        <v>73</v>
      </c>
      <c r="M11" t="s">
        <v>81</v>
      </c>
    </row>
    <row r="12" spans="1:13">
      <c r="A12" s="4" t="s">
        <v>30</v>
      </c>
      <c r="B12" s="1" t="s">
        <v>74</v>
      </c>
      <c r="C12">
        <f t="shared" si="0"/>
        <v>27</v>
      </c>
      <c r="D12">
        <v>0</v>
      </c>
      <c r="E12">
        <v>8</v>
      </c>
      <c r="F12" t="s">
        <v>65</v>
      </c>
    </row>
    <row r="13" spans="1:13">
      <c r="C13" t="str">
        <f t="shared" si="0"/>
        <v/>
      </c>
    </row>
    <row r="14" spans="1:13">
      <c r="C14" t="str">
        <f t="shared" si="0"/>
        <v/>
      </c>
    </row>
    <row r="15" spans="1:13">
      <c r="C15" t="str">
        <f t="shared" si="0"/>
        <v/>
      </c>
    </row>
    <row r="16" spans="1:13">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0E882-201D-4BD1-8285-03621B939C55}">
  <sheetPr codeName="Sheet6"/>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96.875" style="1" customWidth="1"/>
    <col min="3" max="3" width="9.75" customWidth="1"/>
  </cols>
  <sheetData>
    <row r="1" spans="1:11">
      <c r="A1" s="2" t="s">
        <v>0</v>
      </c>
      <c r="B1" s="1" t="s">
        <v>13</v>
      </c>
    </row>
    <row r="2" spans="1:11">
      <c r="A2" s="2" t="s">
        <v>2</v>
      </c>
      <c r="B2" s="2" t="s">
        <v>92</v>
      </c>
      <c r="D2">
        <f>SUM(D4:D1000)</f>
        <v>29</v>
      </c>
      <c r="E2">
        <f>SUM(E4:E1000)</f>
        <v>50</v>
      </c>
    </row>
    <row r="3" spans="1:11">
      <c r="A3" s="2" t="s">
        <v>1</v>
      </c>
      <c r="B3" s="1" t="s">
        <v>3</v>
      </c>
      <c r="C3" t="s">
        <v>6</v>
      </c>
      <c r="D3" t="s">
        <v>4</v>
      </c>
      <c r="E3" t="s">
        <v>5</v>
      </c>
    </row>
    <row r="4" spans="1:11">
      <c r="A4" s="2" t="s">
        <v>16</v>
      </c>
      <c r="B4" s="1" t="s">
        <v>91</v>
      </c>
      <c r="C4">
        <f>IF(B4&lt;&gt;"",LEN(B4),"")</f>
        <v>1</v>
      </c>
      <c r="D4">
        <v>5</v>
      </c>
      <c r="E4">
        <v>5</v>
      </c>
    </row>
    <row r="5" spans="1:11">
      <c r="A5" s="2" t="s">
        <v>33</v>
      </c>
      <c r="B5" s="1" t="s">
        <v>82</v>
      </c>
      <c r="C5">
        <f t="shared" ref="C5:C68" si="0">IF(B5&lt;&gt;"",LEN(B5),"")</f>
        <v>27</v>
      </c>
      <c r="D5">
        <v>8</v>
      </c>
      <c r="E5">
        <v>8</v>
      </c>
      <c r="F5" t="s">
        <v>65</v>
      </c>
      <c r="G5" t="s">
        <v>54</v>
      </c>
      <c r="I5" t="s">
        <v>58</v>
      </c>
      <c r="K5" t="s">
        <v>83</v>
      </c>
    </row>
    <row r="6" spans="1:11">
      <c r="A6" s="4" t="s">
        <v>34</v>
      </c>
      <c r="B6" s="1" t="s">
        <v>85</v>
      </c>
      <c r="C6">
        <f t="shared" si="0"/>
        <v>34</v>
      </c>
      <c r="D6">
        <v>0</v>
      </c>
      <c r="E6">
        <v>8</v>
      </c>
      <c r="F6" t="s">
        <v>65</v>
      </c>
      <c r="G6" t="s">
        <v>55</v>
      </c>
      <c r="I6" t="s">
        <v>59</v>
      </c>
      <c r="K6" t="s">
        <v>84</v>
      </c>
    </row>
    <row r="7" spans="1:11">
      <c r="A7" s="4" t="s">
        <v>35</v>
      </c>
      <c r="B7" s="1" t="s">
        <v>86</v>
      </c>
      <c r="C7">
        <f t="shared" si="0"/>
        <v>1</v>
      </c>
      <c r="D7">
        <v>0</v>
      </c>
      <c r="E7">
        <v>5</v>
      </c>
      <c r="G7" t="s">
        <v>56</v>
      </c>
    </row>
    <row r="8" spans="1:11">
      <c r="A8" s="2" t="s">
        <v>36</v>
      </c>
      <c r="B8" s="1" t="s">
        <v>87</v>
      </c>
      <c r="C8">
        <f t="shared" si="0"/>
        <v>29</v>
      </c>
      <c r="D8">
        <v>8</v>
      </c>
      <c r="E8">
        <v>8</v>
      </c>
      <c r="G8" t="s">
        <v>57</v>
      </c>
    </row>
    <row r="9" spans="1:11">
      <c r="A9" s="4" t="s">
        <v>53</v>
      </c>
      <c r="B9" s="1" t="s">
        <v>88</v>
      </c>
      <c r="C9">
        <f t="shared" si="0"/>
        <v>36</v>
      </c>
      <c r="D9">
        <v>0</v>
      </c>
      <c r="E9">
        <v>8</v>
      </c>
      <c r="F9" t="s">
        <v>65</v>
      </c>
      <c r="G9" t="s">
        <v>60</v>
      </c>
    </row>
    <row r="10" spans="1:11">
      <c r="A10" s="2" t="s">
        <v>30</v>
      </c>
      <c r="B10" s="1" t="s">
        <v>90</v>
      </c>
      <c r="C10">
        <f t="shared" si="0"/>
        <v>33</v>
      </c>
      <c r="D10">
        <v>8</v>
      </c>
      <c r="E10">
        <v>8</v>
      </c>
      <c r="G10" t="s">
        <v>61</v>
      </c>
    </row>
    <row r="11" spans="1:11">
      <c r="B11"/>
      <c r="C11" t="str">
        <f t="shared" si="0"/>
        <v/>
      </c>
    </row>
    <row r="12" spans="1:11" ht="37.5">
      <c r="B12" s="1" t="s">
        <v>89</v>
      </c>
      <c r="C12">
        <f t="shared" si="0"/>
        <v>54</v>
      </c>
    </row>
    <row r="13" spans="1:11">
      <c r="C13" t="str">
        <f t="shared" si="0"/>
        <v/>
      </c>
    </row>
    <row r="14" spans="1:11">
      <c r="C14" t="str">
        <f t="shared" si="0"/>
        <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35E9D-CADE-4F5F-8786-6719FB52C0AD}">
  <sheetPr codeName="Sheet7"/>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D14" sqref="D14"/>
    </sheetView>
  </sheetViews>
  <sheetFormatPr defaultRowHeight="18.75"/>
  <cols>
    <col min="1" max="1" width="9" style="2"/>
    <col min="2" max="2" width="96.875" style="1" customWidth="1"/>
    <col min="3" max="3" width="9.75" customWidth="1"/>
  </cols>
  <sheetData>
    <row r="1" spans="1:11">
      <c r="A1" s="2" t="s">
        <v>0</v>
      </c>
      <c r="B1" s="1" t="s">
        <v>13</v>
      </c>
    </row>
    <row r="2" spans="1:11">
      <c r="A2" s="2" t="s">
        <v>2</v>
      </c>
      <c r="B2" s="2" t="s">
        <v>32</v>
      </c>
      <c r="D2">
        <f>SUM(D4:D1000)</f>
        <v>32</v>
      </c>
      <c r="E2">
        <f>SUM(E4:E1000)</f>
        <v>50</v>
      </c>
    </row>
    <row r="3" spans="1:11">
      <c r="A3" s="2" t="s">
        <v>1</v>
      </c>
      <c r="B3" s="1" t="s">
        <v>3</v>
      </c>
      <c r="C3" t="s">
        <v>6</v>
      </c>
      <c r="D3" t="s">
        <v>4</v>
      </c>
      <c r="E3" t="s">
        <v>5</v>
      </c>
    </row>
    <row r="4" spans="1:11">
      <c r="A4" s="2" t="s">
        <v>103</v>
      </c>
      <c r="B4" s="1" t="s">
        <v>104</v>
      </c>
      <c r="C4">
        <f>IF(B4&lt;&gt;"",LEN(B4),"")</f>
        <v>4</v>
      </c>
      <c r="D4">
        <v>3</v>
      </c>
      <c r="E4">
        <v>3</v>
      </c>
      <c r="F4">
        <v>1</v>
      </c>
    </row>
    <row r="5" spans="1:11">
      <c r="B5" s="1" t="s">
        <v>105</v>
      </c>
      <c r="C5">
        <f t="shared" ref="C5:C68" si="0">IF(B5&lt;&gt;"",LEN(B5),"")</f>
        <v>4</v>
      </c>
      <c r="D5">
        <v>3</v>
      </c>
      <c r="E5">
        <v>3</v>
      </c>
      <c r="F5">
        <v>1</v>
      </c>
      <c r="G5" t="s">
        <v>93</v>
      </c>
      <c r="I5" t="s">
        <v>98</v>
      </c>
      <c r="K5" t="s">
        <v>107</v>
      </c>
    </row>
    <row r="6" spans="1:11">
      <c r="A6" s="2" t="s">
        <v>106</v>
      </c>
      <c r="B6" s="1" t="s">
        <v>110</v>
      </c>
      <c r="C6">
        <f t="shared" si="0"/>
        <v>5</v>
      </c>
      <c r="D6">
        <v>4</v>
      </c>
      <c r="E6">
        <v>4</v>
      </c>
      <c r="F6">
        <v>1</v>
      </c>
      <c r="G6" t="s">
        <v>94</v>
      </c>
      <c r="I6" t="s">
        <v>99</v>
      </c>
      <c r="K6" t="s">
        <v>108</v>
      </c>
    </row>
    <row r="7" spans="1:11">
      <c r="B7" s="1" t="s">
        <v>111</v>
      </c>
      <c r="C7">
        <f t="shared" si="0"/>
        <v>16</v>
      </c>
      <c r="D7">
        <v>4</v>
      </c>
      <c r="E7">
        <v>4</v>
      </c>
      <c r="F7">
        <v>1</v>
      </c>
      <c r="G7" t="s">
        <v>95</v>
      </c>
      <c r="I7" t="s">
        <v>100</v>
      </c>
      <c r="K7" t="s">
        <v>109</v>
      </c>
    </row>
    <row r="8" spans="1:11">
      <c r="A8" s="2" t="s">
        <v>112</v>
      </c>
      <c r="B8" s="1" t="s">
        <v>113</v>
      </c>
      <c r="C8">
        <f t="shared" si="0"/>
        <v>7</v>
      </c>
      <c r="D8">
        <v>6</v>
      </c>
      <c r="E8">
        <v>6</v>
      </c>
      <c r="F8">
        <v>1</v>
      </c>
      <c r="G8" t="s">
        <v>96</v>
      </c>
      <c r="I8" t="s">
        <v>101</v>
      </c>
      <c r="K8" t="s">
        <v>122</v>
      </c>
    </row>
    <row r="9" spans="1:11">
      <c r="A9" s="2" t="s">
        <v>17</v>
      </c>
      <c r="B9" s="1" t="s">
        <v>121</v>
      </c>
      <c r="C9">
        <f t="shared" si="0"/>
        <v>8</v>
      </c>
      <c r="D9">
        <v>0</v>
      </c>
      <c r="E9">
        <v>6</v>
      </c>
      <c r="F9">
        <v>0</v>
      </c>
      <c r="G9" t="s">
        <v>97</v>
      </c>
      <c r="I9" t="s">
        <v>102</v>
      </c>
    </row>
    <row r="10" spans="1:11">
      <c r="A10" s="2" t="s">
        <v>18</v>
      </c>
      <c r="B10" s="1" t="s">
        <v>123</v>
      </c>
      <c r="C10">
        <f t="shared" si="0"/>
        <v>3</v>
      </c>
      <c r="D10">
        <v>6</v>
      </c>
      <c r="E10">
        <v>6</v>
      </c>
    </row>
    <row r="11" spans="1:11">
      <c r="A11" s="2" t="s">
        <v>19</v>
      </c>
      <c r="B11" s="1" t="s">
        <v>127</v>
      </c>
      <c r="C11">
        <f t="shared" si="0"/>
        <v>27</v>
      </c>
      <c r="D11">
        <v>0</v>
      </c>
      <c r="E11">
        <v>6</v>
      </c>
      <c r="G11" t="s">
        <v>114</v>
      </c>
      <c r="I11" t="s">
        <v>118</v>
      </c>
      <c r="K11" t="s">
        <v>124</v>
      </c>
    </row>
    <row r="12" spans="1:11">
      <c r="A12" s="2" t="s">
        <v>128</v>
      </c>
      <c r="B12" s="1" t="s">
        <v>129</v>
      </c>
      <c r="C12">
        <f t="shared" si="0"/>
        <v>41</v>
      </c>
      <c r="D12">
        <v>3</v>
      </c>
      <c r="E12">
        <v>6</v>
      </c>
      <c r="G12" t="s">
        <v>115</v>
      </c>
      <c r="I12" t="s">
        <v>119</v>
      </c>
      <c r="K12" t="s">
        <v>125</v>
      </c>
    </row>
    <row r="13" spans="1:11">
      <c r="A13" s="2" t="s">
        <v>130</v>
      </c>
      <c r="B13" s="1" t="s">
        <v>131</v>
      </c>
      <c r="C13">
        <f t="shared" si="0"/>
        <v>8</v>
      </c>
      <c r="D13">
        <v>3</v>
      </c>
      <c r="E13">
        <v>6</v>
      </c>
      <c r="G13" t="s">
        <v>116</v>
      </c>
      <c r="I13" t="s">
        <v>120</v>
      </c>
      <c r="K13" t="s">
        <v>126</v>
      </c>
    </row>
    <row r="14" spans="1:11">
      <c r="C14" t="str">
        <f t="shared" si="0"/>
        <v/>
      </c>
      <c r="G14" t="s">
        <v>117</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67A14-E8AB-4E2E-A232-68612B9450D0}">
  <sheetPr codeName="Sheet8"/>
  <dimension ref="A1:Q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9.25" style="1" customWidth="1"/>
    <col min="3" max="3" width="9.75" customWidth="1"/>
  </cols>
  <sheetData>
    <row r="1" spans="1:17">
      <c r="A1" s="2" t="s">
        <v>0</v>
      </c>
      <c r="B1" s="1" t="s">
        <v>147</v>
      </c>
    </row>
    <row r="2" spans="1:17">
      <c r="A2" s="2" t="s">
        <v>2</v>
      </c>
      <c r="B2" s="3" t="s">
        <v>149</v>
      </c>
      <c r="D2">
        <f>SUM(D4:D1000)</f>
        <v>62</v>
      </c>
      <c r="E2">
        <f>SUM(E4:E1000)</f>
        <v>100</v>
      </c>
    </row>
    <row r="3" spans="1:17">
      <c r="A3" s="2" t="s">
        <v>1</v>
      </c>
      <c r="B3" s="1" t="s">
        <v>3</v>
      </c>
      <c r="C3" t="s">
        <v>6</v>
      </c>
      <c r="D3" t="s">
        <v>4</v>
      </c>
      <c r="E3" t="s">
        <v>5</v>
      </c>
    </row>
    <row r="4" spans="1:17">
      <c r="A4" s="2" t="s">
        <v>103</v>
      </c>
      <c r="B4" s="1" t="s">
        <v>150</v>
      </c>
      <c r="C4">
        <f>IF(B4&lt;&gt;"",LEN(B4),"")</f>
        <v>11</v>
      </c>
      <c r="D4">
        <f>E4*F4</f>
        <v>4</v>
      </c>
      <c r="E4">
        <v>4</v>
      </c>
      <c r="F4">
        <v>1</v>
      </c>
    </row>
    <row r="5" spans="1:17">
      <c r="B5" s="1" t="s">
        <v>151</v>
      </c>
      <c r="C5">
        <f t="shared" ref="C5:C68" si="0">IF(B5&lt;&gt;"",LEN(B5),"")</f>
        <v>8</v>
      </c>
      <c r="D5">
        <f t="shared" ref="D5:D21" si="1">E5*F5</f>
        <v>4</v>
      </c>
      <c r="E5">
        <v>4</v>
      </c>
      <c r="F5">
        <v>1</v>
      </c>
      <c r="G5" t="s">
        <v>132</v>
      </c>
      <c r="I5" t="s">
        <v>139</v>
      </c>
      <c r="K5" t="s">
        <v>144</v>
      </c>
      <c r="M5" t="s">
        <v>155</v>
      </c>
      <c r="O5" t="s">
        <v>159</v>
      </c>
      <c r="Q5" t="s">
        <v>166</v>
      </c>
    </row>
    <row r="6" spans="1:17">
      <c r="A6" s="2" t="s">
        <v>106</v>
      </c>
      <c r="B6" s="1" t="s">
        <v>154</v>
      </c>
      <c r="C6">
        <f t="shared" si="0"/>
        <v>27</v>
      </c>
      <c r="D6">
        <f t="shared" si="1"/>
        <v>3</v>
      </c>
      <c r="E6">
        <v>6</v>
      </c>
      <c r="F6">
        <v>0.5</v>
      </c>
      <c r="G6" t="s">
        <v>133</v>
      </c>
      <c r="I6" t="s">
        <v>140</v>
      </c>
      <c r="K6" t="s">
        <v>145</v>
      </c>
      <c r="M6" t="s">
        <v>153</v>
      </c>
      <c r="O6" t="s">
        <v>160</v>
      </c>
      <c r="Q6" t="s">
        <v>167</v>
      </c>
    </row>
    <row r="7" spans="1:17">
      <c r="A7" s="2" t="s">
        <v>112</v>
      </c>
      <c r="B7" s="1" t="s">
        <v>165</v>
      </c>
      <c r="C7">
        <f t="shared" si="0"/>
        <v>28</v>
      </c>
      <c r="D7">
        <f t="shared" si="1"/>
        <v>6</v>
      </c>
      <c r="E7">
        <v>6</v>
      </c>
      <c r="F7">
        <v>1</v>
      </c>
      <c r="G7" t="s">
        <v>134</v>
      </c>
      <c r="I7" t="s">
        <v>141</v>
      </c>
      <c r="K7" t="s">
        <v>152</v>
      </c>
      <c r="M7" t="s">
        <v>156</v>
      </c>
      <c r="O7" t="s">
        <v>161</v>
      </c>
      <c r="Q7" t="s">
        <v>168</v>
      </c>
    </row>
    <row r="8" spans="1:17">
      <c r="A8" s="2" t="s">
        <v>17</v>
      </c>
      <c r="B8" s="1" t="s">
        <v>170</v>
      </c>
      <c r="C8">
        <f t="shared" si="0"/>
        <v>20</v>
      </c>
      <c r="D8">
        <f t="shared" si="1"/>
        <v>6</v>
      </c>
      <c r="E8">
        <v>6</v>
      </c>
      <c r="F8">
        <v>1</v>
      </c>
      <c r="G8" t="s">
        <v>135</v>
      </c>
      <c r="I8" t="s">
        <v>142</v>
      </c>
      <c r="K8" t="s">
        <v>153</v>
      </c>
      <c r="M8" t="s">
        <v>157</v>
      </c>
      <c r="O8" t="s">
        <v>162</v>
      </c>
      <c r="Q8" t="s">
        <v>169</v>
      </c>
    </row>
    <row r="9" spans="1:17">
      <c r="A9" s="2" t="s">
        <v>18</v>
      </c>
      <c r="B9" s="1" t="s">
        <v>172</v>
      </c>
      <c r="C9">
        <f t="shared" si="0"/>
        <v>21</v>
      </c>
      <c r="D9">
        <f t="shared" si="1"/>
        <v>0</v>
      </c>
      <c r="E9">
        <v>6</v>
      </c>
      <c r="F9">
        <v>0</v>
      </c>
      <c r="G9" t="s">
        <v>136</v>
      </c>
      <c r="I9" t="s">
        <v>143</v>
      </c>
      <c r="M9" t="s">
        <v>158</v>
      </c>
      <c r="O9" t="s">
        <v>163</v>
      </c>
      <c r="Q9" t="s">
        <v>171</v>
      </c>
    </row>
    <row r="10" spans="1:17">
      <c r="A10" s="2" t="s">
        <v>20</v>
      </c>
      <c r="B10" s="1" t="s">
        <v>177</v>
      </c>
      <c r="C10">
        <f t="shared" si="0"/>
        <v>4</v>
      </c>
      <c r="D10">
        <f t="shared" si="1"/>
        <v>0</v>
      </c>
      <c r="E10">
        <v>4</v>
      </c>
      <c r="F10">
        <v>0</v>
      </c>
      <c r="G10" t="s">
        <v>137</v>
      </c>
      <c r="I10" t="s">
        <v>174</v>
      </c>
      <c r="M10" t="s">
        <v>164</v>
      </c>
    </row>
    <row r="11" spans="1:17">
      <c r="B11" s="1" t="s">
        <v>178</v>
      </c>
      <c r="C11">
        <f t="shared" si="0"/>
        <v>13</v>
      </c>
      <c r="D11">
        <f t="shared" si="1"/>
        <v>0</v>
      </c>
      <c r="E11">
        <v>4</v>
      </c>
      <c r="F11">
        <v>0</v>
      </c>
      <c r="G11" t="s">
        <v>138</v>
      </c>
      <c r="I11" t="s">
        <v>175</v>
      </c>
      <c r="M11" t="s">
        <v>189</v>
      </c>
    </row>
    <row r="12" spans="1:17">
      <c r="B12" s="1" t="s">
        <v>179</v>
      </c>
      <c r="C12">
        <f t="shared" si="0"/>
        <v>10</v>
      </c>
      <c r="D12">
        <f t="shared" si="1"/>
        <v>0</v>
      </c>
      <c r="E12">
        <v>4</v>
      </c>
      <c r="F12">
        <v>0</v>
      </c>
      <c r="G12" t="s">
        <v>173</v>
      </c>
      <c r="I12" t="s">
        <v>176</v>
      </c>
      <c r="M12" t="s">
        <v>190</v>
      </c>
    </row>
    <row r="13" spans="1:17">
      <c r="A13" s="2" t="s">
        <v>21</v>
      </c>
      <c r="B13" s="1" t="s">
        <v>180</v>
      </c>
      <c r="C13">
        <f t="shared" si="0"/>
        <v>27</v>
      </c>
      <c r="D13">
        <f t="shared" si="1"/>
        <v>6</v>
      </c>
      <c r="E13">
        <v>6</v>
      </c>
      <c r="F13">
        <v>1</v>
      </c>
      <c r="G13" t="s">
        <v>183</v>
      </c>
      <c r="I13" t="s">
        <v>187</v>
      </c>
    </row>
    <row r="14" spans="1:17">
      <c r="A14" s="2" t="s">
        <v>29</v>
      </c>
      <c r="B14" s="1" t="s">
        <v>181</v>
      </c>
      <c r="C14">
        <f t="shared" si="0"/>
        <v>31</v>
      </c>
      <c r="D14">
        <f t="shared" si="1"/>
        <v>6</v>
      </c>
      <c r="E14">
        <v>6</v>
      </c>
      <c r="F14">
        <v>1</v>
      </c>
      <c r="G14" t="s">
        <v>184</v>
      </c>
      <c r="I14" t="s">
        <v>188</v>
      </c>
    </row>
    <row r="15" spans="1:17">
      <c r="B15" s="1" t="s">
        <v>182</v>
      </c>
      <c r="C15">
        <f t="shared" si="0"/>
        <v>25</v>
      </c>
      <c r="D15">
        <f t="shared" si="1"/>
        <v>0</v>
      </c>
      <c r="E15">
        <v>8</v>
      </c>
      <c r="F15">
        <v>0</v>
      </c>
    </row>
    <row r="16" spans="1:17">
      <c r="A16" s="2" t="s">
        <v>22</v>
      </c>
      <c r="B16" s="1" t="s">
        <v>185</v>
      </c>
      <c r="C16">
        <f t="shared" si="0"/>
        <v>25</v>
      </c>
      <c r="D16">
        <f t="shared" si="1"/>
        <v>3</v>
      </c>
      <c r="E16">
        <v>6</v>
      </c>
      <c r="F16">
        <v>0.5</v>
      </c>
    </row>
    <row r="17" spans="1:6" ht="37.5">
      <c r="A17" s="2" t="s">
        <v>23</v>
      </c>
      <c r="B17" s="1" t="s">
        <v>186</v>
      </c>
      <c r="C17">
        <f t="shared" si="0"/>
        <v>37</v>
      </c>
      <c r="D17">
        <f t="shared" si="1"/>
        <v>6</v>
      </c>
      <c r="E17">
        <v>6</v>
      </c>
      <c r="F17">
        <v>1</v>
      </c>
    </row>
    <row r="18" spans="1:6">
      <c r="A18" s="2" t="s">
        <v>191</v>
      </c>
      <c r="B18" s="1" t="s">
        <v>192</v>
      </c>
      <c r="C18">
        <f t="shared" si="0"/>
        <v>26</v>
      </c>
      <c r="D18">
        <f t="shared" si="1"/>
        <v>6</v>
      </c>
      <c r="E18">
        <v>6</v>
      </c>
      <c r="F18">
        <v>1</v>
      </c>
    </row>
    <row r="19" spans="1:6" ht="37.5">
      <c r="B19" s="1" t="s">
        <v>193</v>
      </c>
      <c r="C19">
        <f t="shared" si="0"/>
        <v>42</v>
      </c>
      <c r="D19">
        <f t="shared" si="1"/>
        <v>6</v>
      </c>
      <c r="E19">
        <v>6</v>
      </c>
      <c r="F19">
        <v>1</v>
      </c>
    </row>
    <row r="20" spans="1:6">
      <c r="B20" s="1" t="s">
        <v>194</v>
      </c>
      <c r="C20">
        <f t="shared" si="0"/>
        <v>25</v>
      </c>
      <c r="D20">
        <f t="shared" si="1"/>
        <v>6</v>
      </c>
      <c r="E20">
        <v>6</v>
      </c>
      <c r="F20">
        <v>1</v>
      </c>
    </row>
    <row r="21" spans="1:6" ht="37.5">
      <c r="B21" s="1" t="s">
        <v>195</v>
      </c>
      <c r="C21">
        <f t="shared" si="0"/>
        <v>35</v>
      </c>
      <c r="D21">
        <f t="shared" si="1"/>
        <v>0</v>
      </c>
      <c r="E21">
        <v>6</v>
      </c>
      <c r="F21">
        <v>0</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7905D-F4DF-411D-94C4-AD24B0C7C358}">
  <sheetPr codeName="Sheet9"/>
  <dimension ref="A1:K167"/>
  <sheetViews>
    <sheetView tabSelected="1" zoomScale="85" zoomScaleNormal="85" workbookViewId="0">
      <pane xSplit="1" ySplit="3" topLeftCell="B19" activePane="bottomRight" state="frozen"/>
      <selection pane="topRight" activeCell="B1" sqref="B1"/>
      <selection pane="bottomLeft" activeCell="A4" sqref="A4"/>
      <selection pane="bottomRight" activeCell="F27" sqref="F27"/>
    </sheetView>
  </sheetViews>
  <sheetFormatPr defaultRowHeight="18.75"/>
  <cols>
    <col min="1" max="1" width="9" style="2"/>
    <col min="2" max="2" width="75.375" style="1" customWidth="1"/>
    <col min="3" max="3" width="9.75" customWidth="1"/>
  </cols>
  <sheetData>
    <row r="1" spans="1:11">
      <c r="A1" s="2" t="s">
        <v>0</v>
      </c>
      <c r="B1" s="1" t="s">
        <v>147</v>
      </c>
    </row>
    <row r="2" spans="1:11">
      <c r="A2" s="2" t="s">
        <v>2</v>
      </c>
      <c r="B2" s="3" t="s">
        <v>32</v>
      </c>
      <c r="D2">
        <f>SUM(D4:D1000)</f>
        <v>31</v>
      </c>
      <c r="E2">
        <f>SUM(E4:E1000)</f>
        <v>50</v>
      </c>
    </row>
    <row r="3" spans="1:11">
      <c r="A3" s="2" t="s">
        <v>1</v>
      </c>
      <c r="B3" s="1" t="s">
        <v>3</v>
      </c>
      <c r="C3" t="s">
        <v>6</v>
      </c>
      <c r="D3" t="s">
        <v>4</v>
      </c>
      <c r="E3" t="s">
        <v>5</v>
      </c>
    </row>
    <row r="4" spans="1:11">
      <c r="A4" s="2" t="s">
        <v>103</v>
      </c>
      <c r="B4" s="1" t="s">
        <v>207</v>
      </c>
      <c r="C4">
        <f>IF(B4&lt;&gt;"",LEN(B4),"")</f>
        <v>3</v>
      </c>
      <c r="D4">
        <f>E4*F4</f>
        <v>4</v>
      </c>
      <c r="E4">
        <v>4</v>
      </c>
      <c r="F4">
        <v>1</v>
      </c>
    </row>
    <row r="5" spans="1:11">
      <c r="B5" s="1" t="s">
        <v>208</v>
      </c>
      <c r="C5">
        <f t="shared" ref="C5:C68" si="0">IF(B5&lt;&gt;"",LEN(B5),"")</f>
        <v>3</v>
      </c>
      <c r="D5">
        <f t="shared" ref="D5:D13" si="1">E5*F5</f>
        <v>4</v>
      </c>
      <c r="E5">
        <v>4</v>
      </c>
      <c r="F5">
        <v>1</v>
      </c>
      <c r="G5" t="s">
        <v>197</v>
      </c>
      <c r="I5" t="s">
        <v>206</v>
      </c>
      <c r="K5" t="s">
        <v>216</v>
      </c>
    </row>
    <row r="6" spans="1:11">
      <c r="B6" s="1" t="s">
        <v>209</v>
      </c>
      <c r="C6">
        <f t="shared" si="0"/>
        <v>3</v>
      </c>
      <c r="D6">
        <f t="shared" si="1"/>
        <v>4</v>
      </c>
      <c r="E6">
        <v>4</v>
      </c>
      <c r="F6">
        <v>1</v>
      </c>
      <c r="G6" t="s">
        <v>198</v>
      </c>
      <c r="I6" t="s">
        <v>198</v>
      </c>
    </row>
    <row r="7" spans="1:11">
      <c r="A7" s="4" t="s">
        <v>106</v>
      </c>
      <c r="B7" s="1" t="s">
        <v>210</v>
      </c>
      <c r="C7">
        <f t="shared" si="0"/>
        <v>3</v>
      </c>
      <c r="D7">
        <f t="shared" si="1"/>
        <v>3</v>
      </c>
      <c r="E7">
        <v>6</v>
      </c>
      <c r="F7">
        <v>0.5</v>
      </c>
      <c r="G7" t="s">
        <v>199</v>
      </c>
      <c r="I7" t="s">
        <v>211</v>
      </c>
    </row>
    <row r="8" spans="1:11">
      <c r="A8" s="2" t="s">
        <v>112</v>
      </c>
      <c r="B8" s="1" t="s">
        <v>51</v>
      </c>
      <c r="C8">
        <f t="shared" si="0"/>
        <v>1</v>
      </c>
      <c r="D8">
        <f t="shared" si="1"/>
        <v>4</v>
      </c>
      <c r="E8">
        <v>4</v>
      </c>
      <c r="F8">
        <v>1</v>
      </c>
      <c r="G8" t="s">
        <v>200</v>
      </c>
      <c r="I8" t="s">
        <v>212</v>
      </c>
    </row>
    <row r="9" spans="1:11">
      <c r="A9" s="2" t="s">
        <v>17</v>
      </c>
      <c r="B9" s="1" t="s">
        <v>215</v>
      </c>
      <c r="C9">
        <f t="shared" si="0"/>
        <v>26</v>
      </c>
      <c r="D9">
        <f t="shared" si="1"/>
        <v>6</v>
      </c>
      <c r="E9">
        <v>6</v>
      </c>
      <c r="F9">
        <v>1</v>
      </c>
      <c r="G9" t="s">
        <v>201</v>
      </c>
      <c r="I9" t="s">
        <v>213</v>
      </c>
    </row>
    <row r="10" spans="1:11">
      <c r="A10" s="4" t="s">
        <v>18</v>
      </c>
      <c r="B10" s="1" t="s">
        <v>217</v>
      </c>
      <c r="C10">
        <f t="shared" si="0"/>
        <v>32</v>
      </c>
      <c r="D10">
        <f t="shared" si="1"/>
        <v>0</v>
      </c>
      <c r="E10">
        <v>6</v>
      </c>
      <c r="F10">
        <v>0</v>
      </c>
      <c r="G10" t="s">
        <v>202</v>
      </c>
      <c r="I10" t="s">
        <v>214</v>
      </c>
    </row>
    <row r="11" spans="1:11">
      <c r="A11" s="4" t="s">
        <v>20</v>
      </c>
      <c r="B11" s="1" t="s">
        <v>220</v>
      </c>
      <c r="C11">
        <f t="shared" si="0"/>
        <v>3</v>
      </c>
      <c r="D11">
        <f t="shared" si="1"/>
        <v>0</v>
      </c>
      <c r="E11">
        <v>4</v>
      </c>
      <c r="F11">
        <v>0</v>
      </c>
      <c r="G11" t="s">
        <v>203</v>
      </c>
    </row>
    <row r="12" spans="1:11">
      <c r="A12" s="2" t="s">
        <v>21</v>
      </c>
      <c r="B12" s="1" t="s">
        <v>221</v>
      </c>
      <c r="C12">
        <f t="shared" si="0"/>
        <v>29</v>
      </c>
      <c r="D12">
        <f t="shared" si="1"/>
        <v>6</v>
      </c>
      <c r="E12">
        <v>6</v>
      </c>
      <c r="F12">
        <v>1</v>
      </c>
      <c r="G12" t="s">
        <v>204</v>
      </c>
    </row>
    <row r="13" spans="1:11">
      <c r="A13" s="4" t="s">
        <v>29</v>
      </c>
      <c r="B13" s="1" t="s">
        <v>222</v>
      </c>
      <c r="C13">
        <f t="shared" si="0"/>
        <v>32</v>
      </c>
      <c r="D13">
        <f t="shared" si="1"/>
        <v>0</v>
      </c>
      <c r="E13">
        <v>6</v>
      </c>
      <c r="F13">
        <v>0</v>
      </c>
      <c r="G13" t="s">
        <v>205</v>
      </c>
    </row>
    <row r="14" spans="1:11">
      <c r="C14" t="str">
        <f t="shared" si="0"/>
        <v/>
      </c>
    </row>
    <row r="15" spans="1:11">
      <c r="C15" t="str">
        <f t="shared" si="0"/>
        <v/>
      </c>
    </row>
    <row r="16" spans="1:11">
      <c r="C16" t="str">
        <f t="shared" si="0"/>
        <v/>
      </c>
    </row>
    <row r="17" spans="1:6">
      <c r="C17" t="str">
        <f t="shared" si="0"/>
        <v/>
      </c>
    </row>
    <row r="18" spans="1:6">
      <c r="C18" t="str">
        <f t="shared" si="0"/>
        <v/>
      </c>
    </row>
    <row r="19" spans="1:6">
      <c r="C19" t="str">
        <f t="shared" si="0"/>
        <v/>
      </c>
    </row>
    <row r="20" spans="1:6">
      <c r="B20" s="1" t="s">
        <v>218</v>
      </c>
      <c r="C20">
        <f t="shared" si="0"/>
        <v>15</v>
      </c>
    </row>
    <row r="21" spans="1:6">
      <c r="B21" s="1" t="s">
        <v>219</v>
      </c>
      <c r="C21">
        <f t="shared" si="0"/>
        <v>7</v>
      </c>
    </row>
    <row r="22" spans="1:6">
      <c r="B22" s="1" t="s">
        <v>27</v>
      </c>
      <c r="C22">
        <f t="shared" si="0"/>
        <v>5</v>
      </c>
    </row>
    <row r="23" spans="1:6">
      <c r="B23" s="1" t="s">
        <v>248</v>
      </c>
      <c r="C23">
        <f t="shared" si="0"/>
        <v>13</v>
      </c>
    </row>
    <row r="24" spans="1:6">
      <c r="B24" s="1" t="s">
        <v>249</v>
      </c>
      <c r="C24">
        <f t="shared" si="0"/>
        <v>6</v>
      </c>
    </row>
    <row r="25" spans="1:6">
      <c r="A25" s="4" t="s">
        <v>106</v>
      </c>
      <c r="B25" s="1" t="s">
        <v>250</v>
      </c>
      <c r="C25">
        <f t="shared" si="0"/>
        <v>3</v>
      </c>
      <c r="F25">
        <v>1</v>
      </c>
    </row>
    <row r="26" spans="1:6">
      <c r="A26" s="4" t="s">
        <v>18</v>
      </c>
      <c r="B26" s="1" t="s">
        <v>254</v>
      </c>
      <c r="C26">
        <f t="shared" si="0"/>
        <v>24</v>
      </c>
      <c r="F26">
        <v>1</v>
      </c>
    </row>
    <row r="27" spans="1:6">
      <c r="A27" s="4" t="s">
        <v>20</v>
      </c>
      <c r="B27" s="1" t="s">
        <v>257</v>
      </c>
      <c r="C27">
        <f t="shared" si="0"/>
        <v>1</v>
      </c>
      <c r="F27">
        <v>1</v>
      </c>
    </row>
    <row r="28" spans="1:6" ht="37.5">
      <c r="A28" s="4" t="s">
        <v>29</v>
      </c>
      <c r="B28" s="1" t="s">
        <v>259</v>
      </c>
      <c r="C28">
        <f t="shared" si="0"/>
        <v>42</v>
      </c>
      <c r="F28">
        <v>1</v>
      </c>
    </row>
    <row r="29" spans="1:6" ht="37.5">
      <c r="A29" s="2" t="s">
        <v>21</v>
      </c>
      <c r="B29" s="1" t="s">
        <v>258</v>
      </c>
      <c r="C29">
        <f t="shared" si="0"/>
        <v>48</v>
      </c>
      <c r="F29">
        <v>1</v>
      </c>
    </row>
    <row r="30" spans="1:6">
      <c r="B30" s="1" t="s">
        <v>251</v>
      </c>
      <c r="C30">
        <f t="shared" si="0"/>
        <v>13</v>
      </c>
    </row>
    <row r="31" spans="1:6">
      <c r="B31" s="1" t="s">
        <v>252</v>
      </c>
      <c r="C31">
        <f t="shared" si="0"/>
        <v>6</v>
      </c>
    </row>
    <row r="32" spans="1:6">
      <c r="B32" s="1" t="s">
        <v>253</v>
      </c>
      <c r="C32">
        <f t="shared" si="0"/>
        <v>11</v>
      </c>
    </row>
    <row r="33" spans="1:3">
      <c r="B33" s="1" t="s">
        <v>255</v>
      </c>
      <c r="C33">
        <f t="shared" si="0"/>
        <v>11</v>
      </c>
    </row>
    <row r="34" spans="1:3">
      <c r="B34" s="1" t="s">
        <v>256</v>
      </c>
      <c r="C34">
        <f t="shared" si="0"/>
        <v>3</v>
      </c>
    </row>
    <row r="35" spans="1:3" ht="37.5">
      <c r="A35" s="2" t="s">
        <v>29</v>
      </c>
      <c r="B35" s="1" t="s">
        <v>259</v>
      </c>
      <c r="C35">
        <f t="shared" si="0"/>
        <v>42</v>
      </c>
    </row>
    <row r="36" spans="1:3">
      <c r="C36" t="str">
        <f t="shared" si="0"/>
        <v/>
      </c>
    </row>
    <row r="37" spans="1:3">
      <c r="C37" t="str">
        <f t="shared" si="0"/>
        <v/>
      </c>
    </row>
    <row r="38" spans="1:3">
      <c r="C38" t="str">
        <f t="shared" si="0"/>
        <v/>
      </c>
    </row>
    <row r="39" spans="1:3">
      <c r="C39" t="str">
        <f t="shared" si="0"/>
        <v/>
      </c>
    </row>
    <row r="40" spans="1:3">
      <c r="C40" t="str">
        <f t="shared" si="0"/>
        <v/>
      </c>
    </row>
    <row r="41" spans="1:3">
      <c r="C41" t="str">
        <f t="shared" si="0"/>
        <v/>
      </c>
    </row>
    <row r="42" spans="1:3">
      <c r="C42" t="str">
        <f t="shared" si="0"/>
        <v/>
      </c>
    </row>
    <row r="43" spans="1:3">
      <c r="C43" t="str">
        <f t="shared" si="0"/>
        <v/>
      </c>
    </row>
    <row r="44" spans="1:3">
      <c r="C44" t="str">
        <f t="shared" si="0"/>
        <v/>
      </c>
    </row>
    <row r="45" spans="1:3">
      <c r="C45" t="str">
        <f t="shared" si="0"/>
        <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7F997-BB94-48EC-AED6-DFBC3EBED5B2}">
  <sheetPr codeName="Sheet10"/>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F18" sqref="F18"/>
    </sheetView>
  </sheetViews>
  <sheetFormatPr defaultRowHeight="18.75"/>
  <cols>
    <col min="1" max="1" width="9" style="2"/>
    <col min="2" max="2" width="59.25" style="1" customWidth="1"/>
    <col min="3" max="3" width="9.75" customWidth="1"/>
  </cols>
  <sheetData>
    <row r="1" spans="1:9">
      <c r="A1" s="2" t="s">
        <v>0</v>
      </c>
      <c r="B1" s="1" t="s">
        <v>147</v>
      </c>
    </row>
    <row r="2" spans="1:9">
      <c r="A2" s="2" t="s">
        <v>2</v>
      </c>
      <c r="B2" s="3" t="s">
        <v>224</v>
      </c>
      <c r="D2">
        <f>SUM(D4:D1000)</f>
        <v>26</v>
      </c>
      <c r="E2">
        <f>SUM(E4:E1000)</f>
        <v>50</v>
      </c>
    </row>
    <row r="3" spans="1:9">
      <c r="A3" s="2" t="s">
        <v>1</v>
      </c>
      <c r="B3" s="1" t="s">
        <v>3</v>
      </c>
      <c r="C3" t="s">
        <v>6</v>
      </c>
      <c r="D3" t="s">
        <v>4</v>
      </c>
      <c r="E3" t="s">
        <v>5</v>
      </c>
    </row>
    <row r="4" spans="1:9">
      <c r="A4" s="2" t="s">
        <v>237</v>
      </c>
      <c r="B4" s="1" t="s">
        <v>238</v>
      </c>
      <c r="C4">
        <f>IF(B4&lt;&gt;"",LEN(B4),"")</f>
        <v>30</v>
      </c>
      <c r="D4">
        <f>E4*F4</f>
        <v>6</v>
      </c>
      <c r="E4">
        <v>6</v>
      </c>
      <c r="F4">
        <v>1</v>
      </c>
    </row>
    <row r="5" spans="1:9">
      <c r="A5" s="2" t="s">
        <v>33</v>
      </c>
      <c r="B5" s="1" t="s">
        <v>239</v>
      </c>
      <c r="C5">
        <f t="shared" ref="C5:C68" si="0">IF(B5&lt;&gt;"",LEN(B5),"")</f>
        <v>5</v>
      </c>
      <c r="D5">
        <f t="shared" ref="D5:D12" si="1">E5*F5</f>
        <v>0</v>
      </c>
      <c r="E5">
        <v>4</v>
      </c>
      <c r="F5">
        <v>0</v>
      </c>
      <c r="G5" t="s">
        <v>225</v>
      </c>
      <c r="I5" t="s">
        <v>233</v>
      </c>
    </row>
    <row r="6" spans="1:9">
      <c r="B6" s="1" t="s">
        <v>240</v>
      </c>
      <c r="C6">
        <f t="shared" si="0"/>
        <v>8</v>
      </c>
      <c r="D6">
        <f t="shared" si="1"/>
        <v>4</v>
      </c>
      <c r="E6">
        <v>4</v>
      </c>
      <c r="F6">
        <v>1</v>
      </c>
      <c r="G6" t="s">
        <v>226</v>
      </c>
      <c r="I6" t="s">
        <v>234</v>
      </c>
    </row>
    <row r="7" spans="1:9">
      <c r="B7" s="1" t="s">
        <v>241</v>
      </c>
      <c r="C7">
        <f t="shared" si="0"/>
        <v>7</v>
      </c>
      <c r="D7">
        <f t="shared" si="1"/>
        <v>0</v>
      </c>
      <c r="E7">
        <v>4</v>
      </c>
      <c r="F7">
        <v>0</v>
      </c>
      <c r="G7" t="s">
        <v>227</v>
      </c>
      <c r="I7" t="s">
        <v>235</v>
      </c>
    </row>
    <row r="8" spans="1:9">
      <c r="B8" s="1" t="s">
        <v>242</v>
      </c>
      <c r="C8">
        <f t="shared" si="0"/>
        <v>6</v>
      </c>
      <c r="D8">
        <f t="shared" si="1"/>
        <v>4</v>
      </c>
      <c r="E8">
        <v>4</v>
      </c>
      <c r="F8">
        <v>1</v>
      </c>
      <c r="G8" t="s">
        <v>228</v>
      </c>
      <c r="I8" t="s">
        <v>236</v>
      </c>
    </row>
    <row r="9" spans="1:9">
      <c r="B9" s="1" t="s">
        <v>243</v>
      </c>
      <c r="C9">
        <f t="shared" si="0"/>
        <v>18</v>
      </c>
      <c r="D9">
        <f t="shared" si="1"/>
        <v>4</v>
      </c>
      <c r="E9">
        <v>4</v>
      </c>
      <c r="F9">
        <v>1</v>
      </c>
      <c r="G9" t="s">
        <v>229</v>
      </c>
    </row>
    <row r="10" spans="1:9">
      <c r="A10" s="2" t="s">
        <v>128</v>
      </c>
      <c r="B10" s="1" t="s">
        <v>245</v>
      </c>
      <c r="C10">
        <f t="shared" si="0"/>
        <v>22</v>
      </c>
      <c r="D10">
        <f t="shared" si="1"/>
        <v>0</v>
      </c>
      <c r="E10">
        <v>8</v>
      </c>
      <c r="F10">
        <v>0</v>
      </c>
      <c r="G10" t="s">
        <v>230</v>
      </c>
    </row>
    <row r="11" spans="1:9" ht="37.5">
      <c r="A11" s="2" t="s">
        <v>22</v>
      </c>
      <c r="B11" s="1" t="s">
        <v>246</v>
      </c>
      <c r="C11">
        <f t="shared" si="0"/>
        <v>44</v>
      </c>
      <c r="D11">
        <f t="shared" si="1"/>
        <v>0</v>
      </c>
      <c r="E11">
        <v>8</v>
      </c>
      <c r="F11">
        <v>0</v>
      </c>
      <c r="G11" t="s">
        <v>231</v>
      </c>
    </row>
    <row r="12" spans="1:9">
      <c r="A12" s="2" t="s">
        <v>23</v>
      </c>
      <c r="B12" s="1" t="s">
        <v>247</v>
      </c>
      <c r="C12">
        <f t="shared" si="0"/>
        <v>25</v>
      </c>
      <c r="D12">
        <f t="shared" si="1"/>
        <v>8</v>
      </c>
      <c r="E12">
        <v>8</v>
      </c>
      <c r="F12">
        <v>1</v>
      </c>
      <c r="G12" t="s">
        <v>232</v>
      </c>
    </row>
    <row r="13" spans="1:9">
      <c r="C13" t="str">
        <f t="shared" si="0"/>
        <v/>
      </c>
    </row>
    <row r="14" spans="1:9">
      <c r="C14" t="str">
        <f t="shared" si="0"/>
        <v/>
      </c>
      <c r="G14" t="s">
        <v>244</v>
      </c>
    </row>
    <row r="15" spans="1:9">
      <c r="C15" t="str">
        <f t="shared" si="0"/>
        <v/>
      </c>
    </row>
    <row r="16" spans="1:9">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レビュー</vt:lpstr>
      <vt:lpstr>format</vt:lpstr>
      <vt:lpstr>1</vt:lpstr>
      <vt:lpstr>2</vt:lpstr>
      <vt:lpstr>3</vt:lpstr>
      <vt:lpstr>4</vt:lpstr>
      <vt:lpstr>5</vt:lpstr>
      <vt:lpstr>6</vt:lpstr>
      <vt:lpstr>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2025-02-11T06:27:07Z</dcterms:modified>
</cp:coreProperties>
</file>