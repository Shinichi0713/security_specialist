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past_problems\"/>
    </mc:Choice>
  </mc:AlternateContent>
  <xr:revisionPtr revIDLastSave="0" documentId="13_ncr:1_{0479A28B-F09F-43E9-A2C5-347A88B1F50F}" xr6:coauthVersionLast="47" xr6:coauthVersionMax="47" xr10:uidLastSave="{00000000-0000-0000-0000-000000000000}"/>
  <bookViews>
    <workbookView xWindow="-108" yWindow="-108" windowWidth="23256" windowHeight="14856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7" l="1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<sst xmlns="http://schemas.openxmlformats.org/spreadsheetml/2006/main" count="135" uniqueCount="92">
  <si>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</si>
  <si>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</si>
  <si>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</si>
  <si>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</si>
  <si>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</si>
  <si>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</si>
  <si>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</si>
  <si>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</si>
  <si>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</si>
  <si>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</si>
  <si>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</si>
  <si>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</si>
  <si>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2010-秋</t>
  </si>
  <si>
    <t>2010-秋</t>
    <rPh sb="5" eb="6">
      <t>アキ</t>
    </rPh>
    <phoneticPr fontId="1"/>
  </si>
  <si>
    <t>PM2</t>
  </si>
  <si>
    <t>PM2</t>
    <phoneticPr fontId="1"/>
  </si>
  <si>
    <t>1</t>
    <phoneticPr fontId="1"/>
  </si>
  <si>
    <t>2-(1)</t>
    <phoneticPr fontId="1"/>
  </si>
  <si>
    <t>2-(2)</t>
    <phoneticPr fontId="1"/>
  </si>
  <si>
    <t>2-(3)</t>
    <phoneticPr fontId="1"/>
  </si>
  <si>
    <t>3-(1)</t>
    <phoneticPr fontId="1"/>
  </si>
  <si>
    <t>3-(2)</t>
    <phoneticPr fontId="1"/>
  </si>
  <si>
    <t>4-(1)</t>
    <phoneticPr fontId="1"/>
  </si>
  <si>
    <t>4-(2)</t>
    <phoneticPr fontId="1"/>
  </si>
  <si>
    <t>5-(2)</t>
    <phoneticPr fontId="1"/>
  </si>
  <si>
    <t>5-(1)</t>
    <phoneticPr fontId="1"/>
  </si>
  <si>
    <t>5-(3)</t>
    <phoneticPr fontId="1"/>
  </si>
  <si>
    <t>間違い直し</t>
    <rPh sb="0" eb="2">
      <t>マチガ</t>
    </rPh>
    <rPh sb="3" eb="4">
      <t>ナオ</t>
    </rPh>
    <phoneticPr fontId="1"/>
  </si>
  <si>
    <t>PM1-1</t>
    <phoneticPr fontId="1"/>
  </si>
  <si>
    <t>3-(3)</t>
    <phoneticPr fontId="1"/>
  </si>
  <si>
    <t>4</t>
    <phoneticPr fontId="1"/>
  </si>
  <si>
    <t>PM1-1</t>
  </si>
  <si>
    <t>PM1-2</t>
    <phoneticPr fontId="1"/>
  </si>
  <si>
    <t>2</t>
    <phoneticPr fontId="1"/>
  </si>
  <si>
    <t>3-1</t>
    <phoneticPr fontId="1"/>
  </si>
  <si>
    <t>3-2</t>
    <phoneticPr fontId="1"/>
  </si>
  <si>
    <t>3-3</t>
    <phoneticPr fontId="1"/>
  </si>
  <si>
    <t>PM1-2</t>
  </si>
  <si>
    <t>勤怠管理システム</t>
    <rPh sb="0" eb="2">
      <t>キンタイ</t>
    </rPh>
    <rPh sb="2" eb="4">
      <t>カンリ</t>
    </rPh>
    <phoneticPr fontId="1"/>
  </si>
  <si>
    <t>勤怠データは店舗ごとに管理</t>
    <rPh sb="0" eb="2">
      <t>キンタイ</t>
    </rPh>
    <rPh sb="6" eb="8">
      <t>テンポ</t>
    </rPh>
    <rPh sb="11" eb="13">
      <t>カンリ</t>
    </rPh>
    <phoneticPr fontId="1"/>
  </si>
  <si>
    <t>FWのアクセス制御</t>
    <rPh sb="7" eb="9">
      <t>セイギョ</t>
    </rPh>
    <phoneticPr fontId="1"/>
  </si>
  <si>
    <t>aア</t>
    <phoneticPr fontId="1"/>
  </si>
  <si>
    <t>bウ</t>
    <phoneticPr fontId="1"/>
  </si>
  <si>
    <t>OK</t>
    <phoneticPr fontId="1"/>
  </si>
  <si>
    <t>大きな変更が必要となった場合、プロジェクトの遅延に繋がる</t>
    <rPh sb="0" eb="1">
      <t>オオ</t>
    </rPh>
    <rPh sb="3" eb="5">
      <t>ヘンコウ</t>
    </rPh>
    <rPh sb="6" eb="8">
      <t>ヒツヨウ</t>
    </rPh>
    <rPh sb="12" eb="14">
      <t>バアイ</t>
    </rPh>
    <rPh sb="22" eb="24">
      <t>チエン</t>
    </rPh>
    <rPh sb="25" eb="26">
      <t>ツナ</t>
    </rPh>
    <phoneticPr fontId="1"/>
  </si>
  <si>
    <t>セキュリティ要件が満たされているかをレビューする。</t>
    <rPh sb="6" eb="8">
      <t>ヨウケン</t>
    </rPh>
    <rPh sb="9" eb="10">
      <t>ミ</t>
    </rPh>
    <phoneticPr fontId="1"/>
  </si>
  <si>
    <t>開発ガイドラインとコーディングルールに基づきコーディングされていることを確認する</t>
    <rPh sb="0" eb="2">
      <t>カイハツ</t>
    </rPh>
    <rPh sb="19" eb="20">
      <t>モト</t>
    </rPh>
    <rPh sb="36" eb="38">
      <t>カクニン</t>
    </rPh>
    <phoneticPr fontId="1"/>
  </si>
  <si>
    <t>データベースのテーブルとアカウントを顧客ごとに分離し、アクセス権を設定する</t>
    <rPh sb="18" eb="20">
      <t>コキャク</t>
    </rPh>
    <rPh sb="23" eb="25">
      <t>ブンリ</t>
    </rPh>
    <rPh sb="31" eb="32">
      <t>ケン</t>
    </rPh>
    <rPh sb="33" eb="35">
      <t>セッテイ</t>
    </rPh>
    <phoneticPr fontId="1"/>
  </si>
  <si>
    <t>システムテストが終了</t>
    <rPh sb="8" eb="10">
      <t>シュウリョウ</t>
    </rPh>
    <phoneticPr fontId="1"/>
  </si>
  <si>
    <t>Inetに接続して運用テスト</t>
    <rPh sb="5" eb="7">
      <t>セツゾク</t>
    </rPh>
    <rPh sb="9" eb="11">
      <t>ウンヨウ</t>
    </rPh>
    <phoneticPr fontId="1"/>
  </si>
  <si>
    <t>メンバがミドルウェアの脆弱性が公表</t>
    <rPh sb="11" eb="14">
      <t>ゼイジャクセイ</t>
    </rPh>
    <rPh sb="15" eb="17">
      <t>コウヒョウ</t>
    </rPh>
    <phoneticPr fontId="1"/>
  </si>
  <si>
    <t>ア</t>
    <phoneticPr fontId="1"/>
  </si>
  <si>
    <t>X社の標準開発プロセスに構成管理の収集を行うことを規定する。</t>
    <rPh sb="1" eb="2">
      <t>シャ</t>
    </rPh>
    <rPh sb="3" eb="7">
      <t>ヒョウジュンカイハツ</t>
    </rPh>
    <rPh sb="12" eb="14">
      <t>コウセイ</t>
    </rPh>
    <rPh sb="14" eb="16">
      <t>カンリ</t>
    </rPh>
    <rPh sb="17" eb="19">
      <t>シュウシュウ</t>
    </rPh>
    <rPh sb="20" eb="21">
      <t>オコナ</t>
    </rPh>
    <rPh sb="25" eb="27">
      <t>キテイ</t>
    </rPh>
    <phoneticPr fontId="1"/>
  </si>
  <si>
    <t>3-4</t>
    <phoneticPr fontId="1"/>
  </si>
  <si>
    <t>ミドルウェアを販売</t>
    <rPh sb="7" eb="9">
      <t>ハンバイ</t>
    </rPh>
    <phoneticPr fontId="1"/>
  </si>
  <si>
    <t>DCで社内システムを運用</t>
    <rPh sb="3" eb="5">
      <t>シャナイ</t>
    </rPh>
    <rPh sb="10" eb="12">
      <t>ウンヨウ</t>
    </rPh>
    <phoneticPr fontId="1"/>
  </si>
  <si>
    <t>資料データはデータ</t>
    <rPh sb="0" eb="2">
      <t>シリョウ</t>
    </rPh>
    <phoneticPr fontId="1"/>
  </si>
  <si>
    <t>秘密情報をふくむことがあるし各社開示はNG</t>
    <rPh sb="0" eb="4">
      <t>ヒミツジョウホウ</t>
    </rPh>
    <rPh sb="14" eb="16">
      <t>カクシャ</t>
    </rPh>
    <rPh sb="16" eb="18">
      <t>カイジ</t>
    </rPh>
    <phoneticPr fontId="1"/>
  </si>
  <si>
    <t>図1WEBSVにアクセス→DLする</t>
    <rPh sb="0" eb="1">
      <t>ズ</t>
    </rPh>
    <phoneticPr fontId="1"/>
  </si>
  <si>
    <t>広域イーサネットZ社が費用を負担する</t>
    <rPh sb="0" eb="2">
      <t>コウイキ</t>
    </rPh>
    <rPh sb="9" eb="10">
      <t>シャ</t>
    </rPh>
    <rPh sb="11" eb="13">
      <t>ヒヨウ</t>
    </rPh>
    <rPh sb="14" eb="16">
      <t>フタン</t>
    </rPh>
    <phoneticPr fontId="1"/>
  </si>
  <si>
    <t>データ転送方式</t>
    <rPh sb="3" eb="7">
      <t>テンソウホウシキ</t>
    </rPh>
    <phoneticPr fontId="1"/>
  </si>
  <si>
    <t>ベンダPCより共有サーバーにアクセスする</t>
    <rPh sb="7" eb="9">
      <t>キョウユウ</t>
    </rPh>
    <phoneticPr fontId="1"/>
  </si>
  <si>
    <t>aなりすまし</t>
    <phoneticPr fontId="1"/>
  </si>
  <si>
    <t>bクライアント認証</t>
    <rPh sb="7" eb="9">
      <t>ニンショウ</t>
    </rPh>
    <phoneticPr fontId="1"/>
  </si>
  <si>
    <t>c盗聴</t>
    <rPh sb="1" eb="3">
      <t>トウチョウ</t>
    </rPh>
    <phoneticPr fontId="1"/>
  </si>
  <si>
    <t>NG</t>
    <phoneticPr fontId="1"/>
  </si>
  <si>
    <t>通信ログの取得だけでなく作業内容を事後確認</t>
    <rPh sb="0" eb="2">
      <t>ツウシン</t>
    </rPh>
    <rPh sb="5" eb="7">
      <t>シュトク</t>
    </rPh>
    <rPh sb="12" eb="16">
      <t>サギョウナイヨウ</t>
    </rPh>
    <rPh sb="17" eb="21">
      <t>ジゴカクニン</t>
    </rPh>
    <phoneticPr fontId="1"/>
  </si>
  <si>
    <t>通信ログ、作業報告書</t>
    <rPh sb="0" eb="2">
      <t>ツウシン</t>
    </rPh>
    <rPh sb="5" eb="10">
      <t>サギョウホウコクショ</t>
    </rPh>
    <phoneticPr fontId="1"/>
  </si>
  <si>
    <t>OK</t>
    <phoneticPr fontId="1"/>
  </si>
  <si>
    <t>運用手順に対する修正内容</t>
    <rPh sb="0" eb="4">
      <t>ウンヨウテジュン</t>
    </rPh>
    <rPh sb="5" eb="6">
      <t>タイ</t>
    </rPh>
    <rPh sb="8" eb="12">
      <t>シュウセイナイヨウ</t>
    </rPh>
    <phoneticPr fontId="1"/>
  </si>
  <si>
    <t>通信ログの取得と保存だけでなく確認</t>
    <rPh sb="0" eb="2">
      <t>ツウシン</t>
    </rPh>
    <rPh sb="5" eb="7">
      <t>シュトク</t>
    </rPh>
    <rPh sb="8" eb="10">
      <t>ホゾン</t>
    </rPh>
    <rPh sb="15" eb="17">
      <t>カクニン</t>
    </rPh>
    <phoneticPr fontId="1"/>
  </si>
  <si>
    <t>保守担当者と運用担当者の利用者IDを分けておく</t>
    <rPh sb="0" eb="2">
      <t>ホシュ</t>
    </rPh>
    <rPh sb="2" eb="5">
      <t>タントウシャ</t>
    </rPh>
    <rPh sb="6" eb="11">
      <t>ウンヨウタントウシャ</t>
    </rPh>
    <rPh sb="12" eb="15">
      <t>リヨウシャ</t>
    </rPh>
    <rPh sb="18" eb="19">
      <t>ワ</t>
    </rPh>
    <phoneticPr fontId="1"/>
  </si>
  <si>
    <t>管理する側は誰がやったかをきっちりと識別できないといけない</t>
    <rPh sb="0" eb="2">
      <t>カンリ</t>
    </rPh>
    <rPh sb="4" eb="5">
      <t>ガワ</t>
    </rPh>
    <rPh sb="6" eb="7">
      <t>ダレ</t>
    </rPh>
    <rPh sb="18" eb="20">
      <t>シキベツ</t>
    </rPh>
    <phoneticPr fontId="1"/>
  </si>
  <si>
    <t>→IDは確実に別に分けておく</t>
    <rPh sb="4" eb="6">
      <t>カクジツ</t>
    </rPh>
    <rPh sb="7" eb="8">
      <t>ベツ</t>
    </rPh>
    <rPh sb="9" eb="10">
      <t>ワ</t>
    </rPh>
    <phoneticPr fontId="1"/>
  </si>
  <si>
    <t>各ベンダが所有するベンダPCの設定変更が必要となるため</t>
    <rPh sb="0" eb="1">
      <t>カク</t>
    </rPh>
    <rPh sb="5" eb="7">
      <t>ショユウ</t>
    </rPh>
    <rPh sb="15" eb="19">
      <t>セッテイヘンコウ</t>
    </rPh>
    <rPh sb="20" eb="22">
      <t>ヒツヨウ</t>
    </rPh>
    <phoneticPr fontId="1"/>
  </si>
  <si>
    <t>WAF</t>
    <phoneticPr fontId="1"/>
  </si>
  <si>
    <t>販売システム</t>
    <rPh sb="0" eb="2">
      <t>ハンバイ</t>
    </rPh>
    <phoneticPr fontId="1"/>
  </si>
  <si>
    <t>アウトソーシング</t>
    <phoneticPr fontId="1"/>
  </si>
  <si>
    <t>MW上のアプリが稼働</t>
    <rPh sb="2" eb="3">
      <t>ウエ</t>
    </rPh>
    <rPh sb="8" eb="10">
      <t>カドウ</t>
    </rPh>
    <phoneticPr fontId="1"/>
  </si>
  <si>
    <t>ログインIDF</t>
    <phoneticPr fontId="1"/>
  </si>
  <si>
    <t>販売システムのログインIDを保有しない</t>
    <rPh sb="0" eb="2">
      <t>ハンバイ</t>
    </rPh>
    <rPh sb="14" eb="16">
      <t>ホユウ</t>
    </rPh>
    <phoneticPr fontId="1"/>
  </si>
  <si>
    <t>修正PRG</t>
    <rPh sb="0" eb="2">
      <t>シュウセイ</t>
    </rPh>
    <phoneticPr fontId="1"/>
  </si>
  <si>
    <t>FWはパケットのヘッダ情報だけでアクセス制御を行うため</t>
    <rPh sb="11" eb="13">
      <t>ジョウホウ</t>
    </rPh>
    <rPh sb="20" eb="22">
      <t>セイギョ</t>
    </rPh>
    <rPh sb="23" eb="24">
      <t>オコナ</t>
    </rPh>
    <phoneticPr fontId="1"/>
  </si>
  <si>
    <t>クッキーの暗号化</t>
    <rPh sb="5" eb="8">
      <t>アンゴウカ</t>
    </rPh>
    <phoneticPr fontId="1"/>
  </si>
  <si>
    <t>シグネチャによる通信検査</t>
    <rPh sb="8" eb="10">
      <t>ツウシン</t>
    </rPh>
    <rPh sb="10" eb="12">
      <t>ケンサ</t>
    </rPh>
    <phoneticPr fontId="1"/>
  </si>
  <si>
    <t>複合語に有効なセッションIDとなる暗号文を攻撃者では生成できないため</t>
    <rPh sb="0" eb="3">
      <t>フクゴウゴ</t>
    </rPh>
    <rPh sb="4" eb="6">
      <t>ユウコウ</t>
    </rPh>
    <rPh sb="17" eb="20">
      <t>アンゴウブン</t>
    </rPh>
    <rPh sb="21" eb="24">
      <t>コウゲキシャ</t>
    </rPh>
    <rPh sb="26" eb="28">
      <t>セイセイ</t>
    </rPh>
    <phoneticPr fontId="1"/>
  </si>
  <si>
    <t>ウ</t>
    <phoneticPr fontId="1"/>
  </si>
  <si>
    <t>暗号化されたcookieを他webサーバーに転送する場合。</t>
    <rPh sb="0" eb="3">
      <t>アンゴウカ</t>
    </rPh>
    <rPh sb="13" eb="14">
      <t>ホカ</t>
    </rPh>
    <rPh sb="22" eb="24">
      <t>テンソウ</t>
    </rPh>
    <rPh sb="26" eb="28">
      <t>バアイ</t>
    </rPh>
    <phoneticPr fontId="1"/>
  </si>
  <si>
    <t>検出されたシグニチャに対して、WEBアプリが脆弱性がないことを確認する。</t>
    <rPh sb="0" eb="2">
      <t>ケンシュツ</t>
    </rPh>
    <rPh sb="11" eb="12">
      <t>タイ</t>
    </rPh>
    <rPh sb="22" eb="25">
      <t>ゼイジャクセイ</t>
    </rPh>
    <rPh sb="31" eb="33">
      <t>カクニン</t>
    </rPh>
    <phoneticPr fontId="1"/>
  </si>
  <si>
    <t>無効かするシグネチャで定義された攻撃の対象となる脆弱性がwebアプリケーションやミドルウェアに存在しないこと</t>
    <rPh sb="0" eb="2">
      <t>ムコウ</t>
    </rPh>
    <rPh sb="11" eb="13">
      <t>テイギ</t>
    </rPh>
    <rPh sb="16" eb="18">
      <t>コウゲキ</t>
    </rPh>
    <rPh sb="19" eb="21">
      <t>タイショウ</t>
    </rPh>
    <rPh sb="24" eb="27">
      <t>ゼイジャクセイ</t>
    </rPh>
    <rPh sb="47" eb="49">
      <t>ソンザイ</t>
    </rPh>
    <phoneticPr fontId="1"/>
  </si>
  <si>
    <t>通信内容が暗号化されていると、WAFが攻撃の検出をできなくなるため</t>
    <rPh sb="0" eb="4">
      <t>ツウシンナイヨウ</t>
    </rPh>
    <rPh sb="5" eb="8">
      <t>アンゴウカ</t>
    </rPh>
    <rPh sb="19" eb="21">
      <t>コウゲキ</t>
    </rPh>
    <rPh sb="22" eb="24">
      <t>ケンシュツ</t>
    </rPh>
    <phoneticPr fontId="1"/>
  </si>
  <si>
    <t>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</si>
</sst>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tabSelected="1" workbookViewId="0">
      <selection activeCell="K6" sqref="K6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58</v>
      </c>
      <c r="E2">
        <v>100</v>
      </c>
    </row>
    <row r="3" spans="1:6">
      <c r="A3">
        <v>2</v>
      </c>
      <c r="B3" s="2" t="s">
        <v>12</v>
      </c>
      <c r="C3" s="2" t="s">
        <v>31</v>
      </c>
      <c r="D3">
        <v>32</v>
      </c>
      <c r="E3">
        <v>50</v>
      </c>
    </row>
    <row r="4" spans="1:6">
      <c r="A4">
        <v>3</v>
      </c>
      <c r="B4" s="2" t="s">
        <v>12</v>
      </c>
      <c r="C4" s="2" t="s">
        <v>37</v>
      </c>
      <c r="D4">
        <v>29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F7F68-3ED8-47CB-8C68-FA1465CB84FE}">
  <sheetPr codeName="Sheet4"/>
  <dimension ref="A1:H167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8" sqref="F18"/>
    </sheetView>
  </sheetViews>
  <sheetFormatPr defaultRowHeight="18"/>
  <cols>
    <col min="1" max="1" width="9" style="2"/>
    <col min="2" max="2" width="96.8984375" style="1" customWidth="1"/>
    <col min="3" max="3" width="9.69921875" customWidth="1"/>
  </cols>
  <sheetData>
    <row r="1" spans="1:8">
      <c r="A1" s="2" t="s">
        <v>0</v>
      </c>
      <c r="B1" s="1" t="s">
        <v>13</v>
      </c>
    </row>
    <row r="2" spans="1:8">
      <c r="A2" s="2" t="s">
        <v>2</v>
      </c>
      <c r="B2" s="3" t="s">
        <v>15</v>
      </c>
      <c r="D2">
        <f>SUM(D4:D1000)</f>
        <v>58</v>
      </c>
      <c r="E2">
        <f>SUM(E4:E1000)</f>
        <v>100</v>
      </c>
    </row>
    <row r="3" spans="1:8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8">
      <c r="A4" s="2" t="s">
        <v>16</v>
      </c>
      <c r="B4" s="1" t="s">
        <v>41</v>
      </c>
      <c r="C4">
        <f>IF(B4&lt;&gt;"",LEN(B4),"")</f>
        <v>2</v>
      </c>
      <c r="D4">
        <v>0</v>
      </c>
      <c r="E4">
        <v>5</v>
      </c>
      <c r="F4" t="s">
        <v>43</v>
      </c>
    </row>
    <row r="5" spans="1:8">
      <c r="B5" s="1" t="s">
        <v>42</v>
      </c>
      <c r="C5">
        <f t="shared" ref="C5:C68" si="0">IF(B5&lt;&gt;"",LEN(B5),"")</f>
        <v>2</v>
      </c>
      <c r="D5">
        <v>5</v>
      </c>
      <c r="E5">
        <v>5</v>
      </c>
      <c r="H5" t="s">
        <v>38</v>
      </c>
    </row>
    <row r="6" spans="1:8">
      <c r="A6" s="2" t="s">
        <v>17</v>
      </c>
      <c r="B6" s="1" t="s">
        <v>44</v>
      </c>
      <c r="C6">
        <f t="shared" si="0"/>
        <v>28</v>
      </c>
      <c r="D6">
        <v>8</v>
      </c>
      <c r="E6">
        <v>8</v>
      </c>
      <c r="H6" t="s">
        <v>39</v>
      </c>
    </row>
    <row r="7" spans="1:8">
      <c r="A7" s="2" t="s">
        <v>18</v>
      </c>
      <c r="B7" s="1" t="s">
        <v>45</v>
      </c>
      <c r="C7">
        <f t="shared" si="0"/>
        <v>25</v>
      </c>
      <c r="D7">
        <v>0</v>
      </c>
      <c r="E7">
        <v>8</v>
      </c>
      <c r="F7" t="s">
        <v>43</v>
      </c>
      <c r="H7" t="s">
        <v>40</v>
      </c>
    </row>
    <row r="8" spans="1:8">
      <c r="A8" s="2" t="s">
        <v>19</v>
      </c>
      <c r="B8" s="1" t="s">
        <v>46</v>
      </c>
      <c r="C8">
        <f t="shared" si="0"/>
        <v>40</v>
      </c>
      <c r="D8">
        <v>0</v>
      </c>
      <c r="E8">
        <v>9</v>
      </c>
      <c r="F8" t="s">
        <v>43</v>
      </c>
    </row>
    <row r="9" spans="1:8">
      <c r="A9" s="2" t="s">
        <v>20</v>
      </c>
      <c r="C9" t="str">
        <f t="shared" si="0"/>
        <v/>
      </c>
      <c r="D9">
        <v>10</v>
      </c>
      <c r="E9">
        <v>10</v>
      </c>
      <c r="H9" t="s">
        <v>48</v>
      </c>
    </row>
    <row r="10" spans="1:8">
      <c r="A10" s="2" t="s">
        <v>21</v>
      </c>
      <c r="C10" t="str">
        <f t="shared" si="0"/>
        <v/>
      </c>
      <c r="D10">
        <v>10</v>
      </c>
      <c r="E10">
        <v>10</v>
      </c>
      <c r="H10" t="s">
        <v>49</v>
      </c>
    </row>
    <row r="11" spans="1:8">
      <c r="A11" s="2" t="s">
        <v>22</v>
      </c>
      <c r="B11" s="1" t="s">
        <v>47</v>
      </c>
      <c r="C11">
        <f t="shared" si="0"/>
        <v>37</v>
      </c>
      <c r="D11">
        <v>0</v>
      </c>
      <c r="E11">
        <v>10</v>
      </c>
      <c r="F11" t="s">
        <v>43</v>
      </c>
      <c r="H11" t="s">
        <v>50</v>
      </c>
    </row>
    <row r="12" spans="1:8">
      <c r="A12" s="2" t="s">
        <v>23</v>
      </c>
      <c r="C12" t="str">
        <f t="shared" si="0"/>
        <v/>
      </c>
      <c r="D12">
        <v>10</v>
      </c>
      <c r="E12">
        <v>10</v>
      </c>
    </row>
    <row r="13" spans="1:8">
      <c r="A13" s="2" t="s">
        <v>25</v>
      </c>
      <c r="C13" t="s">
        <v>51</v>
      </c>
      <c r="D13">
        <v>0</v>
      </c>
      <c r="E13">
        <v>5</v>
      </c>
      <c r="F13" t="s">
        <v>43</v>
      </c>
    </row>
    <row r="14" spans="1:8">
      <c r="A14" s="2" t="s">
        <v>24</v>
      </c>
      <c r="C14" t="str">
        <f t="shared" si="0"/>
        <v/>
      </c>
      <c r="D14">
        <v>10</v>
      </c>
      <c r="E14">
        <v>10</v>
      </c>
    </row>
    <row r="15" spans="1:8">
      <c r="A15" s="2" t="s">
        <v>26</v>
      </c>
      <c r="B15" s="1" t="s">
        <v>52</v>
      </c>
      <c r="C15">
        <f t="shared" si="0"/>
        <v>30</v>
      </c>
      <c r="D15">
        <v>5</v>
      </c>
      <c r="E15">
        <v>10</v>
      </c>
      <c r="F15" t="s">
        <v>43</v>
      </c>
    </row>
    <row r="16" spans="1:8">
      <c r="C16" t="str">
        <f t="shared" si="0"/>
        <v/>
      </c>
    </row>
    <row r="17" spans="2:3">
      <c r="B17" s="1" t="s">
        <v>27</v>
      </c>
      <c r="C17">
        <f t="shared" si="0"/>
        <v>5</v>
      </c>
    </row>
    <row r="18" spans="2:3">
      <c r="C18" t="str">
        <f t="shared" si="0"/>
        <v/>
      </c>
    </row>
    <row r="19" spans="2:3">
      <c r="C19" t="str">
        <f t="shared" si="0"/>
        <v/>
      </c>
    </row>
    <row r="20" spans="2:3">
      <c r="C20" t="str">
        <f t="shared" si="0"/>
        <v/>
      </c>
    </row>
    <row r="21" spans="2:3">
      <c r="C21" t="str">
        <f t="shared" si="0"/>
        <v/>
      </c>
    </row>
    <row r="22" spans="2:3">
      <c r="C22" t="str">
        <f t="shared" si="0"/>
        <v/>
      </c>
    </row>
    <row r="23" spans="2:3">
      <c r="C23" t="str">
        <f t="shared" si="0"/>
        <v/>
      </c>
    </row>
    <row r="24" spans="2:3">
      <c r="C24" t="str">
        <f t="shared" si="0"/>
        <v/>
      </c>
    </row>
    <row r="25" spans="2:3">
      <c r="C25" t="str">
        <f t="shared" si="0"/>
        <v/>
      </c>
    </row>
    <row r="26" spans="2:3">
      <c r="C26" t="str">
        <f t="shared" si="0"/>
        <v/>
      </c>
    </row>
    <row r="27" spans="2:3">
      <c r="C27" t="str">
        <f t="shared" si="0"/>
        <v/>
      </c>
    </row>
    <row r="28" spans="2:3">
      <c r="C28" t="str">
        <f t="shared" si="0"/>
        <v/>
      </c>
    </row>
    <row r="29" spans="2:3">
      <c r="C29" t="str">
        <f t="shared" si="0"/>
        <v/>
      </c>
    </row>
    <row r="30" spans="2:3">
      <c r="C30" t="str">
        <f t="shared" si="0"/>
        <v/>
      </c>
    </row>
    <row r="31" spans="2:3">
      <c r="C31" t="str">
        <f t="shared" si="0"/>
        <v/>
      </c>
    </row>
    <row r="32" spans="2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D8F86-7F10-4FB6-B1D9-0EFCDC43E34F}">
  <sheetPr codeName="Sheet5"/>
  <dimension ref="A1:M167"/>
  <sheetViews>
    <sheetView zoomScale="85" zoomScaleNormal="85" workbookViewId="0">
      <pane xSplit="1" ySplit="3" topLeftCell="D4" activePane="bottomRight" state="frozen"/>
      <selection pane="topRight" activeCell="B1" sqref="B1"/>
      <selection pane="bottomLeft" activeCell="A4" sqref="A4"/>
      <selection pane="bottomRight" activeCell="M12" sqref="M12"/>
    </sheetView>
  </sheetViews>
  <sheetFormatPr defaultRowHeight="18"/>
  <cols>
    <col min="1" max="1" width="9" style="2"/>
    <col min="2" max="2" width="96.8984375" style="1" customWidth="1"/>
    <col min="3" max="3" width="9.69921875" customWidth="1"/>
  </cols>
  <sheetData>
    <row r="1" spans="1:13">
      <c r="A1" s="2" t="s">
        <v>0</v>
      </c>
      <c r="B1" s="1" t="s">
        <v>13</v>
      </c>
    </row>
    <row r="2" spans="1:13">
      <c r="A2" s="2" t="s">
        <v>2</v>
      </c>
      <c r="B2" s="3" t="s">
        <v>28</v>
      </c>
      <c r="D2">
        <f>SUM(D4:D1000)</f>
        <v>32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16</v>
      </c>
      <c r="B4" s="1" t="s">
        <v>62</v>
      </c>
      <c r="C4">
        <f>IF(B4&lt;&gt;"",LEN(B4),"")</f>
        <v>6</v>
      </c>
      <c r="D4">
        <v>4</v>
      </c>
      <c r="E4">
        <v>4</v>
      </c>
    </row>
    <row r="5" spans="1:13">
      <c r="B5" s="1" t="s">
        <v>63</v>
      </c>
      <c r="C5">
        <f t="shared" ref="C5:C68" si="0">IF(B5&lt;&gt;"",LEN(B5),"")</f>
        <v>9</v>
      </c>
      <c r="D5">
        <v>0</v>
      </c>
      <c r="E5">
        <v>4</v>
      </c>
      <c r="F5" t="s">
        <v>65</v>
      </c>
      <c r="I5" t="s">
        <v>66</v>
      </c>
      <c r="M5" t="s">
        <v>75</v>
      </c>
    </row>
    <row r="6" spans="1:13">
      <c r="B6" s="1" t="s">
        <v>64</v>
      </c>
      <c r="C6">
        <f t="shared" si="0"/>
        <v>3</v>
      </c>
      <c r="D6">
        <v>4</v>
      </c>
      <c r="E6">
        <v>4</v>
      </c>
      <c r="M6" t="s">
        <v>76</v>
      </c>
    </row>
    <row r="7" spans="1:13">
      <c r="A7" s="2" t="s">
        <v>17</v>
      </c>
      <c r="C7" t="str">
        <f t="shared" si="0"/>
        <v/>
      </c>
      <c r="D7">
        <v>6</v>
      </c>
      <c r="E7">
        <v>6</v>
      </c>
      <c r="I7" t="s">
        <v>69</v>
      </c>
      <c r="M7" t="s">
        <v>77</v>
      </c>
    </row>
    <row r="8" spans="1:13">
      <c r="A8" s="2" t="s">
        <v>18</v>
      </c>
      <c r="C8" t="str">
        <f t="shared" si="0"/>
        <v/>
      </c>
      <c r="D8">
        <v>6</v>
      </c>
      <c r="E8">
        <v>6</v>
      </c>
      <c r="I8" t="s">
        <v>70</v>
      </c>
      <c r="M8" t="s">
        <v>78</v>
      </c>
    </row>
    <row r="9" spans="1:13">
      <c r="A9" s="2" t="s">
        <v>20</v>
      </c>
      <c r="B9" s="1" t="s">
        <v>67</v>
      </c>
      <c r="C9">
        <f t="shared" si="0"/>
        <v>10</v>
      </c>
      <c r="D9">
        <v>6</v>
      </c>
      <c r="E9">
        <v>6</v>
      </c>
      <c r="F9" t="s">
        <v>68</v>
      </c>
      <c r="M9" t="s">
        <v>79</v>
      </c>
    </row>
    <row r="10" spans="1:13">
      <c r="A10" s="4" t="s">
        <v>21</v>
      </c>
      <c r="B10" s="1" t="s">
        <v>71</v>
      </c>
      <c r="C10">
        <f t="shared" si="0"/>
        <v>23</v>
      </c>
      <c r="D10">
        <v>0</v>
      </c>
      <c r="E10">
        <v>6</v>
      </c>
      <c r="F10" t="s">
        <v>65</v>
      </c>
      <c r="G10" t="s">
        <v>72</v>
      </c>
      <c r="M10" t="s">
        <v>80</v>
      </c>
    </row>
    <row r="11" spans="1:13">
      <c r="A11" s="2" t="s">
        <v>29</v>
      </c>
      <c r="C11" t="str">
        <f t="shared" si="0"/>
        <v/>
      </c>
      <c r="D11">
        <v>6</v>
      </c>
      <c r="E11">
        <v>6</v>
      </c>
      <c r="G11" t="s">
        <v>73</v>
      </c>
      <c r="M11" t="s">
        <v>81</v>
      </c>
    </row>
    <row r="12" spans="1:13">
      <c r="A12" s="4" t="s">
        <v>30</v>
      </c>
      <c r="B12" s="1" t="s">
        <v>74</v>
      </c>
      <c r="C12">
        <f t="shared" si="0"/>
        <v>27</v>
      </c>
      <c r="D12">
        <v>0</v>
      </c>
      <c r="E12">
        <v>8</v>
      </c>
      <c r="F12" t="s">
        <v>65</v>
      </c>
    </row>
    <row r="13" spans="1:13">
      <c r="C13" t="str">
        <f t="shared" si="0"/>
        <v/>
      </c>
    </row>
    <row r="14" spans="1:13">
      <c r="C14" t="str">
        <f t="shared" si="0"/>
        <v/>
      </c>
    </row>
    <row r="15" spans="1:13">
      <c r="C15" t="str">
        <f t="shared" si="0"/>
        <v/>
      </c>
    </row>
    <row r="16" spans="1:13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0E882-201D-4BD1-8285-03621B939C55}">
  <sheetPr codeName="Sheet6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5" sqref="B5"/>
    </sheetView>
  </sheetViews>
  <sheetFormatPr defaultRowHeight="18"/>
  <cols>
    <col min="1" max="1" width="9" style="2"/>
    <col min="2" max="2" width="96.8984375" style="1" customWidth="1"/>
    <col min="3" max="3" width="9.699218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32</v>
      </c>
      <c r="D2">
        <f>SUM(D4:D1000)</f>
        <v>29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16</v>
      </c>
      <c r="B4" s="1" t="s">
        <v>91</v>
      </c>
      <c r="C4">
        <f>IF(B4&lt;&gt;"",LEN(B4),"")</f>
        <v>1</v>
      </c>
      <c r="D4">
        <v>5</v>
      </c>
      <c r="E4">
        <v>5</v>
      </c>
    </row>
    <row r="5" spans="1:11">
      <c r="A5" s="2" t="s">
        <v>33</v>
      </c>
      <c r="B5" s="1" t="s">
        <v>82</v>
      </c>
      <c r="C5">
        <f t="shared" ref="C5:C68" si="0">IF(B5&lt;&gt;"",LEN(B5),"")</f>
        <v>27</v>
      </c>
      <c r="D5">
        <v>8</v>
      </c>
      <c r="E5">
        <v>8</v>
      </c>
      <c r="F5" t="s">
        <v>65</v>
      </c>
      <c r="G5" t="s">
        <v>54</v>
      </c>
      <c r="I5" t="s">
        <v>58</v>
      </c>
      <c r="K5" t="s">
        <v>83</v>
      </c>
    </row>
    <row r="6" spans="1:11">
      <c r="A6" s="4" t="s">
        <v>34</v>
      </c>
      <c r="B6" s="1" t="s">
        <v>85</v>
      </c>
      <c r="C6">
        <f t="shared" si="0"/>
        <v>34</v>
      </c>
      <c r="D6">
        <v>0</v>
      </c>
      <c r="E6">
        <v>8</v>
      </c>
      <c r="F6" t="s">
        <v>65</v>
      </c>
      <c r="G6" t="s">
        <v>55</v>
      </c>
      <c r="I6" t="s">
        <v>59</v>
      </c>
      <c r="K6" t="s">
        <v>84</v>
      </c>
    </row>
    <row r="7" spans="1:11">
      <c r="A7" s="4" t="s">
        <v>35</v>
      </c>
      <c r="B7" s="1" t="s">
        <v>86</v>
      </c>
      <c r="C7">
        <f t="shared" si="0"/>
        <v>1</v>
      </c>
      <c r="D7">
        <v>0</v>
      </c>
      <c r="E7">
        <v>5</v>
      </c>
      <c r="G7" t="s">
        <v>56</v>
      </c>
    </row>
    <row r="8" spans="1:11">
      <c r="A8" s="2" t="s">
        <v>36</v>
      </c>
      <c r="B8" s="1" t="s">
        <v>87</v>
      </c>
      <c r="C8">
        <f t="shared" si="0"/>
        <v>29</v>
      </c>
      <c r="D8">
        <v>8</v>
      </c>
      <c r="E8">
        <v>8</v>
      </c>
      <c r="G8" t="s">
        <v>57</v>
      </c>
    </row>
    <row r="9" spans="1:11">
      <c r="A9" s="4" t="s">
        <v>53</v>
      </c>
      <c r="B9" s="1" t="s">
        <v>88</v>
      </c>
      <c r="C9">
        <f t="shared" si="0"/>
        <v>36</v>
      </c>
      <c r="D9">
        <v>0</v>
      </c>
      <c r="E9">
        <v>8</v>
      </c>
      <c r="F9" t="s">
        <v>65</v>
      </c>
      <c r="G9" t="s">
        <v>60</v>
      </c>
    </row>
    <row r="10" spans="1:11">
      <c r="A10" s="2" t="s">
        <v>30</v>
      </c>
      <c r="B10" s="1" t="s">
        <v>90</v>
      </c>
      <c r="C10">
        <f t="shared" si="0"/>
        <v>33</v>
      </c>
      <c r="D10">
        <v>8</v>
      </c>
      <c r="E10">
        <v>8</v>
      </c>
      <c r="G10" t="s">
        <v>61</v>
      </c>
    </row>
    <row r="11" spans="1:11">
      <c r="B11"/>
      <c r="C11" t="str">
        <f t="shared" si="0"/>
        <v/>
      </c>
    </row>
    <row r="12" spans="1:11">
      <c r="B12" s="1" t="s">
        <v>89</v>
      </c>
      <c r="C12">
        <f t="shared" si="0"/>
        <v>54</v>
      </c>
    </row>
    <row r="13" spans="1:11">
      <c r="C13" t="str">
        <f t="shared" si="0"/>
        <v/>
      </c>
    </row>
    <row r="14" spans="1:11">
      <c r="C14" t="str">
        <f t="shared" si="0"/>
        <v/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2025-02-09T11:59:13Z</dcterms:modified>
</cp:coreProperties>
</file>