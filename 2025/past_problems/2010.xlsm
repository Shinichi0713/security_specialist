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BD68BF40-C164-4F14-B780-D7D6C6940D8D}" xr6:coauthVersionLast="47" xr6:coauthVersionMax="47" xr10:uidLastSave="{00000000-0000-0000-0000-000000000000}"/>
  <bookViews>
    <workbookView xWindow="4815" yWindow="990" windowWidth="15570" windowHeight="1440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  <sheet name="7" sheetId="11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1" l="1"/>
  <c r="D11" i="11"/>
  <c r="D10" i="11"/>
  <c r="D9" i="11"/>
  <c r="D8" i="11"/>
  <c r="D7" i="11"/>
  <c r="D6" i="11"/>
  <c r="D5" i="11"/>
  <c r="D2" i="11" s="1"/>
  <c r="D4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E2" i="11"/>
  <c r="D13" i="10"/>
  <c r="D12" i="10"/>
  <c r="D11" i="10"/>
  <c r="D10" i="10"/>
  <c r="D9" i="10"/>
  <c r="D8" i="10"/>
  <c r="D7" i="10"/>
  <c r="D6" i="10"/>
  <c r="D5" i="10"/>
  <c r="D2" i="10" s="1"/>
  <c r="D4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2" i="10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2" i="9" s="1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<sst xmlns="http://schemas.openxmlformats.org/spreadsheetml/2006/main" count="355" uniqueCount="248">
  <si>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</si>
  <si>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</si>
  <si>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</si>
  <si>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</si>
  <si>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</si>
  <si>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</si>
  <si>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</si>
  <si>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</si>
  <si>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</si>
  <si>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</si>
  <si>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</si>
  <si>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</si>
  <si>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2010-秋</t>
  </si>
  <si>
    <t>2010-秋</t>
    <rPh sb="5" eb="6">
      <t>アキ</t>
    </rPh>
    <phoneticPr fontId="1"/>
  </si>
  <si>
    <t>PM2</t>
  </si>
  <si>
    <t>PM2</t>
    <phoneticPr fontId="1"/>
  </si>
  <si>
    <t>1</t>
    <phoneticPr fontId="1"/>
  </si>
  <si>
    <t>2-(1)</t>
    <phoneticPr fontId="1"/>
  </si>
  <si>
    <t>2-(2)</t>
    <phoneticPr fontId="1"/>
  </si>
  <si>
    <t>2-(3)</t>
    <phoneticPr fontId="1"/>
  </si>
  <si>
    <t>3-(1)</t>
    <phoneticPr fontId="1"/>
  </si>
  <si>
    <t>3-(2)</t>
    <phoneticPr fontId="1"/>
  </si>
  <si>
    <t>4-(1)</t>
    <phoneticPr fontId="1"/>
  </si>
  <si>
    <t>4-(2)</t>
    <phoneticPr fontId="1"/>
  </si>
  <si>
    <t>5-(2)</t>
    <phoneticPr fontId="1"/>
  </si>
  <si>
    <t>5-(1)</t>
    <phoneticPr fontId="1"/>
  </si>
  <si>
    <t>5-(3)</t>
    <phoneticPr fontId="1"/>
  </si>
  <si>
    <t>間違い直し</t>
    <rPh sb="0" eb="2">
      <t>マチガ</t>
    </rPh>
    <rPh sb="3" eb="4">
      <t>ナオ</t>
    </rPh>
    <phoneticPr fontId="1"/>
  </si>
  <si>
    <t>PM1-1</t>
    <phoneticPr fontId="1"/>
  </si>
  <si>
    <t>3-(3)</t>
    <phoneticPr fontId="1"/>
  </si>
  <si>
    <t>4</t>
    <phoneticPr fontId="1"/>
  </si>
  <si>
    <t>PM1-1</t>
  </si>
  <si>
    <t>PM1-2</t>
    <phoneticPr fontId="1"/>
  </si>
  <si>
    <t>2</t>
    <phoneticPr fontId="1"/>
  </si>
  <si>
    <t>3-1</t>
    <phoneticPr fontId="1"/>
  </si>
  <si>
    <t>3-2</t>
    <phoneticPr fontId="1"/>
  </si>
  <si>
    <t>3-3</t>
    <phoneticPr fontId="1"/>
  </si>
  <si>
    <t>PM1-2</t>
  </si>
  <si>
    <t>勤怠管理システム</t>
    <rPh sb="0" eb="2">
      <t>キンタイ</t>
    </rPh>
    <rPh sb="2" eb="4">
      <t>カンリ</t>
    </rPh>
    <phoneticPr fontId="1"/>
  </si>
  <si>
    <t>勤怠データは店舗ごとに管理</t>
    <rPh sb="0" eb="2">
      <t>キンタイ</t>
    </rPh>
    <rPh sb="6" eb="8">
      <t>テンポ</t>
    </rPh>
    <rPh sb="11" eb="13">
      <t>カンリ</t>
    </rPh>
    <phoneticPr fontId="1"/>
  </si>
  <si>
    <t>FWのアクセス制御</t>
    <rPh sb="7" eb="9">
      <t>セイギョ</t>
    </rPh>
    <phoneticPr fontId="1"/>
  </si>
  <si>
    <t>aア</t>
    <phoneticPr fontId="1"/>
  </si>
  <si>
    <t>bウ</t>
    <phoneticPr fontId="1"/>
  </si>
  <si>
    <t>OK</t>
    <phoneticPr fontId="1"/>
  </si>
  <si>
    <t>大きな変更が必要となった場合、プロジェクトの遅延に繋がる</t>
    <rPh sb="0" eb="1">
      <t>オオ</t>
    </rPh>
    <rPh sb="3" eb="5">
      <t>ヘンコウ</t>
    </rPh>
    <rPh sb="6" eb="8">
      <t>ヒツヨウ</t>
    </rPh>
    <rPh sb="12" eb="14">
      <t>バアイ</t>
    </rPh>
    <rPh sb="22" eb="24">
      <t>チエン</t>
    </rPh>
    <rPh sb="25" eb="26">
      <t>ツナ</t>
    </rPh>
    <phoneticPr fontId="1"/>
  </si>
  <si>
    <t>セキュリティ要件が満たされているかをレビューする。</t>
    <rPh sb="6" eb="8">
      <t>ヨウケン</t>
    </rPh>
    <rPh sb="9" eb="10">
      <t>ミ</t>
    </rPh>
    <phoneticPr fontId="1"/>
  </si>
  <si>
    <t>開発ガイドラインとコーディングルールに基づきコーディングされていることを確認する</t>
    <rPh sb="0" eb="2">
      <t>カイハツ</t>
    </rPh>
    <rPh sb="19" eb="20">
      <t>モト</t>
    </rPh>
    <rPh sb="36" eb="38">
      <t>カクニン</t>
    </rPh>
    <phoneticPr fontId="1"/>
  </si>
  <si>
    <t>データベースのテーブルとアカウントを顧客ごとに分離し、アクセス権を設定する</t>
    <rPh sb="18" eb="20">
      <t>コキャク</t>
    </rPh>
    <rPh sb="23" eb="25">
      <t>ブンリ</t>
    </rPh>
    <rPh sb="31" eb="32">
      <t>ケン</t>
    </rPh>
    <rPh sb="33" eb="35">
      <t>セッテイ</t>
    </rPh>
    <phoneticPr fontId="1"/>
  </si>
  <si>
    <t>システムテストが終了</t>
    <rPh sb="8" eb="10">
      <t>シュウリョウ</t>
    </rPh>
    <phoneticPr fontId="1"/>
  </si>
  <si>
    <t>Inetに接続して運用テスト</t>
    <rPh sb="5" eb="7">
      <t>セツゾク</t>
    </rPh>
    <rPh sb="9" eb="11">
      <t>ウンヨウ</t>
    </rPh>
    <phoneticPr fontId="1"/>
  </si>
  <si>
    <t>メンバがミドルウェアの脆弱性が公表</t>
    <rPh sb="11" eb="14">
      <t>ゼイジャクセイ</t>
    </rPh>
    <rPh sb="15" eb="17">
      <t>コウヒョウ</t>
    </rPh>
    <phoneticPr fontId="1"/>
  </si>
  <si>
    <t>ア</t>
    <phoneticPr fontId="1"/>
  </si>
  <si>
    <t>X社の標準開発プロセスに構成管理の収集を行うことを規定する。</t>
    <rPh sb="1" eb="2">
      <t>シャ</t>
    </rPh>
    <rPh sb="3" eb="7">
      <t>ヒョウジュンカイハツ</t>
    </rPh>
    <rPh sb="12" eb="14">
      <t>コウセイ</t>
    </rPh>
    <rPh sb="14" eb="16">
      <t>カンリ</t>
    </rPh>
    <rPh sb="17" eb="19">
      <t>シュウシュウ</t>
    </rPh>
    <rPh sb="20" eb="21">
      <t>オコナ</t>
    </rPh>
    <rPh sb="25" eb="27">
      <t>キテイ</t>
    </rPh>
    <phoneticPr fontId="1"/>
  </si>
  <si>
    <t>3-4</t>
    <phoneticPr fontId="1"/>
  </si>
  <si>
    <t>ミドルウェアを販売</t>
    <rPh sb="7" eb="9">
      <t>ハンバイ</t>
    </rPh>
    <phoneticPr fontId="1"/>
  </si>
  <si>
    <t>DCで社内システムを運用</t>
    <rPh sb="3" eb="5">
      <t>シャナイ</t>
    </rPh>
    <rPh sb="10" eb="12">
      <t>ウンヨウ</t>
    </rPh>
    <phoneticPr fontId="1"/>
  </si>
  <si>
    <t>資料データはデータ</t>
    <rPh sb="0" eb="2">
      <t>シリョウ</t>
    </rPh>
    <phoneticPr fontId="1"/>
  </si>
  <si>
    <t>秘密情報をふくむことがあるし各社開示はNG</t>
    <rPh sb="0" eb="4">
      <t>ヒミツジョウホウ</t>
    </rPh>
    <rPh sb="14" eb="16">
      <t>カクシャ</t>
    </rPh>
    <rPh sb="16" eb="18">
      <t>カイジ</t>
    </rPh>
    <phoneticPr fontId="1"/>
  </si>
  <si>
    <t>図1WEBSVにアクセス→DLする</t>
    <rPh sb="0" eb="1">
      <t>ズ</t>
    </rPh>
    <phoneticPr fontId="1"/>
  </si>
  <si>
    <t>広域イーサネットZ社が費用を負担する</t>
    <rPh sb="0" eb="2">
      <t>コウイキ</t>
    </rPh>
    <rPh sb="9" eb="10">
      <t>シャ</t>
    </rPh>
    <rPh sb="11" eb="13">
      <t>ヒヨウ</t>
    </rPh>
    <rPh sb="14" eb="16">
      <t>フタン</t>
    </rPh>
    <phoneticPr fontId="1"/>
  </si>
  <si>
    <t>データ転送方式</t>
    <rPh sb="3" eb="7">
      <t>テンソウホウシキ</t>
    </rPh>
    <phoneticPr fontId="1"/>
  </si>
  <si>
    <t>ベンダPCより共有サーバーにアクセスする</t>
    <rPh sb="7" eb="9">
      <t>キョウユウ</t>
    </rPh>
    <phoneticPr fontId="1"/>
  </si>
  <si>
    <t>aなりすまし</t>
    <phoneticPr fontId="1"/>
  </si>
  <si>
    <t>bクライアント認証</t>
    <rPh sb="7" eb="9">
      <t>ニンショウ</t>
    </rPh>
    <phoneticPr fontId="1"/>
  </si>
  <si>
    <t>c盗聴</t>
    <rPh sb="1" eb="3">
      <t>トウチョウ</t>
    </rPh>
    <phoneticPr fontId="1"/>
  </si>
  <si>
    <t>NG</t>
    <phoneticPr fontId="1"/>
  </si>
  <si>
    <t>通信ログの取得だけでなく作業内容を事後確認</t>
    <rPh sb="0" eb="2">
      <t>ツウシン</t>
    </rPh>
    <rPh sb="5" eb="7">
      <t>シュトク</t>
    </rPh>
    <rPh sb="12" eb="16">
      <t>サギョウナイヨウ</t>
    </rPh>
    <rPh sb="17" eb="21">
      <t>ジゴカクニン</t>
    </rPh>
    <phoneticPr fontId="1"/>
  </si>
  <si>
    <t>通信ログ、作業報告書</t>
    <rPh sb="0" eb="2">
      <t>ツウシン</t>
    </rPh>
    <rPh sb="5" eb="10">
      <t>サギョウホウコクショ</t>
    </rPh>
    <phoneticPr fontId="1"/>
  </si>
  <si>
    <t>OK</t>
    <phoneticPr fontId="1"/>
  </si>
  <si>
    <t>運用手順に対する修正内容</t>
    <rPh sb="0" eb="4">
      <t>ウンヨウテジュン</t>
    </rPh>
    <rPh sb="5" eb="6">
      <t>タイ</t>
    </rPh>
    <rPh sb="8" eb="12">
      <t>シュウセイナイヨウ</t>
    </rPh>
    <phoneticPr fontId="1"/>
  </si>
  <si>
    <t>通信ログの取得と保存だけでなく確認</t>
    <rPh sb="0" eb="2">
      <t>ツウシン</t>
    </rPh>
    <rPh sb="5" eb="7">
      <t>シュトク</t>
    </rPh>
    <rPh sb="8" eb="10">
      <t>ホゾン</t>
    </rPh>
    <rPh sb="15" eb="17">
      <t>カクニン</t>
    </rPh>
    <phoneticPr fontId="1"/>
  </si>
  <si>
    <t>保守担当者と運用担当者の利用者IDを分けておく</t>
    <rPh sb="0" eb="2">
      <t>ホシュ</t>
    </rPh>
    <rPh sb="2" eb="5">
      <t>タントウシャ</t>
    </rPh>
    <rPh sb="6" eb="11">
      <t>ウンヨウタントウシャ</t>
    </rPh>
    <rPh sb="12" eb="15">
      <t>リヨウシャ</t>
    </rPh>
    <rPh sb="18" eb="19">
      <t>ワ</t>
    </rPh>
    <phoneticPr fontId="1"/>
  </si>
  <si>
    <t>管理する側は誰がやったかをきっちりと識別できないといけない</t>
    <rPh sb="0" eb="2">
      <t>カンリ</t>
    </rPh>
    <rPh sb="4" eb="5">
      <t>ガワ</t>
    </rPh>
    <rPh sb="6" eb="7">
      <t>ダレ</t>
    </rPh>
    <rPh sb="18" eb="20">
      <t>シキベツ</t>
    </rPh>
    <phoneticPr fontId="1"/>
  </si>
  <si>
    <t>→IDは確実に別に分けておく</t>
    <rPh sb="4" eb="6">
      <t>カクジツ</t>
    </rPh>
    <rPh sb="7" eb="8">
      <t>ベツ</t>
    </rPh>
    <rPh sb="9" eb="10">
      <t>ワ</t>
    </rPh>
    <phoneticPr fontId="1"/>
  </si>
  <si>
    <t>各ベンダが所有するベンダPCの設定変更が必要となるため</t>
    <rPh sb="0" eb="1">
      <t>カク</t>
    </rPh>
    <rPh sb="5" eb="7">
      <t>ショユウ</t>
    </rPh>
    <rPh sb="15" eb="19">
      <t>セッテイヘンコウ</t>
    </rPh>
    <rPh sb="20" eb="22">
      <t>ヒツヨウ</t>
    </rPh>
    <phoneticPr fontId="1"/>
  </si>
  <si>
    <t>WAF</t>
    <phoneticPr fontId="1"/>
  </si>
  <si>
    <t>販売システム</t>
    <rPh sb="0" eb="2">
      <t>ハンバイ</t>
    </rPh>
    <phoneticPr fontId="1"/>
  </si>
  <si>
    <t>アウトソーシング</t>
    <phoneticPr fontId="1"/>
  </si>
  <si>
    <t>MW上のアプリが稼働</t>
    <rPh sb="2" eb="3">
      <t>ウエ</t>
    </rPh>
    <rPh sb="8" eb="10">
      <t>カドウ</t>
    </rPh>
    <phoneticPr fontId="1"/>
  </si>
  <si>
    <t>ログインIDF</t>
    <phoneticPr fontId="1"/>
  </si>
  <si>
    <t>販売システムのログインIDを保有しない</t>
    <rPh sb="0" eb="2">
      <t>ハンバイ</t>
    </rPh>
    <rPh sb="14" eb="16">
      <t>ホユウ</t>
    </rPh>
    <phoneticPr fontId="1"/>
  </si>
  <si>
    <t>修正PRG</t>
    <rPh sb="0" eb="2">
      <t>シュウセイ</t>
    </rPh>
    <phoneticPr fontId="1"/>
  </si>
  <si>
    <t>FWはパケットのヘッダ情報だけでアクセス制御を行うため</t>
    <rPh sb="11" eb="13">
      <t>ジョウホウ</t>
    </rPh>
    <rPh sb="20" eb="22">
      <t>セイギョ</t>
    </rPh>
    <rPh sb="23" eb="24">
      <t>オコナ</t>
    </rPh>
    <phoneticPr fontId="1"/>
  </si>
  <si>
    <t>クッキーの暗号化</t>
    <rPh sb="5" eb="8">
      <t>アンゴウカ</t>
    </rPh>
    <phoneticPr fontId="1"/>
  </si>
  <si>
    <t>シグネチャによる通信検査</t>
    <rPh sb="8" eb="10">
      <t>ツウシン</t>
    </rPh>
    <rPh sb="10" eb="12">
      <t>ケンサ</t>
    </rPh>
    <phoneticPr fontId="1"/>
  </si>
  <si>
    <t>複合語に有効なセッションIDとなる暗号文を攻撃者では生成できないため</t>
    <rPh sb="0" eb="3">
      <t>フクゴウゴ</t>
    </rPh>
    <rPh sb="4" eb="6">
      <t>ユウコウ</t>
    </rPh>
    <rPh sb="17" eb="20">
      <t>アンゴウブン</t>
    </rPh>
    <rPh sb="21" eb="24">
      <t>コウゲキシャ</t>
    </rPh>
    <rPh sb="26" eb="28">
      <t>セイセイ</t>
    </rPh>
    <phoneticPr fontId="1"/>
  </si>
  <si>
    <t>ウ</t>
    <phoneticPr fontId="1"/>
  </si>
  <si>
    <t>暗号化されたcookieを他webサーバーに転送する場合。</t>
    <rPh sb="0" eb="3">
      <t>アンゴウカ</t>
    </rPh>
    <rPh sb="13" eb="14">
      <t>ホカ</t>
    </rPh>
    <rPh sb="22" eb="24">
      <t>テンソウ</t>
    </rPh>
    <rPh sb="26" eb="28">
      <t>バアイ</t>
    </rPh>
    <phoneticPr fontId="1"/>
  </si>
  <si>
    <t>検出されたシグニチャに対して、WEBアプリが脆弱性がないことを確認する。</t>
    <rPh sb="0" eb="2">
      <t>ケンシュツ</t>
    </rPh>
    <rPh sb="11" eb="12">
      <t>タイ</t>
    </rPh>
    <rPh sb="22" eb="25">
      <t>ゼイジャクセイ</t>
    </rPh>
    <rPh sb="31" eb="33">
      <t>カクニン</t>
    </rPh>
    <phoneticPr fontId="1"/>
  </si>
  <si>
    <t>無効かするシグネチャで定義された攻撃の対象となる脆弱性がwebアプリケーションやミドルウェアに存在しないこと</t>
    <rPh sb="0" eb="2">
      <t>ムコウ</t>
    </rPh>
    <rPh sb="11" eb="13">
      <t>テイギ</t>
    </rPh>
    <rPh sb="16" eb="18">
      <t>コウゲキ</t>
    </rPh>
    <rPh sb="19" eb="21">
      <t>タイショウ</t>
    </rPh>
    <rPh sb="24" eb="27">
      <t>ゼイジャクセイ</t>
    </rPh>
    <rPh sb="47" eb="49">
      <t>ソンザイ</t>
    </rPh>
    <phoneticPr fontId="1"/>
  </si>
  <si>
    <t>通信内容が暗号化されていると、WAFが攻撃の検出をできなくなるため</t>
    <rPh sb="0" eb="4">
      <t>ツウシンナイヨウ</t>
    </rPh>
    <rPh sb="5" eb="8">
      <t>アンゴウカ</t>
    </rPh>
    <rPh sb="19" eb="21">
      <t>コウゲキ</t>
    </rPh>
    <rPh sb="22" eb="24">
      <t>ケンシュツ</t>
    </rPh>
    <phoneticPr fontId="1"/>
  </si>
  <si>
    <t>エ</t>
    <phoneticPr fontId="1"/>
  </si>
  <si>
    <t>PM1-3</t>
    <phoneticPr fontId="1"/>
  </si>
  <si>
    <t>E社</t>
    <rPh sb="1" eb="2">
      <t>シャ</t>
    </rPh>
    <phoneticPr fontId="1"/>
  </si>
  <si>
    <t>商社</t>
    <rPh sb="0" eb="2">
      <t>ショウシャ</t>
    </rPh>
    <phoneticPr fontId="1"/>
  </si>
  <si>
    <t>販売管理</t>
    <rPh sb="0" eb="2">
      <t>ハンバイ</t>
    </rPh>
    <rPh sb="2" eb="4">
      <t>カンリ</t>
    </rPh>
    <phoneticPr fontId="1"/>
  </si>
  <si>
    <t>Eシステム</t>
    <phoneticPr fontId="1"/>
  </si>
  <si>
    <t>UIDはサブシステムごとに独自</t>
    <rPh sb="13" eb="15">
      <t>ドクジ</t>
    </rPh>
    <phoneticPr fontId="1"/>
  </si>
  <si>
    <t>UID管理はサブシステムごと</t>
    <rPh sb="3" eb="5">
      <t>カンリ</t>
    </rPh>
    <phoneticPr fontId="1"/>
  </si>
  <si>
    <t>プロジェクトチームでは連携</t>
    <rPh sb="11" eb="13">
      <t>レンケイ</t>
    </rPh>
    <phoneticPr fontId="1"/>
  </si>
  <si>
    <t>システム管理UID</t>
    <rPh sb="4" eb="6">
      <t>カンリ</t>
    </rPh>
    <phoneticPr fontId="1"/>
  </si>
  <si>
    <t>パスワード</t>
    <phoneticPr fontId="1"/>
  </si>
  <si>
    <t>人事イベントのUID</t>
    <rPh sb="0" eb="2">
      <t>ジンジ</t>
    </rPh>
    <phoneticPr fontId="1"/>
  </si>
  <si>
    <t>1-(1)</t>
    <phoneticPr fontId="1"/>
  </si>
  <si>
    <t>a:無効</t>
    <rPh sb="2" eb="4">
      <t>ムコウ</t>
    </rPh>
    <phoneticPr fontId="1"/>
  </si>
  <si>
    <t>b:有効</t>
    <rPh sb="2" eb="4">
      <t>ユウコウ</t>
    </rPh>
    <phoneticPr fontId="1"/>
  </si>
  <si>
    <t>1-(2)</t>
    <phoneticPr fontId="1"/>
  </si>
  <si>
    <t>UIDの発行</t>
    <rPh sb="4" eb="6">
      <t>ハッコウ</t>
    </rPh>
    <phoneticPr fontId="1"/>
  </si>
  <si>
    <t>72hいないにPWを設定</t>
    <rPh sb="10" eb="12">
      <t>セッテイ</t>
    </rPh>
    <phoneticPr fontId="1"/>
  </si>
  <si>
    <t>一時停止</t>
    <rPh sb="0" eb="4">
      <t>イチジテイシ</t>
    </rPh>
    <phoneticPr fontId="1"/>
  </si>
  <si>
    <t>c:不許可</t>
    <rPh sb="2" eb="5">
      <t>フキョカ</t>
    </rPh>
    <phoneticPr fontId="1"/>
  </si>
  <si>
    <t>d:パスワードを設定してください</t>
    <rPh sb="8" eb="10">
      <t>セッテイ</t>
    </rPh>
    <phoneticPr fontId="1"/>
  </si>
  <si>
    <t>1-(3)</t>
    <phoneticPr fontId="1"/>
  </si>
  <si>
    <t>24時間の経過</t>
    <rPh sb="2" eb="4">
      <t>ジカン</t>
    </rPh>
    <rPh sb="5" eb="7">
      <t>ケイカ</t>
    </rPh>
    <phoneticPr fontId="1"/>
  </si>
  <si>
    <t>プロジェクトチームで管理</t>
    <rPh sb="10" eb="12">
      <t>カンリ</t>
    </rPh>
    <phoneticPr fontId="1"/>
  </si>
  <si>
    <t>サブシステム</t>
    <phoneticPr fontId="1"/>
  </si>
  <si>
    <t>プロジェクトチーム</t>
    <phoneticPr fontId="1"/>
  </si>
  <si>
    <t>UID管理</t>
    <rPh sb="3" eb="5">
      <t>カンリ</t>
    </rPh>
    <phoneticPr fontId="1"/>
  </si>
  <si>
    <t>派遣社員</t>
    <rPh sb="0" eb="4">
      <t>ハケンシャイン</t>
    </rPh>
    <phoneticPr fontId="1"/>
  </si>
  <si>
    <t>満了</t>
    <rPh sb="0" eb="2">
      <t>マンリョウ</t>
    </rPh>
    <phoneticPr fontId="1"/>
  </si>
  <si>
    <t>新規発行</t>
    <rPh sb="0" eb="4">
      <t>シンキハッコウ</t>
    </rPh>
    <phoneticPr fontId="1"/>
  </si>
  <si>
    <t>派遣契約の状態値</t>
    <rPh sb="0" eb="4">
      <t>ハケンケイヤク</t>
    </rPh>
    <rPh sb="5" eb="7">
      <t>ジョウタイ</t>
    </rPh>
    <rPh sb="7" eb="8">
      <t>アタイ</t>
    </rPh>
    <phoneticPr fontId="1"/>
  </si>
  <si>
    <t>一定の時間がかかる</t>
    <rPh sb="0" eb="2">
      <t>イッテイ</t>
    </rPh>
    <rPh sb="3" eb="5">
      <t>ジカン</t>
    </rPh>
    <phoneticPr fontId="1"/>
  </si>
  <si>
    <t>４か月</t>
    <rPh sb="2" eb="3">
      <t>ゲツ</t>
    </rPh>
    <phoneticPr fontId="1"/>
  </si>
  <si>
    <t>万ア両前解除</t>
    <rPh sb="0" eb="1">
      <t>マン</t>
    </rPh>
    <rPh sb="2" eb="4">
      <t>リョウマエ</t>
    </rPh>
    <rPh sb="4" eb="6">
      <t>カイジョ</t>
    </rPh>
    <phoneticPr fontId="1"/>
  </si>
  <si>
    <t>UIDを取得できる</t>
    <rPh sb="4" eb="6">
      <t>シュトク</t>
    </rPh>
    <phoneticPr fontId="1"/>
  </si>
  <si>
    <t>確実に削除できる</t>
    <rPh sb="0" eb="2">
      <t>カクジツ</t>
    </rPh>
    <rPh sb="3" eb="5">
      <t>サクジョ</t>
    </rPh>
    <phoneticPr fontId="1"/>
  </si>
  <si>
    <t>契約期間と、UIDの状態値が無効化されたものを検知する</t>
    <rPh sb="0" eb="4">
      <t>ケイヤクキカン</t>
    </rPh>
    <rPh sb="10" eb="13">
      <t>ジョウタイチ</t>
    </rPh>
    <rPh sb="14" eb="16">
      <t>ムコウ</t>
    </rPh>
    <rPh sb="16" eb="17">
      <t>バ</t>
    </rPh>
    <rPh sb="23" eb="25">
      <t>ケンチ</t>
    </rPh>
    <phoneticPr fontId="1"/>
  </si>
  <si>
    <t>3</t>
    <phoneticPr fontId="1"/>
  </si>
  <si>
    <t>他人のUIDでログイン試行を５回行った後、本人になりすましてアカウント再発行を行う</t>
    <rPh sb="0" eb="2">
      <t>タニン</t>
    </rPh>
    <rPh sb="11" eb="13">
      <t>シコウ</t>
    </rPh>
    <rPh sb="15" eb="16">
      <t>カイ</t>
    </rPh>
    <rPh sb="16" eb="17">
      <t>オコナ</t>
    </rPh>
    <rPh sb="19" eb="20">
      <t>アト</t>
    </rPh>
    <rPh sb="21" eb="23">
      <t>ホンニン</t>
    </rPh>
    <rPh sb="35" eb="38">
      <t>サイハッコウ</t>
    </rPh>
    <rPh sb="39" eb="40">
      <t>オコナ</t>
    </rPh>
    <phoneticPr fontId="1"/>
  </si>
  <si>
    <t>４</t>
    <phoneticPr fontId="1"/>
  </si>
  <si>
    <t>上司が申請する。</t>
    <rPh sb="0" eb="2">
      <t>ジョウシ</t>
    </rPh>
    <rPh sb="3" eb="5">
      <t>シンセイ</t>
    </rPh>
    <phoneticPr fontId="1"/>
  </si>
  <si>
    <t>Xソフトウェア</t>
    <phoneticPr fontId="1"/>
  </si>
  <si>
    <t>事業自社開発、ＯＳＳ</t>
    <rPh sb="0" eb="2">
      <t>ジギョウ</t>
    </rPh>
    <rPh sb="2" eb="6">
      <t>ジシャカイハツ</t>
    </rPh>
    <phoneticPr fontId="1"/>
  </si>
  <si>
    <t>HWとSW</t>
    <phoneticPr fontId="1"/>
  </si>
  <si>
    <t>情報セキュリティ委員会</t>
    <rPh sb="0" eb="2">
      <t>ジョウホウ</t>
    </rPh>
    <rPh sb="8" eb="11">
      <t>イインカイ</t>
    </rPh>
    <phoneticPr fontId="1"/>
  </si>
  <si>
    <t>ポリシの策定</t>
    <rPh sb="4" eb="6">
      <t>サクテイ</t>
    </rPh>
    <phoneticPr fontId="1"/>
  </si>
  <si>
    <t>情報市捨てうやネットワークを自社で企画</t>
    <rPh sb="0" eb="2">
      <t>ジョウホウ</t>
    </rPh>
    <rPh sb="2" eb="4">
      <t>シス</t>
    </rPh>
    <rPh sb="14" eb="16">
      <t>ジシャ</t>
    </rPh>
    <rPh sb="17" eb="19">
      <t>キカク</t>
    </rPh>
    <phoneticPr fontId="1"/>
  </si>
  <si>
    <t>セキュリティ確保</t>
    <rPh sb="6" eb="8">
      <t>カクホ</t>
    </rPh>
    <phoneticPr fontId="1"/>
  </si>
  <si>
    <t>LANで接続</t>
    <rPh sb="4" eb="6">
      <t>セツゾク</t>
    </rPh>
    <phoneticPr fontId="1"/>
  </si>
  <si>
    <t>グループウェア</t>
    <phoneticPr fontId="1"/>
  </si>
  <si>
    <t>業務システムと情報システム</t>
    <rPh sb="0" eb="2">
      <t>ギョウム</t>
    </rPh>
    <rPh sb="7" eb="9">
      <t>ジョウホウ</t>
    </rPh>
    <phoneticPr fontId="1"/>
  </si>
  <si>
    <t>開発システム</t>
    <rPh sb="0" eb="2">
      <t>カイハツ</t>
    </rPh>
    <phoneticPr fontId="1"/>
  </si>
  <si>
    <t>OSSのセキュリティパッチ取得</t>
    <rPh sb="13" eb="15">
      <t>シュトク</t>
    </rPh>
    <phoneticPr fontId="1"/>
  </si>
  <si>
    <t>NPC紛失</t>
    <rPh sb="3" eb="5">
      <t>フンシツ</t>
    </rPh>
    <phoneticPr fontId="1"/>
  </si>
  <si>
    <t>インシデントダメ</t>
    <phoneticPr fontId="1"/>
  </si>
  <si>
    <t>2010-春</t>
  </si>
  <si>
    <t>2010-春</t>
    <rPh sb="5" eb="6">
      <t>ハル</t>
    </rPh>
    <phoneticPr fontId="1"/>
  </si>
  <si>
    <t>PM2-2</t>
  </si>
  <si>
    <t>PM2-2</t>
    <phoneticPr fontId="1"/>
  </si>
  <si>
    <t>a:プライバシーマーク</t>
    <phoneticPr fontId="1"/>
  </si>
  <si>
    <t>b:JPCERT</t>
    <phoneticPr fontId="1"/>
  </si>
  <si>
    <t>JPCERT</t>
    <phoneticPr fontId="1"/>
  </si>
  <si>
    <t>IRT</t>
    <phoneticPr fontId="1"/>
  </si>
  <si>
    <t>原因究明を主体的かつ組織的に行うことが期待できるため。</t>
    <rPh sb="0" eb="2">
      <t>ゲンイン</t>
    </rPh>
    <rPh sb="2" eb="4">
      <t>キュウメイ</t>
    </rPh>
    <rPh sb="5" eb="8">
      <t>シュタイテキ</t>
    </rPh>
    <rPh sb="10" eb="13">
      <t>ソシキテキ</t>
    </rPh>
    <rPh sb="14" eb="15">
      <t>オコナ</t>
    </rPh>
    <rPh sb="19" eb="21">
      <t>キタイ</t>
    </rPh>
    <phoneticPr fontId="1"/>
  </si>
  <si>
    <t>インシデント対応</t>
    <rPh sb="6" eb="8">
      <t>タイオウ</t>
    </rPh>
    <phoneticPr fontId="1"/>
  </si>
  <si>
    <t>紛失、改ざん、漏洩</t>
    <rPh sb="0" eb="2">
      <t>フンシツ</t>
    </rPh>
    <rPh sb="3" eb="4">
      <t>カイ</t>
    </rPh>
    <rPh sb="7" eb="9">
      <t>ロウエイ</t>
    </rPh>
    <phoneticPr fontId="1"/>
  </si>
  <si>
    <t>改ざん、漏洩</t>
    <rPh sb="0" eb="1">
      <t>カイ</t>
    </rPh>
    <rPh sb="4" eb="6">
      <t>ロウエイ</t>
    </rPh>
    <phoneticPr fontId="1"/>
  </si>
  <si>
    <t>対応マニュアル</t>
    <rPh sb="0" eb="2">
      <t>タイオウ</t>
    </rPh>
    <phoneticPr fontId="1"/>
  </si>
  <si>
    <t>対応すべきインシデント</t>
    <rPh sb="0" eb="2">
      <t>タイオウ</t>
    </rPh>
    <phoneticPr fontId="1"/>
  </si>
  <si>
    <t>IRTで対応すべきインシデント</t>
    <rPh sb="4" eb="6">
      <t>タイオウ</t>
    </rPh>
    <phoneticPr fontId="1"/>
  </si>
  <si>
    <t>IRT組織</t>
    <rPh sb="3" eb="5">
      <t>ソシキ</t>
    </rPh>
    <phoneticPr fontId="1"/>
  </si>
  <si>
    <t>期間との連携</t>
    <rPh sb="0" eb="2">
      <t>キカン</t>
    </rPh>
    <rPh sb="4" eb="6">
      <t>レンケイ</t>
    </rPh>
    <phoneticPr fontId="1"/>
  </si>
  <si>
    <t>脆弱性情報やセキュリティパッチ</t>
    <rPh sb="0" eb="3">
      <t>ゼイジャクセイ</t>
    </rPh>
    <rPh sb="3" eb="5">
      <t>ジョウホウ</t>
    </rPh>
    <phoneticPr fontId="1"/>
  </si>
  <si>
    <t>従業員にインシデント対応</t>
    <rPh sb="0" eb="3">
      <t>ジュウギョウイン</t>
    </rPh>
    <rPh sb="10" eb="12">
      <t>タイオウ</t>
    </rPh>
    <phoneticPr fontId="1"/>
  </si>
  <si>
    <t>自社のソフトウェアが出荷された後に起こった異常、不具合。</t>
    <rPh sb="0" eb="2">
      <t>ジシャ</t>
    </rPh>
    <rPh sb="10" eb="12">
      <t>シュッカ</t>
    </rPh>
    <rPh sb="15" eb="16">
      <t>アト</t>
    </rPh>
    <rPh sb="17" eb="18">
      <t>オ</t>
    </rPh>
    <rPh sb="21" eb="23">
      <t>イジョウ</t>
    </rPh>
    <rPh sb="24" eb="27">
      <t>フグアイ</t>
    </rPh>
    <phoneticPr fontId="1"/>
  </si>
  <si>
    <t>ポリシ策定</t>
    <rPh sb="3" eb="5">
      <t>サクテイ</t>
    </rPh>
    <phoneticPr fontId="1"/>
  </si>
  <si>
    <t>セキュリティ対策</t>
    <rPh sb="6" eb="8">
      <t>タイサク</t>
    </rPh>
    <phoneticPr fontId="1"/>
  </si>
  <si>
    <t>構成管理</t>
    <rPh sb="0" eb="2">
      <t>コウセイ</t>
    </rPh>
    <rPh sb="2" eb="4">
      <t>カンリ</t>
    </rPh>
    <phoneticPr fontId="1"/>
  </si>
  <si>
    <t>ログ管理がダメ</t>
    <rPh sb="2" eb="4">
      <t>カンリ</t>
    </rPh>
    <phoneticPr fontId="1"/>
  </si>
  <si>
    <t>取得するべきログの内容、取得すべき機器。</t>
    <rPh sb="0" eb="2">
      <t>シュトク</t>
    </rPh>
    <rPh sb="9" eb="11">
      <t>ナイヨウ</t>
    </rPh>
    <rPh sb="12" eb="14">
      <t>シュトク</t>
    </rPh>
    <rPh sb="17" eb="19">
      <t>キキ</t>
    </rPh>
    <phoneticPr fontId="1"/>
  </si>
  <si>
    <t>インシデントの報告</t>
    <rPh sb="7" eb="9">
      <t>ホウコク</t>
    </rPh>
    <phoneticPr fontId="1"/>
  </si>
  <si>
    <t>外部に対して公開する情報の真正性を保証する</t>
    <rPh sb="0" eb="2">
      <t>ガイブ</t>
    </rPh>
    <rPh sb="3" eb="4">
      <t>タイ</t>
    </rPh>
    <rPh sb="6" eb="8">
      <t>コウカイ</t>
    </rPh>
    <rPh sb="10" eb="12">
      <t>ジョウホウ</t>
    </rPh>
    <rPh sb="13" eb="15">
      <t>シンセイ</t>
    </rPh>
    <rPh sb="15" eb="16">
      <t>セイ</t>
    </rPh>
    <rPh sb="17" eb="19">
      <t>ホショウ</t>
    </rPh>
    <phoneticPr fontId="1"/>
  </si>
  <si>
    <t>DMZにIPSを導入</t>
    <rPh sb="8" eb="10">
      <t>ドウニュウ</t>
    </rPh>
    <phoneticPr fontId="1"/>
  </si>
  <si>
    <t>ID</t>
    <phoneticPr fontId="1"/>
  </si>
  <si>
    <t>脅威</t>
    <rPh sb="0" eb="2">
      <t>キョウイ</t>
    </rPh>
    <phoneticPr fontId="1"/>
  </si>
  <si>
    <t>ログ</t>
    <phoneticPr fontId="1"/>
  </si>
  <si>
    <t>c:検出</t>
    <rPh sb="2" eb="4">
      <t>ケンシュツ</t>
    </rPh>
    <phoneticPr fontId="1"/>
  </si>
  <si>
    <t>d:OSコマンドを直接操作</t>
    <rPh sb="9" eb="11">
      <t>チョクセツ</t>
    </rPh>
    <rPh sb="11" eb="13">
      <t>ソウサ</t>
    </rPh>
    <phoneticPr fontId="1"/>
  </si>
  <si>
    <t>e:redirect</t>
    <phoneticPr fontId="1"/>
  </si>
  <si>
    <t>WEBサーバーがメールの不正な中継に利用される可能性。</t>
    <rPh sb="12" eb="14">
      <t>フセイ</t>
    </rPh>
    <rPh sb="15" eb="17">
      <t>チュウケイ</t>
    </rPh>
    <rPh sb="18" eb="20">
      <t>リヨウ</t>
    </rPh>
    <rPh sb="23" eb="26">
      <t>カノウセイ</t>
    </rPh>
    <phoneticPr fontId="1"/>
  </si>
  <si>
    <t>警告メールが多すぎて、本当に危険な内容の見分けがつかなくなる。</t>
    <rPh sb="0" eb="2">
      <t>ケイコク</t>
    </rPh>
    <rPh sb="6" eb="7">
      <t>オオ</t>
    </rPh>
    <rPh sb="11" eb="13">
      <t>ホントウ</t>
    </rPh>
    <rPh sb="14" eb="16">
      <t>キケン</t>
    </rPh>
    <rPh sb="17" eb="19">
      <t>ナイヨウ</t>
    </rPh>
    <rPh sb="20" eb="22">
      <t>ミワ</t>
    </rPh>
    <phoneticPr fontId="1"/>
  </si>
  <si>
    <t>通信を許可しても、システム側に対策が取られている。</t>
    <rPh sb="0" eb="2">
      <t>ツウシン</t>
    </rPh>
    <rPh sb="3" eb="5">
      <t>キョカ</t>
    </rPh>
    <rPh sb="13" eb="14">
      <t>ガワ</t>
    </rPh>
    <rPh sb="15" eb="17">
      <t>タイサク</t>
    </rPh>
    <rPh sb="18" eb="19">
      <t>ト</t>
    </rPh>
    <phoneticPr fontId="1"/>
  </si>
  <si>
    <t>シャットダウン</t>
    <phoneticPr fontId="1"/>
  </si>
  <si>
    <t>HDD複製</t>
    <rPh sb="3" eb="5">
      <t>フクセイ</t>
    </rPh>
    <phoneticPr fontId="1"/>
  </si>
  <si>
    <t>外部からWEBサーバーを操作される可能性があるため</t>
    <rPh sb="0" eb="2">
      <t>ガイブ</t>
    </rPh>
    <rPh sb="12" eb="14">
      <t>ソウサ</t>
    </rPh>
    <rPh sb="17" eb="20">
      <t>カノウセイ</t>
    </rPh>
    <phoneticPr fontId="1"/>
  </si>
  <si>
    <t>解析されていることを検出すると、内容を変更するマルウェアの可能性があるため</t>
    <rPh sb="0" eb="2">
      <t>カイセキ</t>
    </rPh>
    <rPh sb="10" eb="12">
      <t>ケンシュツ</t>
    </rPh>
    <rPh sb="16" eb="18">
      <t>ナイヨウ</t>
    </rPh>
    <rPh sb="19" eb="21">
      <t>ヘンコウ</t>
    </rPh>
    <rPh sb="29" eb="32">
      <t>カノウセイ</t>
    </rPh>
    <phoneticPr fontId="1"/>
  </si>
  <si>
    <t>ボットに感染</t>
    <rPh sb="4" eb="6">
      <t>カンセン</t>
    </rPh>
    <phoneticPr fontId="1"/>
  </si>
  <si>
    <t>Inewttと通信</t>
    <rPh sb="7" eb="9">
      <t>ツウシン</t>
    </rPh>
    <phoneticPr fontId="1"/>
  </si>
  <si>
    <t>教育を図る</t>
    <rPh sb="0" eb="2">
      <t>キョウイク</t>
    </rPh>
    <rPh sb="3" eb="4">
      <t>ハカ</t>
    </rPh>
    <phoneticPr fontId="1"/>
  </si>
  <si>
    <t>IRTは改善計画に沿ってマニュアル作成</t>
    <rPh sb="4" eb="6">
      <t>カイゼン</t>
    </rPh>
    <rPh sb="6" eb="8">
      <t>ケイカク</t>
    </rPh>
    <rPh sb="9" eb="10">
      <t>ソ</t>
    </rPh>
    <rPh sb="17" eb="19">
      <t>サクセイ</t>
    </rPh>
    <phoneticPr fontId="1"/>
  </si>
  <si>
    <t>5</t>
    <phoneticPr fontId="1"/>
  </si>
  <si>
    <t>・開発系システムの構成情報が最新に保たれていなかった</t>
    <rPh sb="1" eb="4">
      <t>カイハツケイ</t>
    </rPh>
    <rPh sb="9" eb="13">
      <t>コウセイジョウホウ</t>
    </rPh>
    <rPh sb="14" eb="16">
      <t>サイシン</t>
    </rPh>
    <rPh sb="17" eb="18">
      <t>タモ</t>
    </rPh>
    <phoneticPr fontId="1"/>
  </si>
  <si>
    <t>作成したシステムの構成情報を最新に保ち、セキュリティパッチの適用を継続的に実施する。</t>
    <rPh sb="0" eb="2">
      <t>サクセイ</t>
    </rPh>
    <rPh sb="9" eb="11">
      <t>コウセイ</t>
    </rPh>
    <rPh sb="11" eb="13">
      <t>ジョウホウ</t>
    </rPh>
    <rPh sb="14" eb="16">
      <t>サイシン</t>
    </rPh>
    <rPh sb="17" eb="18">
      <t>タモ</t>
    </rPh>
    <rPh sb="30" eb="32">
      <t>テキヨウ</t>
    </rPh>
    <rPh sb="33" eb="36">
      <t>ケイゾクテキ</t>
    </rPh>
    <rPh sb="37" eb="39">
      <t>ジッシ</t>
    </rPh>
    <phoneticPr fontId="1"/>
  </si>
  <si>
    <t>・サーバーの電源が発覚直後にシャットダウンされた。</t>
    <rPh sb="6" eb="8">
      <t>デンゲン</t>
    </rPh>
    <rPh sb="9" eb="13">
      <t>ハッカクチョクゴ</t>
    </rPh>
    <phoneticPr fontId="1"/>
  </si>
  <si>
    <t>インシデントが発生した場合の、メモリ情報取得などの事後対応を実施する。</t>
    <rPh sb="7" eb="9">
      <t>ハッセイ</t>
    </rPh>
    <rPh sb="11" eb="13">
      <t>バアイ</t>
    </rPh>
    <rPh sb="18" eb="20">
      <t>ジョウホウ</t>
    </rPh>
    <rPh sb="20" eb="22">
      <t>シュトク</t>
    </rPh>
    <rPh sb="25" eb="29">
      <t>ジゴタイオウ</t>
    </rPh>
    <rPh sb="30" eb="32">
      <t>ジッシ</t>
    </rPh>
    <phoneticPr fontId="1"/>
  </si>
  <si>
    <t>PM1</t>
  </si>
  <si>
    <t>データ暗号化とBK</t>
    <rPh sb="3" eb="6">
      <t>アンゴウカ</t>
    </rPh>
    <phoneticPr fontId="1"/>
  </si>
  <si>
    <t>医薬品</t>
    <rPh sb="0" eb="3">
      <t>イヤクヒン</t>
    </rPh>
    <phoneticPr fontId="1"/>
  </si>
  <si>
    <t>データ消失</t>
    <rPh sb="3" eb="5">
      <t>ショウシツ</t>
    </rPh>
    <phoneticPr fontId="1"/>
  </si>
  <si>
    <t>機密漏洩</t>
    <rPh sb="0" eb="2">
      <t>キミツ</t>
    </rPh>
    <rPh sb="2" eb="4">
      <t>ロウエイ</t>
    </rPh>
    <phoneticPr fontId="1"/>
  </si>
  <si>
    <t>情報システム</t>
    <rPh sb="0" eb="2">
      <t>ジョウホウ</t>
    </rPh>
    <phoneticPr fontId="1"/>
  </si>
  <si>
    <t>大将となるデータ</t>
    <rPh sb="0" eb="2">
      <t>タイショウ</t>
    </rPh>
    <phoneticPr fontId="1"/>
  </si>
  <si>
    <t>顧客データ</t>
    <rPh sb="0" eb="2">
      <t>コキャク</t>
    </rPh>
    <phoneticPr fontId="1"/>
  </si>
  <si>
    <t>注文データ</t>
    <rPh sb="0" eb="2">
      <t>チュウモン</t>
    </rPh>
    <phoneticPr fontId="1"/>
  </si>
  <si>
    <t>原価データ</t>
    <rPh sb="0" eb="2">
      <t>ゲンカ</t>
    </rPh>
    <phoneticPr fontId="1"/>
  </si>
  <si>
    <t>Eメール</t>
    <phoneticPr fontId="1"/>
  </si>
  <si>
    <t>a:ア</t>
    <phoneticPr fontId="1"/>
  </si>
  <si>
    <t>b:オ</t>
    <phoneticPr fontId="1"/>
  </si>
  <si>
    <t>c:カ</t>
    <phoneticPr fontId="1"/>
  </si>
  <si>
    <t>ウ、ア</t>
    <phoneticPr fontId="1"/>
  </si>
  <si>
    <t>2Wいないに復旧</t>
    <rPh sb="6" eb="8">
      <t>フッキュウ</t>
    </rPh>
    <phoneticPr fontId="1"/>
  </si>
  <si>
    <t>BK完了</t>
    <rPh sb="2" eb="4">
      <t>カンリョウ</t>
    </rPh>
    <phoneticPr fontId="1"/>
  </si>
  <si>
    <t>テープを未使用</t>
    <rPh sb="4" eb="7">
      <t>ミシヨウ</t>
    </rPh>
    <phoneticPr fontId="1"/>
  </si>
  <si>
    <t>BK</t>
    <phoneticPr fontId="1"/>
  </si>
  <si>
    <t>バックアップを本社を郵送する際にテープが盗難にあう。</t>
    <rPh sb="7" eb="9">
      <t>ホンシャ</t>
    </rPh>
    <rPh sb="10" eb="12">
      <t>ユウソウ</t>
    </rPh>
    <rPh sb="14" eb="15">
      <t>サイ</t>
    </rPh>
    <rPh sb="20" eb="22">
      <t>トウナン</t>
    </rPh>
    <phoneticPr fontId="1"/>
  </si>
  <si>
    <t>漏洩リスクが高くなる可能性</t>
    <rPh sb="0" eb="2">
      <t>ロウエイ</t>
    </rPh>
    <rPh sb="6" eb="7">
      <t>タカ</t>
    </rPh>
    <rPh sb="10" eb="13">
      <t>カノウセイ</t>
    </rPh>
    <phoneticPr fontId="1"/>
  </si>
  <si>
    <t>サーバーを本社に導入して本社内でバックアップを取得するようにする</t>
    <rPh sb="5" eb="7">
      <t>ホンシャ</t>
    </rPh>
    <rPh sb="8" eb="10">
      <t>ドウニュウ</t>
    </rPh>
    <rPh sb="12" eb="14">
      <t>ホンシャ</t>
    </rPh>
    <rPh sb="14" eb="15">
      <t>ナイ</t>
    </rPh>
    <rPh sb="23" eb="25">
      <t>シュトク</t>
    </rPh>
    <phoneticPr fontId="1"/>
  </si>
  <si>
    <t>バックアップ方式→で＾－多確認</t>
    <rPh sb="6" eb="8">
      <t>ホウシキ</t>
    </rPh>
    <rPh sb="12" eb="13">
      <t>タ</t>
    </rPh>
    <rPh sb="13" eb="15">
      <t>カクニン</t>
    </rPh>
    <phoneticPr fontId="1"/>
  </si>
  <si>
    <t>パイロット運用</t>
    <rPh sb="5" eb="7">
      <t>ウンヨウ</t>
    </rPh>
    <phoneticPr fontId="1"/>
  </si>
  <si>
    <t>a,c</t>
    <phoneticPr fontId="1"/>
  </si>
  <si>
    <t>メールを復号するための秘密鍵がなくなってしまっているため。</t>
    <rPh sb="4" eb="6">
      <t>フクゴウ</t>
    </rPh>
    <rPh sb="11" eb="14">
      <t>ヒミツカギ</t>
    </rPh>
    <phoneticPr fontId="1"/>
  </si>
  <si>
    <t>メールサーバーでメール保護する場合、メールは復号化して保存する。</t>
    <rPh sb="11" eb="13">
      <t>ホゴ</t>
    </rPh>
    <rPh sb="15" eb="17">
      <t>バアイ</t>
    </rPh>
    <rPh sb="22" eb="25">
      <t>フクゴウカ</t>
    </rPh>
    <rPh sb="27" eb="29">
      <t>ホゾン</t>
    </rPh>
    <phoneticPr fontId="1"/>
  </si>
  <si>
    <t>PM1-4</t>
  </si>
  <si>
    <t>PM1-4</t>
    <phoneticPr fontId="1"/>
  </si>
  <si>
    <t>K</t>
    <phoneticPr fontId="1"/>
  </si>
  <si>
    <t>DMZ</t>
    <phoneticPr fontId="1"/>
  </si>
  <si>
    <t>内部ネットワーク</t>
    <rPh sb="0" eb="2">
      <t>ナイブ</t>
    </rPh>
    <phoneticPr fontId="1"/>
  </si>
  <si>
    <t>社内ネット</t>
    <rPh sb="0" eb="2">
      <t>シャナイ</t>
    </rPh>
    <phoneticPr fontId="1"/>
  </si>
  <si>
    <t>動作が思い</t>
    <rPh sb="0" eb="2">
      <t>ドウサ</t>
    </rPh>
    <rPh sb="3" eb="4">
      <t>オモ</t>
    </rPh>
    <phoneticPr fontId="1"/>
  </si>
  <si>
    <t>NWから切断</t>
    <rPh sb="4" eb="6">
      <t>セツダン</t>
    </rPh>
    <phoneticPr fontId="1"/>
  </si>
  <si>
    <t>最新のウイルス</t>
    <rPh sb="0" eb="2">
      <t>サイシン</t>
    </rPh>
    <phoneticPr fontId="1"/>
  </si>
  <si>
    <t>検査→駆除</t>
    <rPh sb="0" eb="3">
      <t>ケンサミギ</t>
    </rPh>
    <rPh sb="3" eb="5">
      <t>クジョ</t>
    </rPh>
    <phoneticPr fontId="1"/>
  </si>
  <si>
    <t>IP</t>
    <phoneticPr fontId="1"/>
  </si>
  <si>
    <t>脆弱性</t>
    <rPh sb="0" eb="3">
      <t>ゼイジャクセイ</t>
    </rPh>
    <phoneticPr fontId="1"/>
  </si>
  <si>
    <t>動的リンクライブラリ</t>
    <rPh sb="0" eb="2">
      <t>ドウテキ</t>
    </rPh>
    <phoneticPr fontId="1"/>
  </si>
  <si>
    <t>OSの一部</t>
    <rPh sb="3" eb="5">
      <t>イチブ</t>
    </rPh>
    <phoneticPr fontId="1"/>
  </si>
  <si>
    <t>１</t>
    <phoneticPr fontId="1"/>
  </si>
  <si>
    <t>感染PC内部の機密情報が攻撃者のサーバーにアップロードされる</t>
    <rPh sb="0" eb="2">
      <t>カンセン</t>
    </rPh>
    <rPh sb="4" eb="6">
      <t>ナイブ</t>
    </rPh>
    <rPh sb="7" eb="11">
      <t>キミツジョウホウ</t>
    </rPh>
    <rPh sb="12" eb="15">
      <t>コウゲキシャ</t>
    </rPh>
    <phoneticPr fontId="1"/>
  </si>
  <si>
    <t>a:ARP</t>
    <phoneticPr fontId="1"/>
  </si>
  <si>
    <t>b:IPアドレス</t>
    <phoneticPr fontId="1"/>
  </si>
  <si>
    <t>c:管理者権限</t>
    <rPh sb="2" eb="7">
      <t>カンリシャケンゲン</t>
    </rPh>
    <phoneticPr fontId="1"/>
  </si>
  <si>
    <t>d:プロキシ</t>
    <phoneticPr fontId="1"/>
  </si>
  <si>
    <t>e:インターネット上の特定のサーバー</t>
    <rPh sb="9" eb="10">
      <t>ジョウ</t>
    </rPh>
    <rPh sb="11" eb="13">
      <t>トクテイ</t>
    </rPh>
    <phoneticPr fontId="1"/>
  </si>
  <si>
    <t>Xウィルス</t>
    <phoneticPr fontId="1"/>
  </si>
  <si>
    <t>バックドアを経由して再度リモートで制御される</t>
    <rPh sb="6" eb="8">
      <t>ケイユ</t>
    </rPh>
    <rPh sb="10" eb="12">
      <t>サイド</t>
    </rPh>
    <rPh sb="17" eb="19">
      <t>セイギョ</t>
    </rPh>
    <phoneticPr fontId="1"/>
  </si>
  <si>
    <t>当該PCとL2SWの間にファイアウォールを設置して、通信をパッチ配信サーバーに制限する。</t>
    <rPh sb="0" eb="2">
      <t>トウガイ</t>
    </rPh>
    <rPh sb="10" eb="11">
      <t>アイダ</t>
    </rPh>
    <rPh sb="21" eb="23">
      <t>セッチ</t>
    </rPh>
    <rPh sb="26" eb="28">
      <t>ツウシン</t>
    </rPh>
    <rPh sb="32" eb="34">
      <t>ハイシン</t>
    </rPh>
    <rPh sb="39" eb="41">
      <t>セイゲン</t>
    </rPh>
    <phoneticPr fontId="1"/>
  </si>
  <si>
    <t>管理者IDのパスワードを推測しにくいものに変更する</t>
    <rPh sb="0" eb="3">
      <t>カンリシャ</t>
    </rPh>
    <rPh sb="12" eb="14">
      <t>スイソク</t>
    </rPh>
    <rPh sb="21" eb="23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</si>
</sst>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8"/>
  <sheetViews>
    <sheetView tabSelected="1" workbookViewId="0">
      <selection activeCell="F6" sqref="F6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58</v>
      </c>
      <c r="E2">
        <v>100</v>
      </c>
    </row>
    <row r="3" spans="1:6">
      <c r="A3">
        <v>2</v>
      </c>
      <c r="B3" s="2" t="s">
        <v>12</v>
      </c>
      <c r="C3" s="2" t="s">
        <v>31</v>
      </c>
      <c r="D3">
        <v>32</v>
      </c>
      <c r="E3">
        <v>50</v>
      </c>
    </row>
    <row r="4" spans="1:6">
      <c r="A4">
        <v>3</v>
      </c>
      <c r="B4" s="2" t="s">
        <v>12</v>
      </c>
      <c r="C4" s="2" t="s">
        <v>92</v>
      </c>
      <c r="D4">
        <v>29</v>
      </c>
      <c r="E4">
        <v>50</v>
      </c>
    </row>
    <row r="5" spans="1:6">
      <c r="A5">
        <v>4</v>
      </c>
      <c r="B5" s="2" t="s">
        <v>12</v>
      </c>
      <c r="C5" s="2" t="s">
        <v>37</v>
      </c>
      <c r="D5">
        <v>32</v>
      </c>
      <c r="E5">
        <v>50</v>
      </c>
    </row>
    <row r="6" spans="1:6">
      <c r="A6">
        <v>5</v>
      </c>
      <c r="B6" s="2" t="s">
        <v>146</v>
      </c>
      <c r="C6" s="2" t="s">
        <v>148</v>
      </c>
      <c r="D6">
        <v>62</v>
      </c>
      <c r="E6">
        <v>100</v>
      </c>
    </row>
    <row r="7" spans="1:6">
      <c r="A7">
        <v>6</v>
      </c>
      <c r="B7" s="2" t="s">
        <v>146</v>
      </c>
      <c r="C7" s="2" t="s">
        <v>196</v>
      </c>
      <c r="D7">
        <v>31</v>
      </c>
      <c r="E7">
        <v>50</v>
      </c>
    </row>
    <row r="8" spans="1:6">
      <c r="A8">
        <v>7</v>
      </c>
      <c r="B8" s="2" t="s">
        <v>146</v>
      </c>
      <c r="C8" s="2" t="s">
        <v>223</v>
      </c>
      <c r="D8">
        <v>26</v>
      </c>
      <c r="E8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F7F68-3ED8-47CB-8C68-FA1465CB84FE}">
  <sheetPr codeName="Sheet4"/>
  <dimension ref="A1:H167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8">
      <c r="A1" s="2" t="s">
        <v>0</v>
      </c>
      <c r="B1" s="1" t="s">
        <v>13</v>
      </c>
    </row>
    <row r="2" spans="1:8">
      <c r="A2" s="2" t="s">
        <v>2</v>
      </c>
      <c r="B2" s="3" t="s">
        <v>15</v>
      </c>
      <c r="D2">
        <f>SUM(D4:D1000)</f>
        <v>58</v>
      </c>
      <c r="E2">
        <f>SUM(E4:E1000)</f>
        <v>100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16</v>
      </c>
      <c r="B4" s="1" t="s">
        <v>41</v>
      </c>
      <c r="C4">
        <f>IF(B4&lt;&gt;"",LEN(B4),"")</f>
        <v>2</v>
      </c>
      <c r="D4">
        <v>0</v>
      </c>
      <c r="E4">
        <v>5</v>
      </c>
      <c r="F4" t="s">
        <v>43</v>
      </c>
    </row>
    <row r="5" spans="1:8">
      <c r="B5" s="1" t="s">
        <v>42</v>
      </c>
      <c r="C5">
        <f t="shared" ref="C5:C68" si="0">IF(B5&lt;&gt;"",LEN(B5),"")</f>
        <v>2</v>
      </c>
      <c r="D5">
        <v>5</v>
      </c>
      <c r="E5">
        <v>5</v>
      </c>
      <c r="H5" t="s">
        <v>38</v>
      </c>
    </row>
    <row r="6" spans="1:8">
      <c r="A6" s="2" t="s">
        <v>17</v>
      </c>
      <c r="B6" s="1" t="s">
        <v>44</v>
      </c>
      <c r="C6">
        <f t="shared" si="0"/>
        <v>28</v>
      </c>
      <c r="D6">
        <v>8</v>
      </c>
      <c r="E6">
        <v>8</v>
      </c>
      <c r="H6" t="s">
        <v>39</v>
      </c>
    </row>
    <row r="7" spans="1:8">
      <c r="A7" s="2" t="s">
        <v>18</v>
      </c>
      <c r="B7" s="1" t="s">
        <v>45</v>
      </c>
      <c r="C7">
        <f t="shared" si="0"/>
        <v>25</v>
      </c>
      <c r="D7">
        <v>0</v>
      </c>
      <c r="E7">
        <v>8</v>
      </c>
      <c r="F7" t="s">
        <v>43</v>
      </c>
      <c r="H7" t="s">
        <v>40</v>
      </c>
    </row>
    <row r="8" spans="1:8">
      <c r="A8" s="2" t="s">
        <v>19</v>
      </c>
      <c r="B8" s="1" t="s">
        <v>46</v>
      </c>
      <c r="C8">
        <f t="shared" si="0"/>
        <v>40</v>
      </c>
      <c r="D8">
        <v>0</v>
      </c>
      <c r="E8">
        <v>9</v>
      </c>
      <c r="F8" t="s">
        <v>43</v>
      </c>
    </row>
    <row r="9" spans="1:8">
      <c r="A9" s="2" t="s">
        <v>20</v>
      </c>
      <c r="C9" t="str">
        <f t="shared" si="0"/>
        <v/>
      </c>
      <c r="D9">
        <v>10</v>
      </c>
      <c r="E9">
        <v>10</v>
      </c>
      <c r="H9" t="s">
        <v>48</v>
      </c>
    </row>
    <row r="10" spans="1:8">
      <c r="A10" s="2" t="s">
        <v>21</v>
      </c>
      <c r="C10" t="str">
        <f t="shared" si="0"/>
        <v/>
      </c>
      <c r="D10">
        <v>10</v>
      </c>
      <c r="E10">
        <v>10</v>
      </c>
      <c r="H10" t="s">
        <v>49</v>
      </c>
    </row>
    <row r="11" spans="1:8">
      <c r="A11" s="2" t="s">
        <v>22</v>
      </c>
      <c r="B11" s="1" t="s">
        <v>47</v>
      </c>
      <c r="C11">
        <f t="shared" si="0"/>
        <v>37</v>
      </c>
      <c r="D11">
        <v>0</v>
      </c>
      <c r="E11">
        <v>10</v>
      </c>
      <c r="F11" t="s">
        <v>43</v>
      </c>
      <c r="H11" t="s">
        <v>50</v>
      </c>
    </row>
    <row r="12" spans="1:8">
      <c r="A12" s="2" t="s">
        <v>23</v>
      </c>
      <c r="C12" t="str">
        <f t="shared" si="0"/>
        <v/>
      </c>
      <c r="D12">
        <v>10</v>
      </c>
      <c r="E12">
        <v>10</v>
      </c>
    </row>
    <row r="13" spans="1:8">
      <c r="A13" s="2" t="s">
        <v>25</v>
      </c>
      <c r="C13" t="s">
        <v>51</v>
      </c>
      <c r="D13">
        <v>0</v>
      </c>
      <c r="E13">
        <v>5</v>
      </c>
      <c r="F13" t="s">
        <v>43</v>
      </c>
    </row>
    <row r="14" spans="1:8">
      <c r="A14" s="2" t="s">
        <v>24</v>
      </c>
      <c r="C14" t="str">
        <f t="shared" si="0"/>
        <v/>
      </c>
      <c r="D14">
        <v>10</v>
      </c>
      <c r="E14">
        <v>10</v>
      </c>
    </row>
    <row r="15" spans="1:8">
      <c r="A15" s="2" t="s">
        <v>26</v>
      </c>
      <c r="B15" s="1" t="s">
        <v>52</v>
      </c>
      <c r="C15">
        <f t="shared" si="0"/>
        <v>30</v>
      </c>
      <c r="D15">
        <v>5</v>
      </c>
      <c r="E15">
        <v>10</v>
      </c>
      <c r="F15" t="s">
        <v>43</v>
      </c>
    </row>
    <row r="16" spans="1:8">
      <c r="C16" t="str">
        <f t="shared" si="0"/>
        <v/>
      </c>
    </row>
    <row r="17" spans="2:3">
      <c r="B17" s="1" t="s">
        <v>27</v>
      </c>
      <c r="C17">
        <f t="shared" si="0"/>
        <v>5</v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C20" t="str">
        <f t="shared" si="0"/>
        <v/>
      </c>
    </row>
    <row r="21" spans="2:3">
      <c r="C21" t="str">
        <f t="shared" si="0"/>
        <v/>
      </c>
    </row>
    <row r="22" spans="2:3">
      <c r="C22" t="str">
        <f t="shared" si="0"/>
        <v/>
      </c>
    </row>
    <row r="23" spans="2:3">
      <c r="C23" t="str">
        <f t="shared" si="0"/>
        <v/>
      </c>
    </row>
    <row r="24" spans="2:3">
      <c r="C24" t="str">
        <f t="shared" si="0"/>
        <v/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8F86-7F10-4FB6-B1D9-0EFCDC43E34F}">
  <sheetPr codeName="Sheet5"/>
  <dimension ref="A1:M167"/>
  <sheetViews>
    <sheetView zoomScale="85" zoomScaleNormal="85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M12" sqref="M1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3">
      <c r="A1" s="2" t="s">
        <v>0</v>
      </c>
      <c r="B1" s="1" t="s">
        <v>13</v>
      </c>
    </row>
    <row r="2" spans="1:13">
      <c r="A2" s="2" t="s">
        <v>2</v>
      </c>
      <c r="B2" s="3" t="s">
        <v>28</v>
      </c>
      <c r="D2">
        <f>SUM(D4:D1000)</f>
        <v>32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16</v>
      </c>
      <c r="B4" s="1" t="s">
        <v>62</v>
      </c>
      <c r="C4">
        <f>IF(B4&lt;&gt;"",LEN(B4),"")</f>
        <v>6</v>
      </c>
      <c r="D4">
        <v>4</v>
      </c>
      <c r="E4">
        <v>4</v>
      </c>
    </row>
    <row r="5" spans="1:13">
      <c r="B5" s="1" t="s">
        <v>63</v>
      </c>
      <c r="C5">
        <f t="shared" ref="C5:C68" si="0">IF(B5&lt;&gt;"",LEN(B5),"")</f>
        <v>9</v>
      </c>
      <c r="D5">
        <v>0</v>
      </c>
      <c r="E5">
        <v>4</v>
      </c>
      <c r="F5" t="s">
        <v>65</v>
      </c>
      <c r="I5" t="s">
        <v>66</v>
      </c>
      <c r="M5" t="s">
        <v>75</v>
      </c>
    </row>
    <row r="6" spans="1:13">
      <c r="B6" s="1" t="s">
        <v>64</v>
      </c>
      <c r="C6">
        <f t="shared" si="0"/>
        <v>3</v>
      </c>
      <c r="D6">
        <v>4</v>
      </c>
      <c r="E6">
        <v>4</v>
      </c>
      <c r="M6" t="s">
        <v>76</v>
      </c>
    </row>
    <row r="7" spans="1:13">
      <c r="A7" s="2" t="s">
        <v>17</v>
      </c>
      <c r="C7" t="str">
        <f t="shared" si="0"/>
        <v/>
      </c>
      <c r="D7">
        <v>6</v>
      </c>
      <c r="E7">
        <v>6</v>
      </c>
      <c r="I7" t="s">
        <v>69</v>
      </c>
      <c r="M7" t="s">
        <v>77</v>
      </c>
    </row>
    <row r="8" spans="1:13">
      <c r="A8" s="2" t="s">
        <v>18</v>
      </c>
      <c r="C8" t="str">
        <f t="shared" si="0"/>
        <v/>
      </c>
      <c r="D8">
        <v>6</v>
      </c>
      <c r="E8">
        <v>6</v>
      </c>
      <c r="I8" t="s">
        <v>70</v>
      </c>
      <c r="M8" t="s">
        <v>78</v>
      </c>
    </row>
    <row r="9" spans="1:13">
      <c r="A9" s="2" t="s">
        <v>20</v>
      </c>
      <c r="B9" s="1" t="s">
        <v>67</v>
      </c>
      <c r="C9">
        <f t="shared" si="0"/>
        <v>10</v>
      </c>
      <c r="D9">
        <v>6</v>
      </c>
      <c r="E9">
        <v>6</v>
      </c>
      <c r="F9" t="s">
        <v>68</v>
      </c>
      <c r="M9" t="s">
        <v>79</v>
      </c>
    </row>
    <row r="10" spans="1:13">
      <c r="A10" s="4" t="s">
        <v>21</v>
      </c>
      <c r="B10" s="1" t="s">
        <v>71</v>
      </c>
      <c r="C10">
        <f t="shared" si="0"/>
        <v>23</v>
      </c>
      <c r="D10">
        <v>0</v>
      </c>
      <c r="E10">
        <v>6</v>
      </c>
      <c r="F10" t="s">
        <v>65</v>
      </c>
      <c r="G10" t="s">
        <v>72</v>
      </c>
      <c r="M10" t="s">
        <v>80</v>
      </c>
    </row>
    <row r="11" spans="1:13">
      <c r="A11" s="2" t="s">
        <v>29</v>
      </c>
      <c r="C11" t="str">
        <f t="shared" si="0"/>
        <v/>
      </c>
      <c r="D11">
        <v>6</v>
      </c>
      <c r="E11">
        <v>6</v>
      </c>
      <c r="G11" t="s">
        <v>73</v>
      </c>
      <c r="M11" t="s">
        <v>81</v>
      </c>
    </row>
    <row r="12" spans="1:13">
      <c r="A12" s="4" t="s">
        <v>30</v>
      </c>
      <c r="B12" s="1" t="s">
        <v>74</v>
      </c>
      <c r="C12">
        <f t="shared" si="0"/>
        <v>27</v>
      </c>
      <c r="D12">
        <v>0</v>
      </c>
      <c r="E12">
        <v>8</v>
      </c>
      <c r="F12" t="s">
        <v>65</v>
      </c>
    </row>
    <row r="13" spans="1:13">
      <c r="C13" t="str">
        <f t="shared" si="0"/>
        <v/>
      </c>
    </row>
    <row r="14" spans="1:13">
      <c r="C14" t="str">
        <f t="shared" si="0"/>
        <v/>
      </c>
    </row>
    <row r="15" spans="1:13">
      <c r="C15" t="str">
        <f t="shared" si="0"/>
        <v/>
      </c>
    </row>
    <row r="16" spans="1:13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E882-201D-4BD1-8285-03621B939C55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2" t="s">
        <v>92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16</v>
      </c>
      <c r="B4" s="1" t="s">
        <v>91</v>
      </c>
      <c r="C4">
        <f>IF(B4&lt;&gt;"",LEN(B4),"")</f>
        <v>1</v>
      </c>
      <c r="D4">
        <v>5</v>
      </c>
      <c r="E4">
        <v>5</v>
      </c>
    </row>
    <row r="5" spans="1:11">
      <c r="A5" s="2" t="s">
        <v>33</v>
      </c>
      <c r="B5" s="1" t="s">
        <v>82</v>
      </c>
      <c r="C5">
        <f t="shared" ref="C5:C68" si="0">IF(B5&lt;&gt;"",LEN(B5),"")</f>
        <v>27</v>
      </c>
      <c r="D5">
        <v>8</v>
      </c>
      <c r="E5">
        <v>8</v>
      </c>
      <c r="F5" t="s">
        <v>65</v>
      </c>
      <c r="G5" t="s">
        <v>54</v>
      </c>
      <c r="I5" t="s">
        <v>58</v>
      </c>
      <c r="K5" t="s">
        <v>83</v>
      </c>
    </row>
    <row r="6" spans="1:11">
      <c r="A6" s="4" t="s">
        <v>34</v>
      </c>
      <c r="B6" s="1" t="s">
        <v>85</v>
      </c>
      <c r="C6">
        <f t="shared" si="0"/>
        <v>34</v>
      </c>
      <c r="D6">
        <v>0</v>
      </c>
      <c r="E6">
        <v>8</v>
      </c>
      <c r="F6" t="s">
        <v>65</v>
      </c>
      <c r="G6" t="s">
        <v>55</v>
      </c>
      <c r="I6" t="s">
        <v>59</v>
      </c>
      <c r="K6" t="s">
        <v>84</v>
      </c>
    </row>
    <row r="7" spans="1:11">
      <c r="A7" s="4" t="s">
        <v>35</v>
      </c>
      <c r="B7" s="1" t="s">
        <v>86</v>
      </c>
      <c r="C7">
        <f t="shared" si="0"/>
        <v>1</v>
      </c>
      <c r="D7">
        <v>0</v>
      </c>
      <c r="E7">
        <v>5</v>
      </c>
      <c r="G7" t="s">
        <v>56</v>
      </c>
    </row>
    <row r="8" spans="1:11">
      <c r="A8" s="2" t="s">
        <v>36</v>
      </c>
      <c r="B8" s="1" t="s">
        <v>87</v>
      </c>
      <c r="C8">
        <f t="shared" si="0"/>
        <v>29</v>
      </c>
      <c r="D8">
        <v>8</v>
      </c>
      <c r="E8">
        <v>8</v>
      </c>
      <c r="G8" t="s">
        <v>57</v>
      </c>
    </row>
    <row r="9" spans="1:11">
      <c r="A9" s="4" t="s">
        <v>53</v>
      </c>
      <c r="B9" s="1" t="s">
        <v>88</v>
      </c>
      <c r="C9">
        <f t="shared" si="0"/>
        <v>36</v>
      </c>
      <c r="D9">
        <v>0</v>
      </c>
      <c r="E9">
        <v>8</v>
      </c>
      <c r="F9" t="s">
        <v>65</v>
      </c>
      <c r="G9" t="s">
        <v>60</v>
      </c>
    </row>
    <row r="10" spans="1:11">
      <c r="A10" s="2" t="s">
        <v>30</v>
      </c>
      <c r="B10" s="1" t="s">
        <v>90</v>
      </c>
      <c r="C10">
        <f t="shared" si="0"/>
        <v>33</v>
      </c>
      <c r="D10">
        <v>8</v>
      </c>
      <c r="E10">
        <v>8</v>
      </c>
      <c r="G10" t="s">
        <v>61</v>
      </c>
    </row>
    <row r="11" spans="1:11">
      <c r="B11"/>
      <c r="C11" t="str">
        <f t="shared" si="0"/>
        <v/>
      </c>
    </row>
    <row r="12" spans="1:11" ht="37.5">
      <c r="B12" s="1" t="s">
        <v>89</v>
      </c>
      <c r="C12">
        <f t="shared" si="0"/>
        <v>54</v>
      </c>
    </row>
    <row r="13" spans="1:11">
      <c r="C13" t="str">
        <f t="shared" si="0"/>
        <v/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35E9D-CADE-4F5F-8786-6719FB52C0AD}">
  <sheetPr codeName="Sheet7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4" sqref="D14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2" t="s">
        <v>32</v>
      </c>
      <c r="D2">
        <f>SUM(D4:D1000)</f>
        <v>32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103</v>
      </c>
      <c r="B4" s="1" t="s">
        <v>104</v>
      </c>
      <c r="C4">
        <f>IF(B4&lt;&gt;"",LEN(B4),"")</f>
        <v>4</v>
      </c>
      <c r="D4">
        <v>3</v>
      </c>
      <c r="E4">
        <v>3</v>
      </c>
      <c r="F4">
        <v>1</v>
      </c>
    </row>
    <row r="5" spans="1:11">
      <c r="B5" s="1" t="s">
        <v>105</v>
      </c>
      <c r="C5">
        <f t="shared" ref="C5:C68" si="0">IF(B5&lt;&gt;"",LEN(B5),"")</f>
        <v>4</v>
      </c>
      <c r="D5">
        <v>3</v>
      </c>
      <c r="E5">
        <v>3</v>
      </c>
      <c r="F5">
        <v>1</v>
      </c>
      <c r="G5" t="s">
        <v>93</v>
      </c>
      <c r="I5" t="s">
        <v>98</v>
      </c>
      <c r="K5" t="s">
        <v>107</v>
      </c>
    </row>
    <row r="6" spans="1:11">
      <c r="A6" s="2" t="s">
        <v>106</v>
      </c>
      <c r="B6" s="1" t="s">
        <v>110</v>
      </c>
      <c r="C6">
        <f t="shared" si="0"/>
        <v>5</v>
      </c>
      <c r="D6">
        <v>4</v>
      </c>
      <c r="E6">
        <v>4</v>
      </c>
      <c r="F6">
        <v>1</v>
      </c>
      <c r="G6" t="s">
        <v>94</v>
      </c>
      <c r="I6" t="s">
        <v>99</v>
      </c>
      <c r="K6" t="s">
        <v>108</v>
      </c>
    </row>
    <row r="7" spans="1:11">
      <c r="B7" s="1" t="s">
        <v>111</v>
      </c>
      <c r="C7">
        <f t="shared" si="0"/>
        <v>16</v>
      </c>
      <c r="D7">
        <v>4</v>
      </c>
      <c r="E7">
        <v>4</v>
      </c>
      <c r="F7">
        <v>1</v>
      </c>
      <c r="G7" t="s">
        <v>95</v>
      </c>
      <c r="I7" t="s">
        <v>100</v>
      </c>
      <c r="K7" t="s">
        <v>109</v>
      </c>
    </row>
    <row r="8" spans="1:11">
      <c r="A8" s="2" t="s">
        <v>112</v>
      </c>
      <c r="B8" s="1" t="s">
        <v>113</v>
      </c>
      <c r="C8">
        <f t="shared" si="0"/>
        <v>7</v>
      </c>
      <c r="D8">
        <v>6</v>
      </c>
      <c r="E8">
        <v>6</v>
      </c>
      <c r="F8">
        <v>1</v>
      </c>
      <c r="G8" t="s">
        <v>96</v>
      </c>
      <c r="I8" t="s">
        <v>101</v>
      </c>
      <c r="K8" t="s">
        <v>122</v>
      </c>
    </row>
    <row r="9" spans="1:11">
      <c r="A9" s="2" t="s">
        <v>17</v>
      </c>
      <c r="B9" s="1" t="s">
        <v>121</v>
      </c>
      <c r="C9">
        <f t="shared" si="0"/>
        <v>8</v>
      </c>
      <c r="D9">
        <v>0</v>
      </c>
      <c r="E9">
        <v>6</v>
      </c>
      <c r="F9">
        <v>0</v>
      </c>
      <c r="G9" t="s">
        <v>97</v>
      </c>
      <c r="I9" t="s">
        <v>102</v>
      </c>
    </row>
    <row r="10" spans="1:11">
      <c r="A10" s="2" t="s">
        <v>18</v>
      </c>
      <c r="B10" s="1" t="s">
        <v>123</v>
      </c>
      <c r="C10">
        <f t="shared" si="0"/>
        <v>3</v>
      </c>
      <c r="D10">
        <v>6</v>
      </c>
      <c r="E10">
        <v>6</v>
      </c>
    </row>
    <row r="11" spans="1:11">
      <c r="A11" s="2" t="s">
        <v>19</v>
      </c>
      <c r="B11" s="1" t="s">
        <v>127</v>
      </c>
      <c r="C11">
        <f t="shared" si="0"/>
        <v>27</v>
      </c>
      <c r="D11">
        <v>0</v>
      </c>
      <c r="E11">
        <v>6</v>
      </c>
      <c r="G11" t="s">
        <v>114</v>
      </c>
      <c r="I11" t="s">
        <v>118</v>
      </c>
      <c r="K11" t="s">
        <v>124</v>
      </c>
    </row>
    <row r="12" spans="1:11">
      <c r="A12" s="2" t="s">
        <v>128</v>
      </c>
      <c r="B12" s="1" t="s">
        <v>129</v>
      </c>
      <c r="C12">
        <f t="shared" si="0"/>
        <v>41</v>
      </c>
      <c r="D12">
        <v>3</v>
      </c>
      <c r="E12">
        <v>6</v>
      </c>
      <c r="G12" t="s">
        <v>115</v>
      </c>
      <c r="I12" t="s">
        <v>119</v>
      </c>
      <c r="K12" t="s">
        <v>125</v>
      </c>
    </row>
    <row r="13" spans="1:11">
      <c r="A13" s="2" t="s">
        <v>130</v>
      </c>
      <c r="B13" s="1" t="s">
        <v>131</v>
      </c>
      <c r="C13">
        <f t="shared" si="0"/>
        <v>8</v>
      </c>
      <c r="D13">
        <v>3</v>
      </c>
      <c r="E13">
        <v>6</v>
      </c>
      <c r="G13" t="s">
        <v>116</v>
      </c>
      <c r="I13" t="s">
        <v>120</v>
      </c>
      <c r="K13" t="s">
        <v>126</v>
      </c>
    </row>
    <row r="14" spans="1:11">
      <c r="C14" t="str">
        <f t="shared" si="0"/>
        <v/>
      </c>
      <c r="G14" t="s">
        <v>117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67A14-E8AB-4E2E-A232-68612B9450D0}">
  <sheetPr codeName="Sheet8"/>
  <dimension ref="A1:Q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9.25" style="1" customWidth="1"/>
    <col min="3" max="3" width="9.75" customWidth="1"/>
  </cols>
  <sheetData>
    <row r="1" spans="1:17">
      <c r="A1" s="2" t="s">
        <v>0</v>
      </c>
      <c r="B1" s="1" t="s">
        <v>147</v>
      </c>
    </row>
    <row r="2" spans="1:17">
      <c r="A2" s="2" t="s">
        <v>2</v>
      </c>
      <c r="B2" s="3" t="s">
        <v>149</v>
      </c>
      <c r="D2">
        <f>SUM(D4:D1000)</f>
        <v>62</v>
      </c>
      <c r="E2">
        <f>SUM(E4:E1000)</f>
        <v>100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103</v>
      </c>
      <c r="B4" s="1" t="s">
        <v>150</v>
      </c>
      <c r="C4">
        <f>IF(B4&lt;&gt;"",LEN(B4),"")</f>
        <v>11</v>
      </c>
      <c r="D4">
        <f>E4*F4</f>
        <v>4</v>
      </c>
      <c r="E4">
        <v>4</v>
      </c>
      <c r="F4">
        <v>1</v>
      </c>
    </row>
    <row r="5" spans="1:17">
      <c r="B5" s="1" t="s">
        <v>151</v>
      </c>
      <c r="C5">
        <f t="shared" ref="C5:C68" si="0">IF(B5&lt;&gt;"",LEN(B5),"")</f>
        <v>8</v>
      </c>
      <c r="D5">
        <f t="shared" ref="D5:D21" si="1">E5*F5</f>
        <v>4</v>
      </c>
      <c r="E5">
        <v>4</v>
      </c>
      <c r="F5">
        <v>1</v>
      </c>
      <c r="G5" t="s">
        <v>132</v>
      </c>
      <c r="I5" t="s">
        <v>139</v>
      </c>
      <c r="K5" t="s">
        <v>144</v>
      </c>
      <c r="M5" t="s">
        <v>155</v>
      </c>
      <c r="O5" t="s">
        <v>159</v>
      </c>
      <c r="Q5" t="s">
        <v>166</v>
      </c>
    </row>
    <row r="6" spans="1:17">
      <c r="A6" s="2" t="s">
        <v>106</v>
      </c>
      <c r="B6" s="1" t="s">
        <v>154</v>
      </c>
      <c r="C6">
        <f t="shared" si="0"/>
        <v>27</v>
      </c>
      <c r="D6">
        <f t="shared" si="1"/>
        <v>3</v>
      </c>
      <c r="E6">
        <v>6</v>
      </c>
      <c r="F6">
        <v>0.5</v>
      </c>
      <c r="G6" t="s">
        <v>133</v>
      </c>
      <c r="I6" t="s">
        <v>140</v>
      </c>
      <c r="K6" t="s">
        <v>145</v>
      </c>
      <c r="M6" t="s">
        <v>153</v>
      </c>
      <c r="O6" t="s">
        <v>160</v>
      </c>
      <c r="Q6" t="s">
        <v>167</v>
      </c>
    </row>
    <row r="7" spans="1:17">
      <c r="A7" s="2" t="s">
        <v>112</v>
      </c>
      <c r="B7" s="1" t="s">
        <v>165</v>
      </c>
      <c r="C7">
        <f t="shared" si="0"/>
        <v>28</v>
      </c>
      <c r="D7">
        <f t="shared" si="1"/>
        <v>6</v>
      </c>
      <c r="E7">
        <v>6</v>
      </c>
      <c r="F7">
        <v>1</v>
      </c>
      <c r="G7" t="s">
        <v>134</v>
      </c>
      <c r="I7" t="s">
        <v>141</v>
      </c>
      <c r="K7" t="s">
        <v>152</v>
      </c>
      <c r="M7" t="s">
        <v>156</v>
      </c>
      <c r="O7" t="s">
        <v>161</v>
      </c>
      <c r="Q7" t="s">
        <v>168</v>
      </c>
    </row>
    <row r="8" spans="1:17">
      <c r="A8" s="2" t="s">
        <v>17</v>
      </c>
      <c r="B8" s="1" t="s">
        <v>170</v>
      </c>
      <c r="C8">
        <f t="shared" si="0"/>
        <v>20</v>
      </c>
      <c r="D8">
        <f t="shared" si="1"/>
        <v>6</v>
      </c>
      <c r="E8">
        <v>6</v>
      </c>
      <c r="F8">
        <v>1</v>
      </c>
      <c r="G8" t="s">
        <v>135</v>
      </c>
      <c r="I8" t="s">
        <v>142</v>
      </c>
      <c r="K8" t="s">
        <v>153</v>
      </c>
      <c r="M8" t="s">
        <v>157</v>
      </c>
      <c r="O8" t="s">
        <v>162</v>
      </c>
      <c r="Q8" t="s">
        <v>169</v>
      </c>
    </row>
    <row r="9" spans="1:17">
      <c r="A9" s="2" t="s">
        <v>18</v>
      </c>
      <c r="B9" s="1" t="s">
        <v>172</v>
      </c>
      <c r="C9">
        <f t="shared" si="0"/>
        <v>21</v>
      </c>
      <c r="D9">
        <f t="shared" si="1"/>
        <v>0</v>
      </c>
      <c r="E9">
        <v>6</v>
      </c>
      <c r="F9">
        <v>0</v>
      </c>
      <c r="G9" t="s">
        <v>136</v>
      </c>
      <c r="I9" t="s">
        <v>143</v>
      </c>
      <c r="M9" t="s">
        <v>158</v>
      </c>
      <c r="O9" t="s">
        <v>163</v>
      </c>
      <c r="Q9" t="s">
        <v>171</v>
      </c>
    </row>
    <row r="10" spans="1:17">
      <c r="A10" s="2" t="s">
        <v>20</v>
      </c>
      <c r="B10" s="1" t="s">
        <v>177</v>
      </c>
      <c r="C10">
        <f t="shared" si="0"/>
        <v>4</v>
      </c>
      <c r="D10">
        <f t="shared" si="1"/>
        <v>0</v>
      </c>
      <c r="E10">
        <v>4</v>
      </c>
      <c r="F10">
        <v>0</v>
      </c>
      <c r="G10" t="s">
        <v>137</v>
      </c>
      <c r="I10" t="s">
        <v>174</v>
      </c>
      <c r="M10" t="s">
        <v>164</v>
      </c>
    </row>
    <row r="11" spans="1:17">
      <c r="B11" s="1" t="s">
        <v>178</v>
      </c>
      <c r="C11">
        <f t="shared" si="0"/>
        <v>13</v>
      </c>
      <c r="D11">
        <f t="shared" si="1"/>
        <v>0</v>
      </c>
      <c r="E11">
        <v>4</v>
      </c>
      <c r="F11">
        <v>0</v>
      </c>
      <c r="G11" t="s">
        <v>138</v>
      </c>
      <c r="I11" t="s">
        <v>175</v>
      </c>
      <c r="M11" t="s">
        <v>189</v>
      </c>
    </row>
    <row r="12" spans="1:17">
      <c r="B12" s="1" t="s">
        <v>179</v>
      </c>
      <c r="C12">
        <f t="shared" si="0"/>
        <v>10</v>
      </c>
      <c r="D12">
        <f t="shared" si="1"/>
        <v>0</v>
      </c>
      <c r="E12">
        <v>4</v>
      </c>
      <c r="F12">
        <v>0</v>
      </c>
      <c r="G12" t="s">
        <v>173</v>
      </c>
      <c r="I12" t="s">
        <v>176</v>
      </c>
      <c r="M12" t="s">
        <v>190</v>
      </c>
    </row>
    <row r="13" spans="1:17">
      <c r="A13" s="2" t="s">
        <v>21</v>
      </c>
      <c r="B13" s="1" t="s">
        <v>180</v>
      </c>
      <c r="C13">
        <f t="shared" si="0"/>
        <v>27</v>
      </c>
      <c r="D13">
        <f t="shared" si="1"/>
        <v>6</v>
      </c>
      <c r="E13">
        <v>6</v>
      </c>
      <c r="F13">
        <v>1</v>
      </c>
      <c r="G13" t="s">
        <v>183</v>
      </c>
      <c r="I13" t="s">
        <v>187</v>
      </c>
    </row>
    <row r="14" spans="1:17">
      <c r="A14" s="2" t="s">
        <v>29</v>
      </c>
      <c r="B14" s="1" t="s">
        <v>181</v>
      </c>
      <c r="C14">
        <f t="shared" si="0"/>
        <v>31</v>
      </c>
      <c r="D14">
        <f t="shared" si="1"/>
        <v>6</v>
      </c>
      <c r="E14">
        <v>6</v>
      </c>
      <c r="F14">
        <v>1</v>
      </c>
      <c r="G14" t="s">
        <v>184</v>
      </c>
      <c r="I14" t="s">
        <v>188</v>
      </c>
    </row>
    <row r="15" spans="1:17">
      <c r="B15" s="1" t="s">
        <v>182</v>
      </c>
      <c r="C15">
        <f t="shared" si="0"/>
        <v>25</v>
      </c>
      <c r="D15">
        <f t="shared" si="1"/>
        <v>0</v>
      </c>
      <c r="E15">
        <v>8</v>
      </c>
      <c r="F15">
        <v>0</v>
      </c>
    </row>
    <row r="16" spans="1:17">
      <c r="A16" s="2" t="s">
        <v>22</v>
      </c>
      <c r="B16" s="1" t="s">
        <v>185</v>
      </c>
      <c r="C16">
        <f t="shared" si="0"/>
        <v>25</v>
      </c>
      <c r="D16">
        <f t="shared" si="1"/>
        <v>3</v>
      </c>
      <c r="E16">
        <v>6</v>
      </c>
      <c r="F16">
        <v>0.5</v>
      </c>
    </row>
    <row r="17" spans="1:6" ht="37.5">
      <c r="A17" s="2" t="s">
        <v>23</v>
      </c>
      <c r="B17" s="1" t="s">
        <v>186</v>
      </c>
      <c r="C17">
        <f t="shared" si="0"/>
        <v>37</v>
      </c>
      <c r="D17">
        <f t="shared" si="1"/>
        <v>6</v>
      </c>
      <c r="E17">
        <v>6</v>
      </c>
      <c r="F17">
        <v>1</v>
      </c>
    </row>
    <row r="18" spans="1:6">
      <c r="A18" s="2" t="s">
        <v>191</v>
      </c>
      <c r="B18" s="1" t="s">
        <v>192</v>
      </c>
      <c r="C18">
        <f t="shared" si="0"/>
        <v>26</v>
      </c>
      <c r="D18">
        <f t="shared" si="1"/>
        <v>6</v>
      </c>
      <c r="E18">
        <v>6</v>
      </c>
      <c r="F18">
        <v>1</v>
      </c>
    </row>
    <row r="19" spans="1:6" ht="37.5">
      <c r="B19" s="1" t="s">
        <v>193</v>
      </c>
      <c r="C19">
        <f t="shared" si="0"/>
        <v>42</v>
      </c>
      <c r="D19">
        <f t="shared" si="1"/>
        <v>6</v>
      </c>
      <c r="E19">
        <v>6</v>
      </c>
      <c r="F19">
        <v>1</v>
      </c>
    </row>
    <row r="20" spans="1:6">
      <c r="B20" s="1" t="s">
        <v>194</v>
      </c>
      <c r="C20">
        <f t="shared" si="0"/>
        <v>25</v>
      </c>
      <c r="D20">
        <f t="shared" si="1"/>
        <v>6</v>
      </c>
      <c r="E20">
        <v>6</v>
      </c>
      <c r="F20">
        <v>1</v>
      </c>
    </row>
    <row r="21" spans="1:6" ht="37.5">
      <c r="B21" s="1" t="s">
        <v>195</v>
      </c>
      <c r="C21">
        <f t="shared" si="0"/>
        <v>35</v>
      </c>
      <c r="D21">
        <f t="shared" si="1"/>
        <v>0</v>
      </c>
      <c r="E21">
        <v>6</v>
      </c>
      <c r="F21">
        <v>0</v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7905D-F4DF-411D-94C4-AD24B0C7C358}">
  <sheetPr codeName="Sheet9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75.375" style="1" customWidth="1"/>
    <col min="3" max="3" width="9.75" customWidth="1"/>
  </cols>
  <sheetData>
    <row r="1" spans="1:11">
      <c r="A1" s="2" t="s">
        <v>0</v>
      </c>
      <c r="B1" s="1" t="s">
        <v>147</v>
      </c>
    </row>
    <row r="2" spans="1:11">
      <c r="A2" s="2" t="s">
        <v>2</v>
      </c>
      <c r="B2" s="3" t="s">
        <v>32</v>
      </c>
      <c r="D2">
        <f>SUM(D4:D1000)</f>
        <v>31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103</v>
      </c>
      <c r="B4" s="1" t="s">
        <v>207</v>
      </c>
      <c r="C4">
        <f>IF(B4&lt;&gt;"",LEN(B4),"")</f>
        <v>3</v>
      </c>
      <c r="D4">
        <f>E4*F4</f>
        <v>4</v>
      </c>
      <c r="E4">
        <v>4</v>
      </c>
      <c r="F4">
        <v>1</v>
      </c>
    </row>
    <row r="5" spans="1:11">
      <c r="B5" s="1" t="s">
        <v>208</v>
      </c>
      <c r="C5">
        <f t="shared" ref="C5:C68" si="0">IF(B5&lt;&gt;"",LEN(B5),"")</f>
        <v>3</v>
      </c>
      <c r="D5">
        <f t="shared" ref="D5:D13" si="1">E5*F5</f>
        <v>4</v>
      </c>
      <c r="E5">
        <v>4</v>
      </c>
      <c r="F5">
        <v>1</v>
      </c>
      <c r="G5" t="s">
        <v>197</v>
      </c>
      <c r="I5" t="s">
        <v>206</v>
      </c>
      <c r="K5" t="s">
        <v>216</v>
      </c>
    </row>
    <row r="6" spans="1:11">
      <c r="B6" s="1" t="s">
        <v>209</v>
      </c>
      <c r="C6">
        <f t="shared" si="0"/>
        <v>3</v>
      </c>
      <c r="D6">
        <f t="shared" si="1"/>
        <v>4</v>
      </c>
      <c r="E6">
        <v>4</v>
      </c>
      <c r="F6">
        <v>1</v>
      </c>
      <c r="G6" t="s">
        <v>198</v>
      </c>
      <c r="I6" t="s">
        <v>198</v>
      </c>
    </row>
    <row r="7" spans="1:11">
      <c r="A7" s="2" t="s">
        <v>106</v>
      </c>
      <c r="B7" s="1" t="s">
        <v>210</v>
      </c>
      <c r="C7">
        <f t="shared" si="0"/>
        <v>3</v>
      </c>
      <c r="D7">
        <f t="shared" si="1"/>
        <v>3</v>
      </c>
      <c r="E7">
        <v>6</v>
      </c>
      <c r="F7">
        <v>0.5</v>
      </c>
      <c r="G7" t="s">
        <v>199</v>
      </c>
      <c r="I7" t="s">
        <v>211</v>
      </c>
    </row>
    <row r="8" spans="1:11">
      <c r="A8" s="2" t="s">
        <v>112</v>
      </c>
      <c r="B8" s="1" t="s">
        <v>51</v>
      </c>
      <c r="C8">
        <f t="shared" si="0"/>
        <v>1</v>
      </c>
      <c r="D8">
        <f t="shared" si="1"/>
        <v>4</v>
      </c>
      <c r="E8">
        <v>4</v>
      </c>
      <c r="F8">
        <v>1</v>
      </c>
      <c r="G8" t="s">
        <v>200</v>
      </c>
      <c r="I8" t="s">
        <v>212</v>
      </c>
    </row>
    <row r="9" spans="1:11">
      <c r="A9" s="2" t="s">
        <v>17</v>
      </c>
      <c r="B9" s="1" t="s">
        <v>215</v>
      </c>
      <c r="C9">
        <f t="shared" si="0"/>
        <v>26</v>
      </c>
      <c r="D9">
        <f t="shared" si="1"/>
        <v>6</v>
      </c>
      <c r="E9">
        <v>6</v>
      </c>
      <c r="F9">
        <v>1</v>
      </c>
      <c r="G9" t="s">
        <v>201</v>
      </c>
      <c r="I9" t="s">
        <v>213</v>
      </c>
    </row>
    <row r="10" spans="1:11">
      <c r="A10" s="2" t="s">
        <v>18</v>
      </c>
      <c r="B10" s="1" t="s">
        <v>217</v>
      </c>
      <c r="C10">
        <f t="shared" si="0"/>
        <v>32</v>
      </c>
      <c r="D10">
        <f t="shared" si="1"/>
        <v>0</v>
      </c>
      <c r="E10">
        <v>6</v>
      </c>
      <c r="F10">
        <v>0</v>
      </c>
      <c r="G10" t="s">
        <v>202</v>
      </c>
      <c r="I10" t="s">
        <v>214</v>
      </c>
    </row>
    <row r="11" spans="1:11">
      <c r="A11" s="2" t="s">
        <v>20</v>
      </c>
      <c r="B11" s="1" t="s">
        <v>220</v>
      </c>
      <c r="C11">
        <f t="shared" si="0"/>
        <v>3</v>
      </c>
      <c r="D11">
        <f t="shared" si="1"/>
        <v>0</v>
      </c>
      <c r="E11">
        <v>4</v>
      </c>
      <c r="F11">
        <v>0</v>
      </c>
      <c r="G11" t="s">
        <v>203</v>
      </c>
    </row>
    <row r="12" spans="1:11">
      <c r="A12" s="2" t="s">
        <v>21</v>
      </c>
      <c r="B12" s="1" t="s">
        <v>221</v>
      </c>
      <c r="C12">
        <f t="shared" si="0"/>
        <v>29</v>
      </c>
      <c r="D12">
        <f t="shared" si="1"/>
        <v>6</v>
      </c>
      <c r="E12">
        <v>6</v>
      </c>
      <c r="F12">
        <v>1</v>
      </c>
      <c r="G12" t="s">
        <v>204</v>
      </c>
    </row>
    <row r="13" spans="1:11">
      <c r="A13" s="2" t="s">
        <v>29</v>
      </c>
      <c r="B13" s="1" t="s">
        <v>222</v>
      </c>
      <c r="C13">
        <f t="shared" si="0"/>
        <v>32</v>
      </c>
      <c r="D13">
        <f t="shared" si="1"/>
        <v>0</v>
      </c>
      <c r="E13">
        <v>6</v>
      </c>
      <c r="F13">
        <v>0</v>
      </c>
      <c r="G13" t="s">
        <v>205</v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2:3">
      <c r="C17" t="str">
        <f t="shared" si="0"/>
        <v/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B20" s="1" t="s">
        <v>218</v>
      </c>
      <c r="C20">
        <f t="shared" si="0"/>
        <v>15</v>
      </c>
    </row>
    <row r="21" spans="2:3">
      <c r="B21" s="1" t="s">
        <v>219</v>
      </c>
      <c r="C21">
        <f t="shared" si="0"/>
        <v>7</v>
      </c>
    </row>
    <row r="22" spans="2:3">
      <c r="C22" t="str">
        <f t="shared" si="0"/>
        <v/>
      </c>
    </row>
    <row r="23" spans="2:3">
      <c r="C23" t="str">
        <f t="shared" si="0"/>
        <v/>
      </c>
    </row>
    <row r="24" spans="2:3">
      <c r="C24" t="str">
        <f t="shared" si="0"/>
        <v/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7F997-BB94-48EC-AED6-DFBC3EBED5B2}">
  <sheetPr codeName="Sheet10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8" sqref="F18"/>
    </sheetView>
  </sheetViews>
  <sheetFormatPr defaultRowHeight="18.75"/>
  <cols>
    <col min="1" max="1" width="9" style="2"/>
    <col min="2" max="2" width="59.25" style="1" customWidth="1"/>
    <col min="3" max="3" width="9.75" customWidth="1"/>
  </cols>
  <sheetData>
    <row r="1" spans="1:9">
      <c r="A1" s="2" t="s">
        <v>0</v>
      </c>
      <c r="B1" s="1" t="s">
        <v>147</v>
      </c>
    </row>
    <row r="2" spans="1:9">
      <c r="A2" s="2" t="s">
        <v>2</v>
      </c>
      <c r="B2" s="3" t="s">
        <v>224</v>
      </c>
      <c r="D2">
        <f>SUM(D4:D1000)</f>
        <v>26</v>
      </c>
      <c r="E2">
        <f>SUM(E4:E1000)</f>
        <v>50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237</v>
      </c>
      <c r="B4" s="1" t="s">
        <v>238</v>
      </c>
      <c r="C4">
        <f>IF(B4&lt;&gt;"",LEN(B4),"")</f>
        <v>30</v>
      </c>
      <c r="D4">
        <f>E4*F4</f>
        <v>6</v>
      </c>
      <c r="E4">
        <v>6</v>
      </c>
      <c r="F4">
        <v>1</v>
      </c>
    </row>
    <row r="5" spans="1:9">
      <c r="A5" s="2" t="s">
        <v>33</v>
      </c>
      <c r="B5" s="1" t="s">
        <v>239</v>
      </c>
      <c r="C5">
        <f t="shared" ref="C5:C68" si="0">IF(B5&lt;&gt;"",LEN(B5),"")</f>
        <v>5</v>
      </c>
      <c r="D5">
        <f t="shared" ref="D5:D12" si="1">E5*F5</f>
        <v>0</v>
      </c>
      <c r="E5">
        <v>4</v>
      </c>
      <c r="F5">
        <v>0</v>
      </c>
      <c r="G5" t="s">
        <v>225</v>
      </c>
      <c r="I5" t="s">
        <v>233</v>
      </c>
    </row>
    <row r="6" spans="1:9">
      <c r="B6" s="1" t="s">
        <v>240</v>
      </c>
      <c r="C6">
        <f t="shared" si="0"/>
        <v>8</v>
      </c>
      <c r="D6">
        <f t="shared" si="1"/>
        <v>4</v>
      </c>
      <c r="E6">
        <v>4</v>
      </c>
      <c r="F6">
        <v>1</v>
      </c>
      <c r="G6" t="s">
        <v>226</v>
      </c>
      <c r="I6" t="s">
        <v>234</v>
      </c>
    </row>
    <row r="7" spans="1:9">
      <c r="B7" s="1" t="s">
        <v>241</v>
      </c>
      <c r="C7">
        <f t="shared" si="0"/>
        <v>7</v>
      </c>
      <c r="D7">
        <f t="shared" si="1"/>
        <v>0</v>
      </c>
      <c r="E7">
        <v>4</v>
      </c>
      <c r="F7">
        <v>0</v>
      </c>
      <c r="G7" t="s">
        <v>227</v>
      </c>
      <c r="I7" t="s">
        <v>235</v>
      </c>
    </row>
    <row r="8" spans="1:9">
      <c r="B8" s="1" t="s">
        <v>242</v>
      </c>
      <c r="C8">
        <f t="shared" si="0"/>
        <v>6</v>
      </c>
      <c r="D8">
        <f t="shared" si="1"/>
        <v>4</v>
      </c>
      <c r="E8">
        <v>4</v>
      </c>
      <c r="F8">
        <v>1</v>
      </c>
      <c r="G8" t="s">
        <v>228</v>
      </c>
      <c r="I8" t="s">
        <v>236</v>
      </c>
    </row>
    <row r="9" spans="1:9">
      <c r="B9" s="1" t="s">
        <v>243</v>
      </c>
      <c r="C9">
        <f t="shared" si="0"/>
        <v>18</v>
      </c>
      <c r="D9">
        <f t="shared" si="1"/>
        <v>4</v>
      </c>
      <c r="E9">
        <v>4</v>
      </c>
      <c r="F9">
        <v>1</v>
      </c>
      <c r="G9" t="s">
        <v>229</v>
      </c>
    </row>
    <row r="10" spans="1:9">
      <c r="A10" s="2" t="s">
        <v>128</v>
      </c>
      <c r="B10" s="1" t="s">
        <v>245</v>
      </c>
      <c r="C10">
        <f t="shared" si="0"/>
        <v>22</v>
      </c>
      <c r="D10">
        <f t="shared" si="1"/>
        <v>0</v>
      </c>
      <c r="E10">
        <v>8</v>
      </c>
      <c r="F10">
        <v>0</v>
      </c>
      <c r="G10" t="s">
        <v>230</v>
      </c>
    </row>
    <row r="11" spans="1:9" ht="37.5">
      <c r="A11" s="2" t="s">
        <v>22</v>
      </c>
      <c r="B11" s="1" t="s">
        <v>246</v>
      </c>
      <c r="C11">
        <f t="shared" si="0"/>
        <v>44</v>
      </c>
      <c r="D11">
        <f t="shared" si="1"/>
        <v>0</v>
      </c>
      <c r="E11">
        <v>8</v>
      </c>
      <c r="F11">
        <v>0</v>
      </c>
      <c r="G11" t="s">
        <v>231</v>
      </c>
    </row>
    <row r="12" spans="1:9">
      <c r="A12" s="2" t="s">
        <v>23</v>
      </c>
      <c r="B12" s="1" t="s">
        <v>247</v>
      </c>
      <c r="C12">
        <f t="shared" si="0"/>
        <v>25</v>
      </c>
      <c r="D12">
        <f t="shared" si="1"/>
        <v>8</v>
      </c>
      <c r="E12">
        <v>8</v>
      </c>
      <c r="F12">
        <v>1</v>
      </c>
      <c r="G12" t="s">
        <v>232</v>
      </c>
    </row>
    <row r="13" spans="1:9">
      <c r="C13" t="str">
        <f t="shared" si="0"/>
        <v/>
      </c>
    </row>
    <row r="14" spans="1:9">
      <c r="C14" t="str">
        <f t="shared" si="0"/>
        <v/>
      </c>
      <c r="G14" t="s">
        <v>244</v>
      </c>
    </row>
    <row r="15" spans="1:9">
      <c r="C15" t="str">
        <f t="shared" si="0"/>
        <v/>
      </c>
    </row>
    <row r="16" spans="1:9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レビュー</vt:lpstr>
      <vt:lpstr>format</vt:lpstr>
      <vt:lpstr>1</vt:lpstr>
      <vt:lpstr>2</vt:lpstr>
      <vt:lpstr>3</vt:lpstr>
      <vt:lpstr>4</vt:lpstr>
      <vt:lpstr>5</vt:lpstr>
      <vt:lpstr>6</vt:lpstr>
      <vt:lpstr>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2025-02-11T03:59:18Z</dcterms:modified>
</cp:coreProperties>
</file>