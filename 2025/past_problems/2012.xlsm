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6D4B90D6-DA58-43CB-86A6-206B6AF9649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2" i="5" s="1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<sst xmlns="http://schemas.openxmlformats.org/spreadsheetml/2006/main" count="73" uniqueCount="65">
  <si>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</si>
  <si>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</si>
  <si>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</si>
  <si>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</si>
  <si>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</si>
  <si>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</si>
  <si>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</si>
  <si>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</si>
  <si>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</si>
  <si>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</si>
  <si>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</si>
  <si>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</si>
  <si>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PM2-1</t>
  </si>
  <si>
    <t>PM2-1</t>
    <phoneticPr fontId="1"/>
  </si>
  <si>
    <t>Aは医薬品</t>
    <rPh sb="2" eb="5">
      <t>イヤクヒン</t>
    </rPh>
    <phoneticPr fontId="1"/>
  </si>
  <si>
    <t>情報システム</t>
    <rPh sb="0" eb="2">
      <t>ジョウホウ</t>
    </rPh>
    <phoneticPr fontId="1"/>
  </si>
  <si>
    <t>営業、物流、総務、財務</t>
    <rPh sb="0" eb="2">
      <t>エイギョウ</t>
    </rPh>
    <rPh sb="3" eb="5">
      <t>ブツリュウ</t>
    </rPh>
    <rPh sb="6" eb="8">
      <t>ソウム</t>
    </rPh>
    <rPh sb="9" eb="11">
      <t>ザイム</t>
    </rPh>
    <phoneticPr fontId="1"/>
  </si>
  <si>
    <t>メールなどのIシステム</t>
    <phoneticPr fontId="1"/>
  </si>
  <si>
    <t>関西LC</t>
    <rPh sb="0" eb="2">
      <t>カンサイ</t>
    </rPh>
    <phoneticPr fontId="1"/>
  </si>
  <si>
    <t>MEDI</t>
    <phoneticPr fontId="1"/>
  </si>
  <si>
    <t>PC貸与</t>
    <rPh sb="2" eb="4">
      <t>タイヨ</t>
    </rPh>
    <phoneticPr fontId="1"/>
  </si>
  <si>
    <t>災害対策</t>
    <rPh sb="0" eb="2">
      <t>サイガイ</t>
    </rPh>
    <rPh sb="2" eb="4">
      <t>タイサク</t>
    </rPh>
    <phoneticPr fontId="1"/>
  </si>
  <si>
    <t>BDC</t>
    <phoneticPr fontId="1"/>
  </si>
  <si>
    <t>FW－A</t>
    <phoneticPr fontId="1"/>
  </si>
  <si>
    <t>C-DNS</t>
    <phoneticPr fontId="1"/>
  </si>
  <si>
    <t>外部MSV</t>
    <rPh sb="0" eb="2">
      <t>ガイブ</t>
    </rPh>
    <phoneticPr fontId="1"/>
  </si>
  <si>
    <t>PorxySV</t>
    <phoneticPr fontId="1"/>
  </si>
  <si>
    <t>1</t>
    <phoneticPr fontId="1"/>
  </si>
  <si>
    <t>a: HTTPS</t>
    <phoneticPr fontId="1"/>
  </si>
  <si>
    <t>b: SSH</t>
    <phoneticPr fontId="1"/>
  </si>
  <si>
    <t>通信回線障害</t>
    <rPh sb="0" eb="2">
      <t>ツウシン</t>
    </rPh>
    <rPh sb="2" eb="4">
      <t>カイセン</t>
    </rPh>
    <rPh sb="4" eb="6">
      <t>ショウガイ</t>
    </rPh>
    <phoneticPr fontId="1"/>
  </si>
  <si>
    <t>社内からInetはNG</t>
    <rPh sb="0" eb="2">
      <t>シャナイ</t>
    </rPh>
    <phoneticPr fontId="1"/>
  </si>
  <si>
    <t>MEDI代替市捨てう</t>
    <rPh sb="4" eb="6">
      <t>ダイタイ</t>
    </rPh>
    <rPh sb="6" eb="8">
      <t>シス</t>
    </rPh>
    <phoneticPr fontId="1"/>
  </si>
  <si>
    <t>2-(1)</t>
    <phoneticPr fontId="1"/>
  </si>
  <si>
    <t>c: プロキシサーバー</t>
    <phoneticPr fontId="1"/>
  </si>
  <si>
    <t>2-(2)</t>
    <phoneticPr fontId="1"/>
  </si>
  <si>
    <t>PCやプロキシサーバーより特定サーバーへの通信がないこと。</t>
    <rPh sb="13" eb="15">
      <t>トクテイ</t>
    </rPh>
    <rPh sb="21" eb="23">
      <t>ツウシン</t>
    </rPh>
    <phoneticPr fontId="1"/>
  </si>
  <si>
    <t>2-(3)</t>
    <phoneticPr fontId="1"/>
  </si>
  <si>
    <t>他者のPCを借用してメールを利用していた従業員</t>
    <rPh sb="0" eb="2">
      <t>タシャ</t>
    </rPh>
    <rPh sb="6" eb="8">
      <t>シャクヨウ</t>
    </rPh>
    <rPh sb="14" eb="16">
      <t>リヨウ</t>
    </rPh>
    <rPh sb="20" eb="23">
      <t>ジュウギョウイン</t>
    </rPh>
    <phoneticPr fontId="1"/>
  </si>
  <si>
    <t>2-(4)</t>
    <phoneticPr fontId="1"/>
  </si>
  <si>
    <t>PCの電源がはいっていない場合</t>
    <rPh sb="3" eb="5">
      <t>デンゲン</t>
    </rPh>
    <rPh sb="13" eb="15">
      <t>バアイ</t>
    </rPh>
    <phoneticPr fontId="1"/>
  </si>
  <si>
    <t>LANに接続していない場合</t>
    <rPh sb="4" eb="6">
      <t>セツゾク</t>
    </rPh>
    <rPh sb="11" eb="13">
      <t>バアイ</t>
    </rPh>
    <phoneticPr fontId="1"/>
  </si>
  <si>
    <t>I-DRシステム</t>
    <phoneticPr fontId="1"/>
  </si>
  <si>
    <t>情報システムが担当</t>
    <rPh sb="0" eb="2">
      <t>ジョウホウ</t>
    </rPh>
    <rPh sb="7" eb="9">
      <t>タントウ</t>
    </rPh>
    <phoneticPr fontId="1"/>
  </si>
  <si>
    <t>I-DRシステムへの切り替え</t>
    <rPh sb="10" eb="11">
      <t>キ</t>
    </rPh>
    <rPh sb="12" eb="13">
      <t>カ</t>
    </rPh>
    <phoneticPr fontId="1"/>
  </si>
  <si>
    <t>Iシステムへの切り戻し</t>
    <rPh sb="7" eb="8">
      <t>キ</t>
    </rPh>
    <rPh sb="9" eb="10">
      <t>モド</t>
    </rPh>
    <phoneticPr fontId="1"/>
  </si>
  <si>
    <t>3-(1)</t>
    <phoneticPr fontId="1"/>
  </si>
  <si>
    <t>d:外部メールDRサーバー</t>
    <rPh sb="2" eb="4">
      <t>ガイブ</t>
    </rPh>
    <phoneticPr fontId="1"/>
  </si>
  <si>
    <t>e:内部メールDRサーバー</t>
    <rPh sb="2" eb="4">
      <t>ナイブ</t>
    </rPh>
    <phoneticPr fontId="1"/>
  </si>
  <si>
    <t>3-(2)</t>
    <phoneticPr fontId="1"/>
  </si>
  <si>
    <t>参照する0DNSサーバーに切り替え前の情報が保持されている</t>
  </si>
  <si>
    <t>3-(3)</t>
    <phoneticPr fontId="1"/>
  </si>
  <si>
    <t>プロキシDRサーバーからサービス管理webサーバーへの通信を許可するようにFW-1の設定を追加する</t>
    <rPh sb="16" eb="18">
      <t>カンリ</t>
    </rPh>
    <rPh sb="27" eb="29">
      <t>ツウシン</t>
    </rPh>
    <rPh sb="30" eb="32">
      <t>キョカ</t>
    </rPh>
    <rPh sb="42" eb="44">
      <t>セッテイ</t>
    </rPh>
    <rPh sb="45" eb="47">
      <t>ツイカ</t>
    </rPh>
    <phoneticPr fontId="1"/>
  </si>
  <si>
    <t>4-(1)</t>
    <phoneticPr fontId="1"/>
  </si>
  <si>
    <t>公開webサーバで災害時の在り方</t>
    <rPh sb="0" eb="2">
      <t>コウカイ</t>
    </rPh>
    <rPh sb="9" eb="12">
      <t>サイガイジ</t>
    </rPh>
    <rPh sb="13" eb="14">
      <t>ア</t>
    </rPh>
    <rPh sb="15" eb="16">
      <t>カタ</t>
    </rPh>
    <phoneticPr fontId="1"/>
  </si>
  <si>
    <t>webサーバーへのアクセス</t>
    <phoneticPr fontId="1"/>
  </si>
  <si>
    <t>画像情報を最小限にして、文字主体のページとする</t>
    <rPh sb="0" eb="4">
      <t>ガゾウジョウホウ</t>
    </rPh>
    <rPh sb="5" eb="8">
      <t>サイショウゲン</t>
    </rPh>
    <rPh sb="12" eb="16">
      <t>モジシュタイ</t>
    </rPh>
    <phoneticPr fontId="1"/>
  </si>
  <si>
    <t>4-(2)</t>
    <phoneticPr fontId="1"/>
  </si>
  <si>
    <t>2012-春</t>
  </si>
  <si>
    <t>2012-春</t>
    <rPh sb="5" eb="6">
      <t>ハル</t>
    </rPh>
    <phoneticPr fontId="1"/>
  </si>
  <si>
    <t>動画サイトへの通信を制限する。</t>
    <rPh sb="0" eb="2">
      <t>ドウガ</t>
    </rPh>
    <rPh sb="7" eb="9">
      <t>ツウシン</t>
    </rPh>
    <rPh sb="10" eb="12">
      <t>セイゲン</t>
    </rPh>
    <phoneticPr fontId="1"/>
  </si>
  <si>
    <t>5-(1)</t>
    <phoneticPr fontId="1"/>
  </si>
  <si>
    <t>迷惑メール定義ファイルを最新にする</t>
    <rPh sb="0" eb="2">
      <t>メイワク</t>
    </rPh>
    <rPh sb="5" eb="7">
      <t>テイギ</t>
    </rPh>
    <rPh sb="12" eb="14">
      <t>サイシン</t>
    </rPh>
    <phoneticPr fontId="1"/>
  </si>
  <si>
    <t>5-(2)</t>
    <phoneticPr fontId="1"/>
  </si>
  <si>
    <t>設定の反映と、最新の修正プログラムをIシステムの機器に行う</t>
    <rPh sb="0" eb="2">
      <t>セッテイ</t>
    </rPh>
    <rPh sb="3" eb="5">
      <t>ハンエイ</t>
    </rPh>
    <rPh sb="7" eb="9">
      <t>サイシン</t>
    </rPh>
    <rPh sb="10" eb="12">
      <t>シュウセイ</t>
    </rPh>
    <rPh sb="24" eb="26">
      <t>キキ</t>
    </rPh>
    <rPh sb="27" eb="2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</si>
</sst>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K10" sqref="K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58</v>
      </c>
      <c r="C2" s="2" t="s">
        <v>12</v>
      </c>
      <c r="D2">
        <v>74</v>
      </c>
      <c r="E2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84970-4B3C-4BE5-BFE5-FA15FFD7E1CB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8" sqref="D4:D18"/>
    </sheetView>
  </sheetViews>
  <sheetFormatPr defaultRowHeight="18.75"/>
  <cols>
    <col min="1" max="1" width="9" style="2"/>
    <col min="2" max="2" width="72" style="1" customWidth="1"/>
    <col min="3" max="3" width="9.75" customWidth="1"/>
  </cols>
  <sheetData>
    <row r="1" spans="1:15">
      <c r="A1" s="2" t="s">
        <v>0</v>
      </c>
      <c r="B1" s="1" t="s">
        <v>59</v>
      </c>
    </row>
    <row r="2" spans="1:15">
      <c r="A2" s="2" t="s">
        <v>2</v>
      </c>
      <c r="B2" s="3" t="s">
        <v>13</v>
      </c>
      <c r="D2">
        <f>SUM(D4:D1000)</f>
        <v>74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27</v>
      </c>
      <c r="B4" s="1" t="s">
        <v>28</v>
      </c>
      <c r="C4">
        <f>IF(B4&lt;&gt;"",LEN(B4),"")</f>
        <v>8</v>
      </c>
      <c r="D4">
        <f>E4*F4</f>
        <v>4</v>
      </c>
      <c r="E4">
        <v>4</v>
      </c>
      <c r="F4">
        <v>1</v>
      </c>
    </row>
    <row r="5" spans="1:15">
      <c r="B5" s="1" t="s">
        <v>29</v>
      </c>
      <c r="C5">
        <f t="shared" ref="C5:C68" si="0">IF(B5&lt;&gt;"",LEN(B5),"")</f>
        <v>6</v>
      </c>
      <c r="D5">
        <f t="shared" ref="D5:D18" si="1">E5*F5</f>
        <v>4</v>
      </c>
      <c r="E5">
        <v>4</v>
      </c>
      <c r="F5">
        <v>1</v>
      </c>
      <c r="G5" t="s">
        <v>14</v>
      </c>
      <c r="I5" t="s">
        <v>18</v>
      </c>
      <c r="K5" t="s">
        <v>22</v>
      </c>
      <c r="M5" t="s">
        <v>26</v>
      </c>
      <c r="O5" t="s">
        <v>42</v>
      </c>
    </row>
    <row r="6" spans="1:15">
      <c r="A6" s="2" t="s">
        <v>33</v>
      </c>
      <c r="B6" s="1" t="s">
        <v>34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15</v>
      </c>
      <c r="I6" t="s">
        <v>19</v>
      </c>
      <c r="K6" t="s">
        <v>23</v>
      </c>
      <c r="M6" t="s">
        <v>30</v>
      </c>
      <c r="O6" t="s">
        <v>43</v>
      </c>
    </row>
    <row r="7" spans="1:15">
      <c r="A7" s="2" t="s">
        <v>35</v>
      </c>
      <c r="B7" s="1" t="s">
        <v>36</v>
      </c>
      <c r="C7">
        <f t="shared" si="0"/>
        <v>29</v>
      </c>
      <c r="D7">
        <f t="shared" si="1"/>
        <v>6</v>
      </c>
      <c r="E7">
        <v>6</v>
      </c>
      <c r="F7">
        <v>1</v>
      </c>
      <c r="G7" t="s">
        <v>16</v>
      </c>
      <c r="I7" t="s">
        <v>20</v>
      </c>
      <c r="K7" t="s">
        <v>24</v>
      </c>
      <c r="M7" t="s">
        <v>31</v>
      </c>
      <c r="O7" t="s">
        <v>44</v>
      </c>
    </row>
    <row r="8" spans="1:15">
      <c r="A8" s="2" t="s">
        <v>37</v>
      </c>
      <c r="B8" s="1" t="s">
        <v>40</v>
      </c>
      <c r="C8">
        <f t="shared" si="0"/>
        <v>15</v>
      </c>
      <c r="D8">
        <f t="shared" si="1"/>
        <v>6</v>
      </c>
      <c r="E8">
        <v>6</v>
      </c>
      <c r="F8">
        <v>1</v>
      </c>
      <c r="G8" t="s">
        <v>17</v>
      </c>
      <c r="I8" t="s">
        <v>21</v>
      </c>
      <c r="K8" t="s">
        <v>25</v>
      </c>
      <c r="M8" t="s">
        <v>32</v>
      </c>
      <c r="O8" t="s">
        <v>45</v>
      </c>
    </row>
    <row r="9" spans="1:15">
      <c r="B9" s="1" t="s">
        <v>41</v>
      </c>
      <c r="C9">
        <f t="shared" si="0"/>
        <v>13</v>
      </c>
      <c r="D9">
        <f t="shared" si="1"/>
        <v>6</v>
      </c>
      <c r="E9">
        <v>6</v>
      </c>
      <c r="F9">
        <v>1</v>
      </c>
    </row>
    <row r="10" spans="1:15">
      <c r="A10" s="2" t="s">
        <v>39</v>
      </c>
      <c r="B10" s="1" t="s">
        <v>38</v>
      </c>
      <c r="C10">
        <f t="shared" si="0"/>
        <v>23</v>
      </c>
      <c r="D10">
        <f t="shared" si="1"/>
        <v>8</v>
      </c>
      <c r="E10">
        <v>8</v>
      </c>
      <c r="F10">
        <v>1</v>
      </c>
      <c r="G10" t="s">
        <v>54</v>
      </c>
    </row>
    <row r="11" spans="1:15">
      <c r="A11" s="2" t="s">
        <v>46</v>
      </c>
      <c r="B11" s="1" t="s">
        <v>47</v>
      </c>
      <c r="C11">
        <f t="shared" si="0"/>
        <v>13</v>
      </c>
      <c r="D11">
        <f t="shared" si="1"/>
        <v>6</v>
      </c>
      <c r="E11">
        <v>6</v>
      </c>
      <c r="F11">
        <v>1</v>
      </c>
      <c r="G11" t="s">
        <v>55</v>
      </c>
    </row>
    <row r="12" spans="1:15">
      <c r="B12" s="1" t="s">
        <v>48</v>
      </c>
      <c r="C12">
        <f t="shared" si="0"/>
        <v>13</v>
      </c>
      <c r="D12">
        <f t="shared" si="1"/>
        <v>0</v>
      </c>
      <c r="E12">
        <v>6</v>
      </c>
      <c r="F12">
        <v>0</v>
      </c>
    </row>
    <row r="13" spans="1:15">
      <c r="A13" s="2" t="s">
        <v>49</v>
      </c>
      <c r="B13" s="1" t="s">
        <v>50</v>
      </c>
      <c r="C13">
        <f t="shared" si="0"/>
        <v>29</v>
      </c>
      <c r="D13">
        <f t="shared" si="1"/>
        <v>0</v>
      </c>
      <c r="E13">
        <v>8</v>
      </c>
      <c r="F13">
        <v>0</v>
      </c>
    </row>
    <row r="14" spans="1:15" ht="37.5">
      <c r="A14" s="2" t="s">
        <v>51</v>
      </c>
      <c r="B14" s="1" t="s">
        <v>52</v>
      </c>
      <c r="C14">
        <f t="shared" si="0"/>
        <v>49</v>
      </c>
      <c r="D14">
        <f t="shared" si="1"/>
        <v>8</v>
      </c>
      <c r="E14">
        <v>8</v>
      </c>
      <c r="F14">
        <v>1</v>
      </c>
    </row>
    <row r="15" spans="1:15">
      <c r="A15" s="2" t="s">
        <v>53</v>
      </c>
      <c r="B15" s="1" t="s">
        <v>56</v>
      </c>
      <c r="C15">
        <f t="shared" si="0"/>
        <v>23</v>
      </c>
      <c r="D15">
        <f t="shared" si="1"/>
        <v>8</v>
      </c>
      <c r="E15">
        <v>8</v>
      </c>
      <c r="F15">
        <v>1</v>
      </c>
    </row>
    <row r="16" spans="1:15">
      <c r="A16" s="2" t="s">
        <v>57</v>
      </c>
      <c r="B16" s="1" t="s">
        <v>60</v>
      </c>
      <c r="C16">
        <f t="shared" si="0"/>
        <v>15</v>
      </c>
      <c r="D16">
        <f t="shared" si="1"/>
        <v>8</v>
      </c>
      <c r="E16">
        <v>8</v>
      </c>
      <c r="F16">
        <v>1</v>
      </c>
    </row>
    <row r="17" spans="1:6">
      <c r="A17" s="2" t="s">
        <v>61</v>
      </c>
      <c r="B17" s="1" t="s">
        <v>62</v>
      </c>
      <c r="C17">
        <f t="shared" si="0"/>
        <v>17</v>
      </c>
      <c r="D17">
        <f t="shared" si="1"/>
        <v>0</v>
      </c>
      <c r="E17">
        <v>8</v>
      </c>
      <c r="F17">
        <v>0</v>
      </c>
    </row>
    <row r="18" spans="1:6">
      <c r="A18" s="2" t="s">
        <v>63</v>
      </c>
      <c r="B18" s="1" t="s">
        <v>64</v>
      </c>
      <c r="C18">
        <f t="shared" si="0"/>
        <v>29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2025-02-16T00:43:31Z</dcterms:modified>
</cp:coreProperties>
</file>