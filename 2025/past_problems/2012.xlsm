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DC05BD20-4804-7139-695A-D245BE01A29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shinsh\Documents\python project\personal-trials\security_specialist\2025\past_problems\"/>
    </mc:Choice>
  </mc:AlternateContent>
  <xr:revisionPtr revIDLastSave="0" documentId="13_ncr:1_{F31B0C56-8515-4C38-A986-8EAC9E3D4F10}" xr6:coauthVersionLast="47" xr6:coauthVersionMax="47" xr10:uidLastSave="{00000000-0000-0000-0000-000000000000}"/>
  <bookViews>
    <workbookView xWindow="-108" yWindow="-108" windowWidth="23256" windowHeight="14856" xr2:uid="{00000000-000D-0000-FFFF-FFFF00000000}"/>
  </bookViews>
  <sheets>
    <sheet name="レビュー" sheetId="2" r:id="rId1"/>
    <sheet name="format" sheetId="4" r:id="rId2"/>
    <sheet name="1" sheetId="5" r:id="rId3"/>
    <sheet name="2" sheetId="6" r:id="rId4"/>
    <sheet name="3" sheetId="7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4" i="7" l="1"/>
  <c r="D13" i="7"/>
  <c r="D12" i="7"/>
  <c r="D11" i="7"/>
  <c r="D10" i="7"/>
  <c r="D9" i="7"/>
  <c r="D8" i="7"/>
  <c r="D7" i="7"/>
  <c r="D6" i="7"/>
  <c r="D5" i="7"/>
  <c r="D4" i="7"/>
  <c r="C167" i="7"/>
  <c r="C166" i="7"/>
  <c r="C165" i="7"/>
  <c r="C164" i="7"/>
  <c r="C163" i="7"/>
  <c r="C162" i="7"/>
  <c r="C161" i="7"/>
  <c r="C160" i="7"/>
  <c r="C159" i="7"/>
  <c r="C158" i="7"/>
  <c r="C157" i="7"/>
  <c r="C156" i="7"/>
  <c r="C155" i="7"/>
  <c r="C154" i="7"/>
  <c r="C153" i="7"/>
  <c r="C152" i="7"/>
  <c r="C151" i="7"/>
  <c r="C150" i="7"/>
  <c r="C149" i="7"/>
  <c r="C148" i="7"/>
  <c r="C147" i="7"/>
  <c r="C146" i="7"/>
  <c r="C145" i="7"/>
  <c r="C144" i="7"/>
  <c r="C143" i="7"/>
  <c r="C142" i="7"/>
  <c r="C141" i="7"/>
  <c r="C140" i="7"/>
  <c r="C139" i="7"/>
  <c r="C138" i="7"/>
  <c r="C137" i="7"/>
  <c r="C136" i="7"/>
  <c r="C135" i="7"/>
  <c r="C134" i="7"/>
  <c r="C133" i="7"/>
  <c r="C132" i="7"/>
  <c r="C131" i="7"/>
  <c r="C130" i="7"/>
  <c r="C129" i="7"/>
  <c r="C128" i="7"/>
  <c r="C127" i="7"/>
  <c r="C126" i="7"/>
  <c r="C125" i="7"/>
  <c r="C124" i="7"/>
  <c r="C123" i="7"/>
  <c r="C122" i="7"/>
  <c r="C121" i="7"/>
  <c r="C120" i="7"/>
  <c r="C119" i="7"/>
  <c r="C118" i="7"/>
  <c r="C117" i="7"/>
  <c r="C116" i="7"/>
  <c r="C115" i="7"/>
  <c r="C114" i="7"/>
  <c r="C113" i="7"/>
  <c r="C112" i="7"/>
  <c r="C111" i="7"/>
  <c r="C110" i="7"/>
  <c r="C109" i="7"/>
  <c r="C108" i="7"/>
  <c r="C107" i="7"/>
  <c r="C106" i="7"/>
  <c r="C105" i="7"/>
  <c r="C104" i="7"/>
  <c r="C103" i="7"/>
  <c r="C102" i="7"/>
  <c r="C101" i="7"/>
  <c r="C100" i="7"/>
  <c r="C99" i="7"/>
  <c r="C98" i="7"/>
  <c r="C97" i="7"/>
  <c r="C96" i="7"/>
  <c r="C95" i="7"/>
  <c r="C94" i="7"/>
  <c r="C93" i="7"/>
  <c r="C92" i="7"/>
  <c r="C91" i="7"/>
  <c r="C90" i="7"/>
  <c r="C89" i="7"/>
  <c r="C88" i="7"/>
  <c r="C87" i="7"/>
  <c r="C86" i="7"/>
  <c r="C85" i="7"/>
  <c r="C84" i="7"/>
  <c r="C83" i="7"/>
  <c r="C82" i="7"/>
  <c r="C81" i="7"/>
  <c r="C80" i="7"/>
  <c r="C79" i="7"/>
  <c r="C78" i="7"/>
  <c r="C77" i="7"/>
  <c r="C76" i="7"/>
  <c r="C75" i="7"/>
  <c r="C74" i="7"/>
  <c r="C73" i="7"/>
  <c r="C72" i="7"/>
  <c r="C71" i="7"/>
  <c r="C70" i="7"/>
  <c r="C69" i="7"/>
  <c r="C68" i="7"/>
  <c r="C67" i="7"/>
  <c r="C66" i="7"/>
  <c r="C65" i="7"/>
  <c r="C64" i="7"/>
  <c r="C63" i="7"/>
  <c r="C62" i="7"/>
  <c r="C61" i="7"/>
  <c r="C60" i="7"/>
  <c r="C59" i="7"/>
  <c r="C58" i="7"/>
  <c r="C57" i="7"/>
  <c r="C56" i="7"/>
  <c r="C55" i="7"/>
  <c r="C54" i="7"/>
  <c r="C53" i="7"/>
  <c r="C52" i="7"/>
  <c r="C51" i="7"/>
  <c r="C50" i="7"/>
  <c r="C49" i="7"/>
  <c r="C48" i="7"/>
  <c r="C47" i="7"/>
  <c r="C46" i="7"/>
  <c r="C45" i="7"/>
  <c r="C44" i="7"/>
  <c r="C43" i="7"/>
  <c r="C42" i="7"/>
  <c r="C41" i="7"/>
  <c r="C40" i="7"/>
  <c r="C39" i="7"/>
  <c r="C38" i="7"/>
  <c r="C37" i="7"/>
  <c r="C36" i="7"/>
  <c r="C35" i="7"/>
  <c r="C34" i="7"/>
  <c r="C33" i="7"/>
  <c r="C32" i="7"/>
  <c r="C31" i="7"/>
  <c r="C30" i="7"/>
  <c r="C29" i="7"/>
  <c r="C28" i="7"/>
  <c r="C27" i="7"/>
  <c r="C26" i="7"/>
  <c r="C25" i="7"/>
  <c r="C24" i="7"/>
  <c r="C23" i="7"/>
  <c r="C22" i="7"/>
  <c r="C21" i="7"/>
  <c r="C20" i="7"/>
  <c r="C19" i="7"/>
  <c r="C18" i="7"/>
  <c r="C17" i="7"/>
  <c r="C16" i="7"/>
  <c r="C15" i="7"/>
  <c r="C14" i="7"/>
  <c r="C13" i="7"/>
  <c r="C12" i="7"/>
  <c r="C11" i="7"/>
  <c r="C10" i="7"/>
  <c r="C9" i="7"/>
  <c r="C8" i="7"/>
  <c r="C7" i="7"/>
  <c r="C6" i="7"/>
  <c r="C5" i="7"/>
  <c r="C4" i="7"/>
  <c r="E2" i="7"/>
  <c r="D2" i="7"/>
  <c r="D13" i="6"/>
  <c r="D12" i="6"/>
  <c r="D11" i="6"/>
  <c r="D10" i="6"/>
  <c r="D9" i="6"/>
  <c r="D8" i="6"/>
  <c r="D7" i="6"/>
  <c r="D6" i="6"/>
  <c r="D5" i="6"/>
  <c r="D4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E2" i="6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C167" i="5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E2" i="5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E2" i="4"/>
  <c r="D2" i="4"/>
  <c r="D2" i="6" l="1"/>
  <c r="D2" i="5"/>
</calcChain>
</file>

<file path=xl/sharedStrings.xml><?xml version="1.0" encoding="utf-8"?>
<sst xmlns="http://schemas.openxmlformats.org/spreadsheetml/2006/main" count="196" uniqueCount="148">
  <si>
    <t>問題集</t>
    <rPh sb="0" eb="2">
      <t>モンダイ</t>
    </rPh>
    <rPh sb="2" eb="3">
      <t>アツ</t>
    </rPh>
    <phoneticPr fontId="1"/>
  </si>
  <si>
    <t>問題番号</t>
    <rPh sb="0" eb="2">
      <t>モンダイ</t>
    </rPh>
    <rPh sb="2" eb="4">
      <t>バンゴウ</t>
    </rPh>
    <phoneticPr fontId="1"/>
  </si>
  <si>
    <t>大問番号</t>
    <rPh sb="0" eb="2">
      <t>ダイモン</t>
    </rPh>
    <rPh sb="2" eb="4">
      <t>バンゴウ</t>
    </rPh>
    <phoneticPr fontId="1"/>
  </si>
  <si>
    <t>解答</t>
    <rPh sb="0" eb="2">
      <t>カイトウ</t>
    </rPh>
    <phoneticPr fontId="1"/>
  </si>
  <si>
    <t>採点</t>
    <rPh sb="0" eb="2">
      <t>サイテン</t>
    </rPh>
    <phoneticPr fontId="1"/>
  </si>
  <si>
    <t>配点</t>
    <rPh sb="0" eb="2">
      <t>ハイテン</t>
    </rPh>
    <phoneticPr fontId="1"/>
  </si>
  <si>
    <t>文字数</t>
    <rPh sb="0" eb="3">
      <t>モジスウ</t>
    </rPh>
    <phoneticPr fontId="1"/>
  </si>
  <si>
    <t>問題集</t>
    <rPh sb="0" eb="3">
      <t>モンダイシュウ</t>
    </rPh>
    <phoneticPr fontId="1"/>
  </si>
  <si>
    <t>大問</t>
    <rPh sb="0" eb="2">
      <t>ダイモン</t>
    </rPh>
    <phoneticPr fontId="1"/>
  </si>
  <si>
    <t>得点</t>
    <rPh sb="0" eb="2">
      <t>トクテン</t>
    </rPh>
    <phoneticPr fontId="1"/>
  </si>
  <si>
    <t>不正解の問題</t>
    <rPh sb="0" eb="3">
      <t>フセイカイ</t>
    </rPh>
    <rPh sb="4" eb="6">
      <t>モンダイ</t>
    </rPh>
    <phoneticPr fontId="1"/>
  </si>
  <si>
    <t>シート番号</t>
    <rPh sb="3" eb="5">
      <t>バンゴウ</t>
    </rPh>
    <phoneticPr fontId="1"/>
  </si>
  <si>
    <t>PM2-1</t>
  </si>
  <si>
    <t>PM2-1</t>
    <phoneticPr fontId="1"/>
  </si>
  <si>
    <t>Aは医薬品</t>
    <rPh sb="2" eb="5">
      <t>イヤクヒン</t>
    </rPh>
    <phoneticPr fontId="1"/>
  </si>
  <si>
    <t>情報システム</t>
    <rPh sb="0" eb="2">
      <t>ジョウホウ</t>
    </rPh>
    <phoneticPr fontId="1"/>
  </si>
  <si>
    <t>営業、物流、総務、財務</t>
    <rPh sb="0" eb="2">
      <t>エイギョウ</t>
    </rPh>
    <rPh sb="3" eb="5">
      <t>ブツリュウ</t>
    </rPh>
    <rPh sb="6" eb="8">
      <t>ソウム</t>
    </rPh>
    <rPh sb="9" eb="11">
      <t>ザイム</t>
    </rPh>
    <phoneticPr fontId="1"/>
  </si>
  <si>
    <t>メールなどのIシステム</t>
    <phoneticPr fontId="1"/>
  </si>
  <si>
    <t>関西LC</t>
    <rPh sb="0" eb="2">
      <t>カンサイ</t>
    </rPh>
    <phoneticPr fontId="1"/>
  </si>
  <si>
    <t>MEDI</t>
    <phoneticPr fontId="1"/>
  </si>
  <si>
    <t>PC貸与</t>
    <rPh sb="2" eb="4">
      <t>タイヨ</t>
    </rPh>
    <phoneticPr fontId="1"/>
  </si>
  <si>
    <t>災害対策</t>
    <rPh sb="0" eb="2">
      <t>サイガイ</t>
    </rPh>
    <rPh sb="2" eb="4">
      <t>タイサク</t>
    </rPh>
    <phoneticPr fontId="1"/>
  </si>
  <si>
    <t>BDC</t>
    <phoneticPr fontId="1"/>
  </si>
  <si>
    <t>FW－A</t>
    <phoneticPr fontId="1"/>
  </si>
  <si>
    <t>C-DNS</t>
    <phoneticPr fontId="1"/>
  </si>
  <si>
    <t>外部MSV</t>
    <rPh sb="0" eb="2">
      <t>ガイブ</t>
    </rPh>
    <phoneticPr fontId="1"/>
  </si>
  <si>
    <t>PorxySV</t>
    <phoneticPr fontId="1"/>
  </si>
  <si>
    <t>1</t>
    <phoneticPr fontId="1"/>
  </si>
  <si>
    <t>a: HTTPS</t>
    <phoneticPr fontId="1"/>
  </si>
  <si>
    <t>b: SSH</t>
    <phoneticPr fontId="1"/>
  </si>
  <si>
    <t>通信回線障害</t>
    <rPh sb="0" eb="2">
      <t>ツウシン</t>
    </rPh>
    <rPh sb="2" eb="4">
      <t>カイセン</t>
    </rPh>
    <rPh sb="4" eb="6">
      <t>ショウガイ</t>
    </rPh>
    <phoneticPr fontId="1"/>
  </si>
  <si>
    <t>社内からInetはNG</t>
    <rPh sb="0" eb="2">
      <t>シャナイ</t>
    </rPh>
    <phoneticPr fontId="1"/>
  </si>
  <si>
    <t>MEDI代替市捨てう</t>
    <rPh sb="4" eb="6">
      <t>ダイタイ</t>
    </rPh>
    <rPh sb="6" eb="8">
      <t>シス</t>
    </rPh>
    <phoneticPr fontId="1"/>
  </si>
  <si>
    <t>2-(1)</t>
    <phoneticPr fontId="1"/>
  </si>
  <si>
    <t>c: プロキシサーバー</t>
    <phoneticPr fontId="1"/>
  </si>
  <si>
    <t>2-(2)</t>
    <phoneticPr fontId="1"/>
  </si>
  <si>
    <t>PCやプロキシサーバーより特定サーバーへの通信がないこと。</t>
    <rPh sb="13" eb="15">
      <t>トクテイ</t>
    </rPh>
    <rPh sb="21" eb="23">
      <t>ツウシン</t>
    </rPh>
    <phoneticPr fontId="1"/>
  </si>
  <si>
    <t>2-(3)</t>
    <phoneticPr fontId="1"/>
  </si>
  <si>
    <t>他者のPCを借用してメールを利用していた従業員</t>
    <rPh sb="0" eb="2">
      <t>タシャ</t>
    </rPh>
    <rPh sb="6" eb="8">
      <t>シャクヨウ</t>
    </rPh>
    <rPh sb="14" eb="16">
      <t>リヨウ</t>
    </rPh>
    <rPh sb="20" eb="23">
      <t>ジュウギョウイン</t>
    </rPh>
    <phoneticPr fontId="1"/>
  </si>
  <si>
    <t>2-(4)</t>
    <phoneticPr fontId="1"/>
  </si>
  <si>
    <t>PCの電源がはいっていない場合</t>
    <rPh sb="3" eb="5">
      <t>デンゲン</t>
    </rPh>
    <rPh sb="13" eb="15">
      <t>バアイ</t>
    </rPh>
    <phoneticPr fontId="1"/>
  </si>
  <si>
    <t>LANに接続していない場合</t>
    <rPh sb="4" eb="6">
      <t>セツゾク</t>
    </rPh>
    <rPh sb="11" eb="13">
      <t>バアイ</t>
    </rPh>
    <phoneticPr fontId="1"/>
  </si>
  <si>
    <t>I-DRシステム</t>
    <phoneticPr fontId="1"/>
  </si>
  <si>
    <t>情報システムが担当</t>
    <rPh sb="0" eb="2">
      <t>ジョウホウ</t>
    </rPh>
    <rPh sb="7" eb="9">
      <t>タントウ</t>
    </rPh>
    <phoneticPr fontId="1"/>
  </si>
  <si>
    <t>I-DRシステムへの切り替え</t>
    <rPh sb="10" eb="11">
      <t>キ</t>
    </rPh>
    <rPh sb="12" eb="13">
      <t>カ</t>
    </rPh>
    <phoneticPr fontId="1"/>
  </si>
  <si>
    <t>Iシステムへの切り戻し</t>
    <rPh sb="7" eb="8">
      <t>キ</t>
    </rPh>
    <rPh sb="9" eb="10">
      <t>モド</t>
    </rPh>
    <phoneticPr fontId="1"/>
  </si>
  <si>
    <t>3-(1)</t>
    <phoneticPr fontId="1"/>
  </si>
  <si>
    <t>d:外部メールDRサーバー</t>
    <rPh sb="2" eb="4">
      <t>ガイブ</t>
    </rPh>
    <phoneticPr fontId="1"/>
  </si>
  <si>
    <t>e:内部メールDRサーバー</t>
    <rPh sb="2" eb="4">
      <t>ナイブ</t>
    </rPh>
    <phoneticPr fontId="1"/>
  </si>
  <si>
    <t>3-(2)</t>
    <phoneticPr fontId="1"/>
  </si>
  <si>
    <t>参照する0DNSサーバーに切り替え前の情報が保持されている</t>
  </si>
  <si>
    <t>3-(3)</t>
    <phoneticPr fontId="1"/>
  </si>
  <si>
    <t>プロキシDRサーバーからサービス管理webサーバーへの通信を許可するようにFW-1の設定を追加する</t>
    <rPh sb="16" eb="18">
      <t>カンリ</t>
    </rPh>
    <rPh sb="27" eb="29">
      <t>ツウシン</t>
    </rPh>
    <rPh sb="30" eb="32">
      <t>キョカ</t>
    </rPh>
    <rPh sb="42" eb="44">
      <t>セッテイ</t>
    </rPh>
    <rPh sb="45" eb="47">
      <t>ツイカ</t>
    </rPh>
    <phoneticPr fontId="1"/>
  </si>
  <si>
    <t>4-(1)</t>
    <phoneticPr fontId="1"/>
  </si>
  <si>
    <t>公開webサーバで災害時の在り方</t>
    <rPh sb="0" eb="2">
      <t>コウカイ</t>
    </rPh>
    <rPh sb="9" eb="12">
      <t>サイガイジ</t>
    </rPh>
    <rPh sb="13" eb="14">
      <t>ア</t>
    </rPh>
    <rPh sb="15" eb="16">
      <t>カタ</t>
    </rPh>
    <phoneticPr fontId="1"/>
  </si>
  <si>
    <t>webサーバーへのアクセス</t>
    <phoneticPr fontId="1"/>
  </si>
  <si>
    <t>画像情報を最小限にして、文字主体のページとする</t>
    <rPh sb="0" eb="4">
      <t>ガゾウジョウホウ</t>
    </rPh>
    <rPh sb="5" eb="8">
      <t>サイショウゲン</t>
    </rPh>
    <rPh sb="12" eb="16">
      <t>モジシュタイ</t>
    </rPh>
    <phoneticPr fontId="1"/>
  </si>
  <si>
    <t>4-(2)</t>
    <phoneticPr fontId="1"/>
  </si>
  <si>
    <t>2012-春</t>
  </si>
  <si>
    <t>2012-春</t>
    <rPh sb="5" eb="6">
      <t>ハル</t>
    </rPh>
    <phoneticPr fontId="1"/>
  </si>
  <si>
    <t>動画サイトへの通信を制限する。</t>
    <rPh sb="0" eb="2">
      <t>ドウガ</t>
    </rPh>
    <rPh sb="7" eb="9">
      <t>ツウシン</t>
    </rPh>
    <rPh sb="10" eb="12">
      <t>セイゲン</t>
    </rPh>
    <phoneticPr fontId="1"/>
  </si>
  <si>
    <t>5-(1)</t>
    <phoneticPr fontId="1"/>
  </si>
  <si>
    <t>迷惑メール定義ファイルを最新にする</t>
    <rPh sb="0" eb="2">
      <t>メイワク</t>
    </rPh>
    <rPh sb="5" eb="7">
      <t>テイギ</t>
    </rPh>
    <rPh sb="12" eb="14">
      <t>サイシン</t>
    </rPh>
    <phoneticPr fontId="1"/>
  </si>
  <si>
    <t>5-(2)</t>
    <phoneticPr fontId="1"/>
  </si>
  <si>
    <t>設定の反映と、最新の修正プログラムをIシステムの機器に行う</t>
    <rPh sb="0" eb="2">
      <t>セッテイ</t>
    </rPh>
    <rPh sb="3" eb="5">
      <t>ハンエイ</t>
    </rPh>
    <rPh sb="7" eb="9">
      <t>サイシン</t>
    </rPh>
    <rPh sb="10" eb="12">
      <t>シュウセイ</t>
    </rPh>
    <rPh sb="24" eb="26">
      <t>キキ</t>
    </rPh>
    <rPh sb="27" eb="28">
      <t>オコナ</t>
    </rPh>
    <phoneticPr fontId="1"/>
  </si>
  <si>
    <t>Inet通販</t>
    <rPh sb="4" eb="6">
      <t>ツウハン</t>
    </rPh>
    <phoneticPr fontId="1"/>
  </si>
  <si>
    <t>セキュリティチェック</t>
    <phoneticPr fontId="1"/>
  </si>
  <si>
    <t>Pシステム</t>
    <phoneticPr fontId="1"/>
  </si>
  <si>
    <t>私的</t>
    <rPh sb="0" eb="2">
      <t>シテキ</t>
    </rPh>
    <phoneticPr fontId="1"/>
  </si>
  <si>
    <t>XSS</t>
    <phoneticPr fontId="1"/>
  </si>
  <si>
    <t>a: secure</t>
    <phoneticPr fontId="1"/>
  </si>
  <si>
    <t>b:Get</t>
    <phoneticPr fontId="1"/>
  </si>
  <si>
    <t>クッキーのIDが盗聴</t>
    <rPh sb="8" eb="10">
      <t>トウチョウ</t>
    </rPh>
    <phoneticPr fontId="1"/>
  </si>
  <si>
    <t>スクリプトが窃取</t>
    <rPh sb="6" eb="8">
      <t>セッシュ</t>
    </rPh>
    <phoneticPr fontId="1"/>
  </si>
  <si>
    <t>IDが不正に使用</t>
    <rPh sb="3" eb="5">
      <t>フセイ</t>
    </rPh>
    <rPh sb="6" eb="8">
      <t>シヨウ</t>
    </rPh>
    <phoneticPr fontId="1"/>
  </si>
  <si>
    <t>アクセスするデバイスを変えて、サイトにアクセスする場合</t>
    <rPh sb="11" eb="12">
      <t>カ</t>
    </rPh>
    <rPh sb="25" eb="27">
      <t>バアイ</t>
    </rPh>
    <phoneticPr fontId="1"/>
  </si>
  <si>
    <t>特定のIPアドレスから不正に入手したセッションIDによりアクセスする場合</t>
    <rPh sb="0" eb="2">
      <t>トクテイ</t>
    </rPh>
    <rPh sb="11" eb="13">
      <t>フセイ</t>
    </rPh>
    <rPh sb="14" eb="16">
      <t>ニュウシュ</t>
    </rPh>
    <rPh sb="34" eb="36">
      <t>バアイ</t>
    </rPh>
    <phoneticPr fontId="1"/>
  </si>
  <si>
    <t>NATを経由してアクセス</t>
    <rPh sb="4" eb="6">
      <t>ケイユ</t>
    </rPh>
    <phoneticPr fontId="1"/>
  </si>
  <si>
    <t>URLの後のクエリ文字列にスクリプトを含むログを検出する。</t>
    <rPh sb="4" eb="5">
      <t>アト</t>
    </rPh>
    <rPh sb="9" eb="12">
      <t>モジレツ</t>
    </rPh>
    <rPh sb="19" eb="20">
      <t>フク</t>
    </rPh>
    <rPh sb="24" eb="26">
      <t>ケンシュツ</t>
    </rPh>
    <phoneticPr fontId="1"/>
  </si>
  <si>
    <t>ソースコードを再確認</t>
    <rPh sb="7" eb="10">
      <t>サイカクニン</t>
    </rPh>
    <phoneticPr fontId="1"/>
  </si>
  <si>
    <t>d: \</t>
    <phoneticPr fontId="1"/>
  </si>
  <si>
    <t>e: \\</t>
    <phoneticPr fontId="1"/>
  </si>
  <si>
    <t>f: '</t>
    <phoneticPr fontId="1"/>
  </si>
  <si>
    <t>g: \'</t>
    <phoneticPr fontId="1"/>
  </si>
  <si>
    <t>PM2-2</t>
    <phoneticPr fontId="1"/>
  </si>
  <si>
    <t>1-(1)</t>
    <phoneticPr fontId="1"/>
  </si>
  <si>
    <t>IP</t>
    <phoneticPr fontId="1"/>
  </si>
  <si>
    <t>Xサイト</t>
    <phoneticPr fontId="1"/>
  </si>
  <si>
    <t>個人情報が流出</t>
    <rPh sb="0" eb="4">
      <t>コジンジョウホウ</t>
    </rPh>
    <rPh sb="5" eb="7">
      <t>リュウシュツ</t>
    </rPh>
    <phoneticPr fontId="1"/>
  </si>
  <si>
    <t>２２で改ざん</t>
    <rPh sb="3" eb="4">
      <t>カイ</t>
    </rPh>
    <phoneticPr fontId="1"/>
  </si>
  <si>
    <t>ipH</t>
    <phoneticPr fontId="1"/>
  </si>
  <si>
    <t>1-(2)</t>
    <phoneticPr fontId="1"/>
  </si>
  <si>
    <t>search.cgi</t>
    <phoneticPr fontId="1"/>
  </si>
  <si>
    <t>1-(3)</t>
    <phoneticPr fontId="1"/>
  </si>
  <si>
    <t>特定のユーザーIDに対してパスワードを変更しながらアクセスを試行している</t>
    <rPh sb="0" eb="2">
      <t>トクテイ</t>
    </rPh>
    <rPh sb="10" eb="11">
      <t>タイ</t>
    </rPh>
    <rPh sb="19" eb="21">
      <t>ヘンコウ</t>
    </rPh>
    <rPh sb="30" eb="32">
      <t>シコウ</t>
    </rPh>
    <phoneticPr fontId="1"/>
  </si>
  <si>
    <t>連続してログインに失敗した場合、会員ＩＤをロックする</t>
    <rPh sb="0" eb="2">
      <t>レンゾク</t>
    </rPh>
    <rPh sb="9" eb="11">
      <t>シッパイ</t>
    </rPh>
    <rPh sb="13" eb="15">
      <t>バアイ</t>
    </rPh>
    <rPh sb="16" eb="18">
      <t>カイイン</t>
    </rPh>
    <phoneticPr fontId="1"/>
  </si>
  <si>
    <t>d: コ</t>
    <phoneticPr fontId="1"/>
  </si>
  <si>
    <t>e: エ</t>
    <phoneticPr fontId="1"/>
  </si>
  <si>
    <t>f: ウ</t>
    <phoneticPr fontId="1"/>
  </si>
  <si>
    <t>g: ク</t>
    <phoneticPr fontId="1"/>
  </si>
  <si>
    <t>PWへの変更を禁止</t>
    <rPh sb="4" eb="6">
      <t>ヘンコウ</t>
    </rPh>
    <rPh sb="7" eb="9">
      <t>キンシ</t>
    </rPh>
    <phoneticPr fontId="1"/>
  </si>
  <si>
    <t>会員に通知する理由</t>
    <rPh sb="0" eb="2">
      <t>カイイン</t>
    </rPh>
    <rPh sb="3" eb="5">
      <t>ツウチ</t>
    </rPh>
    <rPh sb="7" eb="9">
      <t>リユウ</t>
    </rPh>
    <phoneticPr fontId="1"/>
  </si>
  <si>
    <t>他サイトで同じ会員ID,パスワードを使用している会員に対して、変更を促す必要があるため</t>
    <rPh sb="0" eb="1">
      <t>ホカ</t>
    </rPh>
    <rPh sb="5" eb="6">
      <t>オナ</t>
    </rPh>
    <rPh sb="7" eb="9">
      <t>カイイン</t>
    </rPh>
    <rPh sb="18" eb="20">
      <t>シヨウ</t>
    </rPh>
    <rPh sb="24" eb="26">
      <t>カイイン</t>
    </rPh>
    <rPh sb="27" eb="28">
      <t>タイ</t>
    </rPh>
    <rPh sb="31" eb="33">
      <t>ヘンコウ</t>
    </rPh>
    <rPh sb="34" eb="35">
      <t>ウナガ</t>
    </rPh>
    <rPh sb="36" eb="38">
      <t>ヒツヨウ</t>
    </rPh>
    <phoneticPr fontId="1"/>
  </si>
  <si>
    <t>c:プラグイン</t>
    <phoneticPr fontId="1"/>
  </si>
  <si>
    <t>偽の入力画面を表示させ、入力された情報を攻撃者が容易したサイトに送信する</t>
    <rPh sb="0" eb="1">
      <t>ニセ</t>
    </rPh>
    <rPh sb="2" eb="4">
      <t>ニュウリョク</t>
    </rPh>
    <rPh sb="4" eb="6">
      <t>ガメン</t>
    </rPh>
    <rPh sb="7" eb="9">
      <t>ヒョウジ</t>
    </rPh>
    <rPh sb="12" eb="14">
      <t>ニュウリョク</t>
    </rPh>
    <rPh sb="17" eb="19">
      <t>ジョウホウ</t>
    </rPh>
    <rPh sb="20" eb="23">
      <t>コウゲキシャ</t>
    </rPh>
    <rPh sb="24" eb="26">
      <t>ヨウイ</t>
    </rPh>
    <rPh sb="32" eb="34">
      <t>ソウシン</t>
    </rPh>
    <phoneticPr fontId="1"/>
  </si>
  <si>
    <t>PM2-2</t>
  </si>
  <si>
    <t>b: GET</t>
    <phoneticPr fontId="1"/>
  </si>
  <si>
    <t>デバイスを変えて、同サイトにアクセスした場合</t>
    <rPh sb="5" eb="6">
      <t>カ</t>
    </rPh>
    <rPh sb="9" eb="10">
      <t>ドウ</t>
    </rPh>
    <rPh sb="20" eb="22">
      <t>バアイ</t>
    </rPh>
    <phoneticPr fontId="1"/>
  </si>
  <si>
    <t>NATにより正規利用者とアクセスIPアドレスが均一となっている場合。</t>
    <rPh sb="6" eb="8">
      <t>セイキ</t>
    </rPh>
    <rPh sb="8" eb="11">
      <t>リヨウシャ</t>
    </rPh>
    <rPh sb="23" eb="25">
      <t>キンイツ</t>
    </rPh>
    <rPh sb="31" eb="33">
      <t>バアイ</t>
    </rPh>
    <phoneticPr fontId="1"/>
  </si>
  <si>
    <t>アクセス用のURLのクエリ文字列にスクリプトが埋め込まれている通信ログ</t>
    <rPh sb="4" eb="5">
      <t>ヨウ</t>
    </rPh>
    <rPh sb="13" eb="16">
      <t>モジレツ</t>
    </rPh>
    <rPh sb="23" eb="24">
      <t>ウ</t>
    </rPh>
    <rPh sb="25" eb="26">
      <t>コ</t>
    </rPh>
    <rPh sb="31" eb="33">
      <t>ツウシン</t>
    </rPh>
    <phoneticPr fontId="1"/>
  </si>
  <si>
    <t>d: \\</t>
    <phoneticPr fontId="1"/>
  </si>
  <si>
    <t>e: \</t>
    <phoneticPr fontId="1"/>
  </si>
  <si>
    <t>Iシステム</t>
    <phoneticPr fontId="1"/>
  </si>
  <si>
    <t>関西LC←営業システム</t>
    <rPh sb="0" eb="2">
      <t>カンサイ</t>
    </rPh>
    <rPh sb="5" eb="7">
      <t>エイギョウ</t>
    </rPh>
    <phoneticPr fontId="1"/>
  </si>
  <si>
    <t>関東←総務、財務</t>
    <rPh sb="0" eb="2">
      <t>カントウ</t>
    </rPh>
    <rPh sb="3" eb="5">
      <t>ソウム</t>
    </rPh>
    <rPh sb="6" eb="8">
      <t>ザイム</t>
    </rPh>
    <phoneticPr fontId="1"/>
  </si>
  <si>
    <t>B-DCを利用</t>
    <rPh sb="5" eb="7">
      <t>リヨウ</t>
    </rPh>
    <phoneticPr fontId="1"/>
  </si>
  <si>
    <t>1</t>
    <phoneticPr fontId="1"/>
  </si>
  <si>
    <t>迷惑メール対策機能</t>
    <rPh sb="0" eb="2">
      <t>メイワク</t>
    </rPh>
    <rPh sb="5" eb="7">
      <t>タイサク</t>
    </rPh>
    <rPh sb="7" eb="9">
      <t>キノウ</t>
    </rPh>
    <phoneticPr fontId="1"/>
  </si>
  <si>
    <t>ウィルススキャン</t>
    <phoneticPr fontId="1"/>
  </si>
  <si>
    <t>キャッシュ機能</t>
    <rPh sb="5" eb="7">
      <t>キノウ</t>
    </rPh>
    <phoneticPr fontId="1"/>
  </si>
  <si>
    <t>a:HTTPS</t>
    <phoneticPr fontId="1"/>
  </si>
  <si>
    <t>b:SSH</t>
    <phoneticPr fontId="1"/>
  </si>
  <si>
    <t>内部MSV</t>
    <rPh sb="0" eb="2">
      <t>ナイブ</t>
    </rPh>
    <phoneticPr fontId="1"/>
  </si>
  <si>
    <t>画像のようなマルウェア</t>
    <rPh sb="0" eb="2">
      <t>ガゾウ</t>
    </rPh>
    <phoneticPr fontId="1"/>
  </si>
  <si>
    <t>2-(1)</t>
    <phoneticPr fontId="1"/>
  </si>
  <si>
    <t>プロキシサーバー</t>
    <phoneticPr fontId="1"/>
  </si>
  <si>
    <t>2-(2)</t>
    <phoneticPr fontId="1"/>
  </si>
  <si>
    <t>外部の特定のサーバーに対して、繰り返しの通信を試行</t>
    <rPh sb="0" eb="2">
      <t>ガイブ</t>
    </rPh>
    <rPh sb="3" eb="5">
      <t>トクテイ</t>
    </rPh>
    <rPh sb="11" eb="12">
      <t>タイ</t>
    </rPh>
    <rPh sb="15" eb="16">
      <t>ク</t>
    </rPh>
    <rPh sb="17" eb="18">
      <t>カエ</t>
    </rPh>
    <rPh sb="20" eb="22">
      <t>ツウシン</t>
    </rPh>
    <rPh sb="23" eb="25">
      <t>シコウ</t>
    </rPh>
    <phoneticPr fontId="1"/>
  </si>
  <si>
    <t>2-(3)</t>
    <phoneticPr fontId="1"/>
  </si>
  <si>
    <t>PCの電源が入っていない</t>
    <rPh sb="3" eb="5">
      <t>デンゲン</t>
    </rPh>
    <rPh sb="6" eb="7">
      <t>ハイ</t>
    </rPh>
    <phoneticPr fontId="1"/>
  </si>
  <si>
    <t>PCがLANに接続されていない</t>
    <rPh sb="7" eb="9">
      <t>セツゾク</t>
    </rPh>
    <phoneticPr fontId="1"/>
  </si>
  <si>
    <t>2-(4)</t>
    <phoneticPr fontId="1"/>
  </si>
  <si>
    <t>他者のPCよりWEBブラウザ経由でメールを操作したばあい</t>
    <rPh sb="0" eb="2">
      <t>タシャ</t>
    </rPh>
    <rPh sb="14" eb="16">
      <t>ケイユ</t>
    </rPh>
    <rPh sb="21" eb="23">
      <t>ソウサ</t>
    </rPh>
    <phoneticPr fontId="1"/>
  </si>
  <si>
    <t>3-(1)</t>
    <phoneticPr fontId="1"/>
  </si>
  <si>
    <t>d: 外部メールサーバー</t>
    <rPh sb="3" eb="5">
      <t>ガイブ</t>
    </rPh>
    <phoneticPr fontId="1"/>
  </si>
  <si>
    <t>e: 外部メールDRサーバー</t>
    <rPh sb="3" eb="5">
      <t>ガイブ</t>
    </rPh>
    <phoneticPr fontId="1"/>
  </si>
  <si>
    <t>3-(2)</t>
    <phoneticPr fontId="1"/>
  </si>
  <si>
    <t>参照するDNSサーバーのキャッシュに切り替え前の情報が保存されている</t>
    <rPh sb="0" eb="2">
      <t>サンショウ</t>
    </rPh>
    <rPh sb="18" eb="19">
      <t>キ</t>
    </rPh>
    <rPh sb="24" eb="26">
      <t>ジョウホウ</t>
    </rPh>
    <rPh sb="27" eb="29">
      <t>ホゾン</t>
    </rPh>
    <phoneticPr fontId="1"/>
  </si>
  <si>
    <t>3-(3)</t>
    <phoneticPr fontId="1"/>
  </si>
  <si>
    <t>送信元にプロキシDRサーバーを追加する</t>
    <rPh sb="0" eb="3">
      <t>ソウシンモト</t>
    </rPh>
    <rPh sb="15" eb="17">
      <t>ツイカ</t>
    </rPh>
    <phoneticPr fontId="1"/>
  </si>
  <si>
    <t>4-(1)</t>
    <phoneticPr fontId="1"/>
  </si>
  <si>
    <t>ページのコンテンツを極力画像データをなくして、文字データで構成するように変更する</t>
    <rPh sb="10" eb="12">
      <t>キョクリョク</t>
    </rPh>
    <rPh sb="12" eb="14">
      <t>ガゾウ</t>
    </rPh>
    <rPh sb="23" eb="25">
      <t>モジ</t>
    </rPh>
    <rPh sb="29" eb="31">
      <t>コウセイ</t>
    </rPh>
    <rPh sb="36" eb="38">
      <t>ヘンコウ</t>
    </rPh>
    <phoneticPr fontId="1"/>
  </si>
  <si>
    <t>4-(2)</t>
    <phoneticPr fontId="1"/>
  </si>
  <si>
    <t>動画を要求する通信を制限する</t>
    <rPh sb="0" eb="2">
      <t>ドウガ</t>
    </rPh>
    <rPh sb="3" eb="5">
      <t>ヨウキュウ</t>
    </rPh>
    <rPh sb="7" eb="9">
      <t>ツウシン</t>
    </rPh>
    <rPh sb="10" eb="12">
      <t>セイゲン</t>
    </rPh>
    <phoneticPr fontId="1"/>
  </si>
  <si>
    <t>5-(1)</t>
    <phoneticPr fontId="1"/>
  </si>
  <si>
    <t>迷惑メール定義ファイルを最新にする</t>
    <rPh sb="0" eb="2">
      <t>メイワク</t>
    </rPh>
    <rPh sb="5" eb="7">
      <t>テイギ</t>
    </rPh>
    <rPh sb="12" eb="14">
      <t>サイシン</t>
    </rPh>
    <phoneticPr fontId="1"/>
  </si>
  <si>
    <t>5-(2)</t>
    <phoneticPr fontId="1"/>
  </si>
  <si>
    <t>修正プログラムの適用をIシステムの機器に行う</t>
    <rPh sb="0" eb="2">
      <t>シュウセイ</t>
    </rPh>
    <rPh sb="8" eb="10">
      <t>テキヨウ</t>
    </rPh>
    <rPh sb="17" eb="19">
      <t>キキ</t>
    </rPh>
    <rPh sb="20" eb="21">
      <t>オコナ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</si>
</sst>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  <xf numFmtId="49" fontId="0" fillId="2" borderId="0" xfId="0" applyNumberFormat="1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144780</xdr:colOff>
          <xdr:row>1</xdr:row>
          <xdr:rowOff>38100</xdr:rowOff>
        </xdr:from>
        <xdr:to>
          <xdr:col>14</xdr:col>
          <xdr:colOff>594360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198120</xdr:colOff>
          <xdr:row>3</xdr:row>
          <xdr:rowOff>106680</xdr:rowOff>
        </xdr:from>
        <xdr:to>
          <xdr:col>14</xdr:col>
          <xdr:colOff>571500</xdr:colOff>
          <xdr:row>4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EC62-6D75-4E9D-B77E-7094BE41A7A1}">
  <sheetPr codeName="Sheet2"/>
  <dimension ref="A1:F4"/>
  <sheetViews>
    <sheetView tabSelected="1" workbookViewId="0">
      <selection activeCell="O23" sqref="O23"/>
    </sheetView>
  </sheetViews>
  <sheetFormatPr defaultRowHeight="18"/>
  <cols>
    <col min="2" max="3" width="9" style="2"/>
  </cols>
  <sheetData>
    <row r="1" spans="1:6">
      <c r="A1" t="s">
        <v>11</v>
      </c>
      <c r="B1" s="2" t="s">
        <v>7</v>
      </c>
      <c r="C1" s="2" t="s">
        <v>8</v>
      </c>
      <c r="D1" t="s">
        <v>9</v>
      </c>
      <c r="E1" t="s">
        <v>5</v>
      </c>
      <c r="F1" t="s">
        <v>10</v>
      </c>
    </row>
    <row r="2" spans="1:6">
      <c r="A2">
        <v>1</v>
      </c>
      <c r="B2" s="2" t="s">
        <v>58</v>
      </c>
      <c r="C2" s="2" t="s">
        <v>12</v>
      </c>
      <c r="D2">
        <v>74</v>
      </c>
      <c r="E2">
        <v>100</v>
      </c>
    </row>
    <row r="3" spans="1:6">
      <c r="A3">
        <v>2</v>
      </c>
      <c r="B3" s="2" t="s">
        <v>58</v>
      </c>
      <c r="C3" s="2" t="s">
        <v>12</v>
      </c>
      <c r="D3">
        <v>24</v>
      </c>
      <c r="E3">
        <v>50</v>
      </c>
    </row>
    <row r="4" spans="1:6">
      <c r="A4">
        <v>3</v>
      </c>
      <c r="B4" s="2" t="s">
        <v>58</v>
      </c>
      <c r="C4" s="2" t="s">
        <v>105</v>
      </c>
      <c r="D4">
        <v>38</v>
      </c>
      <c r="E4">
        <v>50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heetWithSerialNumber">
                <anchor moveWithCells="1" sizeWithCells="1">
                  <from>
                    <xdr:col>13</xdr:col>
                    <xdr:colOff>144780</xdr:colOff>
                    <xdr:row>1</xdr:row>
                    <xdr:rowOff>38100</xdr:rowOff>
                  </from>
                  <to>
                    <xdr:col>14</xdr:col>
                    <xdr:colOff>594360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InformationArchive">
                <anchor moveWithCells="1" sizeWithCells="1">
                  <from>
                    <xdr:col>13</xdr:col>
                    <xdr:colOff>198120</xdr:colOff>
                    <xdr:row>3</xdr:row>
                    <xdr:rowOff>106680</xdr:rowOff>
                  </from>
                  <to>
                    <xdr:col>14</xdr:col>
                    <xdr:colOff>571500</xdr:colOff>
                    <xdr:row>4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9978A-10F6-4DA3-9F55-46A14E19160E}">
  <sheetPr codeName="Sheet3"/>
  <dimension ref="A1:E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2" sqref="B12"/>
    </sheetView>
  </sheetViews>
  <sheetFormatPr defaultRowHeight="18"/>
  <cols>
    <col min="1" max="1" width="8.69921875" style="2"/>
    <col min="2" max="2" width="96.8984375" style="1" customWidth="1"/>
    <col min="3" max="3" width="9.69921875" customWidth="1"/>
  </cols>
  <sheetData>
    <row r="1" spans="1:5">
      <c r="A1" s="2" t="s">
        <v>0</v>
      </c>
    </row>
    <row r="2" spans="1:5">
      <c r="A2" s="2" t="s">
        <v>2</v>
      </c>
      <c r="B2" s="3"/>
      <c r="D2">
        <f>SUM(D4:D1000)</f>
        <v>0</v>
      </c>
      <c r="E2">
        <f>SUM(E4:E1000)</f>
        <v>0</v>
      </c>
    </row>
    <row r="3" spans="1: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5">
      <c r="C4" t="str">
        <f>IF(B4&lt;&gt;"",LEN(B4),"")</f>
        <v/>
      </c>
    </row>
    <row r="5" spans="1:5">
      <c r="C5" t="str">
        <f t="shared" ref="C5:C68" si="0">IF(B5&lt;&gt;"",LEN(B5),"")</f>
        <v/>
      </c>
    </row>
    <row r="6" spans="1:5">
      <c r="C6" t="str">
        <f t="shared" si="0"/>
        <v/>
      </c>
    </row>
    <row r="7" spans="1:5">
      <c r="C7" t="str">
        <f t="shared" si="0"/>
        <v/>
      </c>
    </row>
    <row r="8" spans="1:5">
      <c r="C8" t="str">
        <f t="shared" si="0"/>
        <v/>
      </c>
    </row>
    <row r="9" spans="1:5">
      <c r="C9" t="str">
        <f t="shared" si="0"/>
        <v/>
      </c>
    </row>
    <row r="10" spans="1:5">
      <c r="C10" t="str">
        <f t="shared" si="0"/>
        <v/>
      </c>
    </row>
    <row r="11" spans="1:5">
      <c r="C11" t="str">
        <f t="shared" si="0"/>
        <v/>
      </c>
    </row>
    <row r="12" spans="1:5">
      <c r="C12" t="str">
        <f t="shared" si="0"/>
        <v/>
      </c>
    </row>
    <row r="13" spans="1:5">
      <c r="C13" t="str">
        <f t="shared" si="0"/>
        <v/>
      </c>
    </row>
    <row r="14" spans="1:5">
      <c r="C14" t="str">
        <f t="shared" si="0"/>
        <v/>
      </c>
    </row>
    <row r="15" spans="1:5">
      <c r="C15" t="str">
        <f t="shared" si="0"/>
        <v/>
      </c>
    </row>
    <row r="16" spans="1: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484970-4B3C-4BE5-BFE5-FA15FFD7E1CB}">
  <sheetPr codeName="Sheet4"/>
  <dimension ref="A1:O167"/>
  <sheetViews>
    <sheetView zoomScale="85" zoomScaleNormal="85" workbookViewId="0">
      <pane xSplit="1" ySplit="3" topLeftCell="B37" activePane="bottomRight" state="frozen"/>
      <selection pane="topRight" activeCell="B1" sqref="B1"/>
      <selection pane="bottomLeft" activeCell="A4" sqref="A4"/>
      <selection pane="bottomRight" activeCell="F33" sqref="A33:F33"/>
    </sheetView>
  </sheetViews>
  <sheetFormatPr defaultRowHeight="18"/>
  <cols>
    <col min="1" max="1" width="9" style="2"/>
    <col min="2" max="2" width="60.3984375" style="1" customWidth="1"/>
    <col min="3" max="3" width="9.69921875" customWidth="1"/>
  </cols>
  <sheetData>
    <row r="1" spans="1:15">
      <c r="A1" s="2" t="s">
        <v>0</v>
      </c>
      <c r="B1" s="1" t="s">
        <v>59</v>
      </c>
    </row>
    <row r="2" spans="1:15">
      <c r="A2" s="2" t="s">
        <v>2</v>
      </c>
      <c r="B2" s="3" t="s">
        <v>13</v>
      </c>
      <c r="D2">
        <f>SUM(D4:D1000)</f>
        <v>74</v>
      </c>
      <c r="E2">
        <f>SUM(E4:E1000)</f>
        <v>100</v>
      </c>
    </row>
    <row r="3" spans="1:1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5">
      <c r="A4" s="2" t="s">
        <v>27</v>
      </c>
      <c r="B4" s="1" t="s">
        <v>28</v>
      </c>
      <c r="C4">
        <f>IF(B4&lt;&gt;"",LEN(B4),"")</f>
        <v>8</v>
      </c>
      <c r="D4">
        <f>E4*F4</f>
        <v>4</v>
      </c>
      <c r="E4">
        <v>4</v>
      </c>
      <c r="F4">
        <v>1</v>
      </c>
    </row>
    <row r="5" spans="1:15">
      <c r="B5" s="1" t="s">
        <v>29</v>
      </c>
      <c r="C5">
        <f t="shared" ref="C5:C68" si="0">IF(B5&lt;&gt;"",LEN(B5),"")</f>
        <v>6</v>
      </c>
      <c r="D5">
        <f t="shared" ref="D5:D18" si="1">E5*F5</f>
        <v>4</v>
      </c>
      <c r="E5">
        <v>4</v>
      </c>
      <c r="F5">
        <v>1</v>
      </c>
      <c r="G5" t="s">
        <v>14</v>
      </c>
      <c r="I5" t="s">
        <v>18</v>
      </c>
      <c r="K5" t="s">
        <v>22</v>
      </c>
      <c r="M5" t="s">
        <v>26</v>
      </c>
      <c r="O5" t="s">
        <v>42</v>
      </c>
    </row>
    <row r="6" spans="1:15">
      <c r="A6" s="2" t="s">
        <v>33</v>
      </c>
      <c r="B6" s="1" t="s">
        <v>34</v>
      </c>
      <c r="C6">
        <f t="shared" si="0"/>
        <v>11</v>
      </c>
      <c r="D6">
        <f t="shared" si="1"/>
        <v>6</v>
      </c>
      <c r="E6">
        <v>6</v>
      </c>
      <c r="F6">
        <v>1</v>
      </c>
      <c r="G6" t="s">
        <v>15</v>
      </c>
      <c r="I6" t="s">
        <v>19</v>
      </c>
      <c r="K6" t="s">
        <v>23</v>
      </c>
      <c r="M6" t="s">
        <v>30</v>
      </c>
      <c r="O6" t="s">
        <v>43</v>
      </c>
    </row>
    <row r="7" spans="1:15">
      <c r="A7" s="2" t="s">
        <v>35</v>
      </c>
      <c r="B7" s="1" t="s">
        <v>36</v>
      </c>
      <c r="C7">
        <f t="shared" si="0"/>
        <v>29</v>
      </c>
      <c r="D7">
        <f t="shared" si="1"/>
        <v>6</v>
      </c>
      <c r="E7">
        <v>6</v>
      </c>
      <c r="F7">
        <v>1</v>
      </c>
      <c r="G7" t="s">
        <v>16</v>
      </c>
      <c r="I7" t="s">
        <v>20</v>
      </c>
      <c r="K7" t="s">
        <v>24</v>
      </c>
      <c r="M7" t="s">
        <v>31</v>
      </c>
      <c r="O7" t="s">
        <v>44</v>
      </c>
    </row>
    <row r="8" spans="1:15">
      <c r="A8" s="2" t="s">
        <v>37</v>
      </c>
      <c r="B8" s="1" t="s">
        <v>40</v>
      </c>
      <c r="C8">
        <f t="shared" si="0"/>
        <v>15</v>
      </c>
      <c r="D8">
        <f t="shared" si="1"/>
        <v>6</v>
      </c>
      <c r="E8">
        <v>6</v>
      </c>
      <c r="F8">
        <v>1</v>
      </c>
      <c r="G8" t="s">
        <v>17</v>
      </c>
      <c r="I8" t="s">
        <v>21</v>
      </c>
      <c r="K8" t="s">
        <v>25</v>
      </c>
      <c r="M8" t="s">
        <v>32</v>
      </c>
      <c r="O8" t="s">
        <v>45</v>
      </c>
    </row>
    <row r="9" spans="1:15">
      <c r="B9" s="1" t="s">
        <v>41</v>
      </c>
      <c r="C9">
        <f t="shared" si="0"/>
        <v>13</v>
      </c>
      <c r="D9">
        <f t="shared" si="1"/>
        <v>6</v>
      </c>
      <c r="E9">
        <v>6</v>
      </c>
      <c r="F9">
        <v>1</v>
      </c>
    </row>
    <row r="10" spans="1:15">
      <c r="A10" s="2" t="s">
        <v>39</v>
      </c>
      <c r="B10" s="1" t="s">
        <v>38</v>
      </c>
      <c r="C10">
        <f t="shared" si="0"/>
        <v>23</v>
      </c>
      <c r="D10">
        <f t="shared" si="1"/>
        <v>8</v>
      </c>
      <c r="E10">
        <v>8</v>
      </c>
      <c r="F10">
        <v>1</v>
      </c>
      <c r="G10" t="s">
        <v>54</v>
      </c>
      <c r="J10" t="s">
        <v>123</v>
      </c>
    </row>
    <row r="11" spans="1:15">
      <c r="A11" s="2" t="s">
        <v>46</v>
      </c>
      <c r="B11" s="1" t="s">
        <v>47</v>
      </c>
      <c r="C11">
        <f t="shared" si="0"/>
        <v>13</v>
      </c>
      <c r="D11">
        <f t="shared" si="1"/>
        <v>6</v>
      </c>
      <c r="E11">
        <v>6</v>
      </c>
      <c r="F11">
        <v>1</v>
      </c>
      <c r="G11" t="s">
        <v>55</v>
      </c>
    </row>
    <row r="12" spans="1:15">
      <c r="B12" s="1" t="s">
        <v>48</v>
      </c>
      <c r="C12">
        <f t="shared" si="0"/>
        <v>13</v>
      </c>
      <c r="D12">
        <f t="shared" si="1"/>
        <v>0</v>
      </c>
      <c r="E12">
        <v>6</v>
      </c>
      <c r="F12">
        <v>0</v>
      </c>
      <c r="H12" t="s">
        <v>112</v>
      </c>
    </row>
    <row r="13" spans="1:15">
      <c r="A13" s="2" t="s">
        <v>49</v>
      </c>
      <c r="B13" s="1" t="s">
        <v>50</v>
      </c>
      <c r="C13">
        <f t="shared" si="0"/>
        <v>29</v>
      </c>
      <c r="D13">
        <f t="shared" si="1"/>
        <v>0</v>
      </c>
      <c r="E13">
        <v>8</v>
      </c>
      <c r="F13">
        <v>0</v>
      </c>
      <c r="H13" t="s">
        <v>113</v>
      </c>
    </row>
    <row r="14" spans="1:15" ht="36">
      <c r="A14" s="2" t="s">
        <v>51</v>
      </c>
      <c r="B14" s="1" t="s">
        <v>52</v>
      </c>
      <c r="C14">
        <f t="shared" si="0"/>
        <v>49</v>
      </c>
      <c r="D14">
        <f t="shared" si="1"/>
        <v>8</v>
      </c>
      <c r="E14">
        <v>8</v>
      </c>
      <c r="F14">
        <v>1</v>
      </c>
      <c r="H14" t="s">
        <v>114</v>
      </c>
    </row>
    <row r="15" spans="1:15">
      <c r="A15" s="2" t="s">
        <v>53</v>
      </c>
      <c r="B15" s="1" t="s">
        <v>56</v>
      </c>
      <c r="C15">
        <f t="shared" si="0"/>
        <v>23</v>
      </c>
      <c r="D15">
        <f t="shared" si="1"/>
        <v>8</v>
      </c>
      <c r="E15">
        <v>8</v>
      </c>
      <c r="F15">
        <v>1</v>
      </c>
      <c r="H15" t="s">
        <v>115</v>
      </c>
    </row>
    <row r="16" spans="1:15">
      <c r="A16" s="2" t="s">
        <v>57</v>
      </c>
      <c r="B16" s="1" t="s">
        <v>60</v>
      </c>
      <c r="C16">
        <f t="shared" si="0"/>
        <v>15</v>
      </c>
      <c r="D16">
        <f t="shared" si="1"/>
        <v>8</v>
      </c>
      <c r="E16">
        <v>8</v>
      </c>
      <c r="F16">
        <v>1</v>
      </c>
      <c r="H16" t="s">
        <v>117</v>
      </c>
    </row>
    <row r="17" spans="1:8">
      <c r="A17" s="2" t="s">
        <v>61</v>
      </c>
      <c r="B17" s="1" t="s">
        <v>62</v>
      </c>
      <c r="C17">
        <f t="shared" si="0"/>
        <v>17</v>
      </c>
      <c r="D17">
        <f t="shared" si="1"/>
        <v>0</v>
      </c>
      <c r="E17">
        <v>8</v>
      </c>
      <c r="F17">
        <v>0</v>
      </c>
      <c r="H17" t="s">
        <v>118</v>
      </c>
    </row>
    <row r="18" spans="1:8">
      <c r="A18" s="2" t="s">
        <v>63</v>
      </c>
      <c r="B18" s="1" t="s">
        <v>64</v>
      </c>
      <c r="C18">
        <f t="shared" si="0"/>
        <v>29</v>
      </c>
      <c r="D18">
        <f t="shared" si="1"/>
        <v>4</v>
      </c>
      <c r="E18">
        <v>8</v>
      </c>
      <c r="F18">
        <v>0.5</v>
      </c>
      <c r="H18" t="s">
        <v>119</v>
      </c>
    </row>
    <row r="19" spans="1:8">
      <c r="C19" t="str">
        <f t="shared" si="0"/>
        <v/>
      </c>
      <c r="H19" t="s">
        <v>122</v>
      </c>
    </row>
    <row r="20" spans="1:8">
      <c r="A20" s="2" t="s">
        <v>116</v>
      </c>
      <c r="B20" s="1" t="s">
        <v>120</v>
      </c>
      <c r="C20">
        <f t="shared" si="0"/>
        <v>7</v>
      </c>
      <c r="F20">
        <v>1</v>
      </c>
    </row>
    <row r="21" spans="1:8">
      <c r="B21" s="1" t="s">
        <v>121</v>
      </c>
      <c r="C21">
        <f t="shared" si="0"/>
        <v>5</v>
      </c>
      <c r="F21">
        <v>1</v>
      </c>
    </row>
    <row r="22" spans="1:8">
      <c r="A22" s="2" t="s">
        <v>124</v>
      </c>
      <c r="B22" s="1" t="s">
        <v>125</v>
      </c>
      <c r="C22">
        <f t="shared" si="0"/>
        <v>8</v>
      </c>
      <c r="F22">
        <v>1</v>
      </c>
    </row>
    <row r="23" spans="1:8">
      <c r="A23" s="2" t="s">
        <v>126</v>
      </c>
      <c r="B23" s="1" t="s">
        <v>127</v>
      </c>
      <c r="C23">
        <f t="shared" si="0"/>
        <v>25</v>
      </c>
      <c r="F23">
        <v>1</v>
      </c>
    </row>
    <row r="24" spans="1:8">
      <c r="A24" s="2" t="s">
        <v>128</v>
      </c>
      <c r="B24" s="1" t="s">
        <v>129</v>
      </c>
      <c r="C24">
        <f t="shared" si="0"/>
        <v>12</v>
      </c>
      <c r="F24">
        <v>1</v>
      </c>
    </row>
    <row r="25" spans="1:8">
      <c r="B25" s="1" t="s">
        <v>130</v>
      </c>
      <c r="C25">
        <f t="shared" si="0"/>
        <v>15</v>
      </c>
      <c r="F25">
        <v>1</v>
      </c>
    </row>
    <row r="26" spans="1:8">
      <c r="A26" s="2" t="s">
        <v>131</v>
      </c>
      <c r="B26" s="1" t="s">
        <v>132</v>
      </c>
      <c r="C26">
        <f t="shared" si="0"/>
        <v>28</v>
      </c>
      <c r="F26">
        <v>1</v>
      </c>
    </row>
    <row r="27" spans="1:8">
      <c r="A27" s="2" t="s">
        <v>133</v>
      </c>
      <c r="B27" s="1" t="s">
        <v>134</v>
      </c>
      <c r="C27">
        <f t="shared" si="0"/>
        <v>12</v>
      </c>
      <c r="F27">
        <v>1</v>
      </c>
    </row>
    <row r="28" spans="1:8">
      <c r="B28" s="1" t="s">
        <v>135</v>
      </c>
      <c r="C28">
        <f t="shared" si="0"/>
        <v>14</v>
      </c>
      <c r="F28">
        <v>1</v>
      </c>
    </row>
    <row r="29" spans="1:8" ht="35.4" customHeight="1">
      <c r="A29" s="2" t="s">
        <v>136</v>
      </c>
      <c r="B29" s="1" t="s">
        <v>137</v>
      </c>
      <c r="C29">
        <f t="shared" si="0"/>
        <v>34</v>
      </c>
      <c r="F29">
        <v>0</v>
      </c>
    </row>
    <row r="30" spans="1:8">
      <c r="A30" s="2" t="s">
        <v>138</v>
      </c>
      <c r="B30" s="1" t="s">
        <v>139</v>
      </c>
      <c r="C30">
        <f t="shared" si="0"/>
        <v>19</v>
      </c>
      <c r="F30">
        <v>0.5</v>
      </c>
    </row>
    <row r="31" spans="1:8" ht="36">
      <c r="A31" s="2" t="s">
        <v>140</v>
      </c>
      <c r="B31" s="1" t="s">
        <v>141</v>
      </c>
      <c r="C31">
        <f t="shared" si="0"/>
        <v>40</v>
      </c>
      <c r="F31">
        <v>1</v>
      </c>
    </row>
    <row r="32" spans="1:8">
      <c r="A32" s="2" t="s">
        <v>142</v>
      </c>
      <c r="B32" s="1" t="s">
        <v>143</v>
      </c>
      <c r="C32">
        <f t="shared" si="0"/>
        <v>14</v>
      </c>
      <c r="F32">
        <v>1</v>
      </c>
    </row>
    <row r="33" spans="1:6">
      <c r="A33" s="2" t="s">
        <v>144</v>
      </c>
      <c r="B33" s="1" t="s">
        <v>145</v>
      </c>
      <c r="C33">
        <f t="shared" si="0"/>
        <v>17</v>
      </c>
      <c r="F33">
        <v>0</v>
      </c>
    </row>
    <row r="34" spans="1:6">
      <c r="A34" s="2" t="s">
        <v>146</v>
      </c>
      <c r="B34" s="1" t="s">
        <v>147</v>
      </c>
      <c r="C34">
        <f t="shared" si="0"/>
        <v>22</v>
      </c>
      <c r="F34">
        <v>0.5</v>
      </c>
    </row>
    <row r="35" spans="1:6">
      <c r="C35" t="str">
        <f t="shared" si="0"/>
        <v/>
      </c>
    </row>
    <row r="36" spans="1:6">
      <c r="C36" t="str">
        <f t="shared" si="0"/>
        <v/>
      </c>
    </row>
    <row r="37" spans="1:6">
      <c r="C37" t="str">
        <f t="shared" si="0"/>
        <v/>
      </c>
    </row>
    <row r="38" spans="1:6">
      <c r="C38" t="str">
        <f t="shared" si="0"/>
        <v/>
      </c>
    </row>
    <row r="39" spans="1:6">
      <c r="C39" t="str">
        <f t="shared" si="0"/>
        <v/>
      </c>
    </row>
    <row r="40" spans="1:6">
      <c r="C40" t="str">
        <f t="shared" si="0"/>
        <v/>
      </c>
    </row>
    <row r="41" spans="1:6">
      <c r="C41" t="str">
        <f t="shared" si="0"/>
        <v/>
      </c>
    </row>
    <row r="42" spans="1:6">
      <c r="C42" t="str">
        <f t="shared" si="0"/>
        <v/>
      </c>
    </row>
    <row r="43" spans="1:6">
      <c r="C43" t="str">
        <f t="shared" si="0"/>
        <v/>
      </c>
    </row>
    <row r="44" spans="1:6">
      <c r="C44" t="str">
        <f t="shared" si="0"/>
        <v/>
      </c>
    </row>
    <row r="45" spans="1:6">
      <c r="C45" t="str">
        <f t="shared" si="0"/>
        <v/>
      </c>
    </row>
    <row r="46" spans="1:6">
      <c r="C46" t="str">
        <f t="shared" si="0"/>
        <v/>
      </c>
    </row>
    <row r="47" spans="1:6">
      <c r="C47" t="str">
        <f t="shared" si="0"/>
        <v/>
      </c>
    </row>
    <row r="48" spans="1:6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8B953-7412-4DBE-A80F-B19FF3FBA103}">
  <sheetPr codeName="Sheet5"/>
  <dimension ref="A1:K167"/>
  <sheetViews>
    <sheetView zoomScale="85" zoomScaleNormal="85" workbookViewId="0">
      <pane xSplit="1" ySplit="3" topLeftCell="B10" activePane="bottomRight" state="frozen"/>
      <selection pane="topRight" activeCell="B1" sqref="B1"/>
      <selection pane="bottomLeft" activeCell="A4" sqref="A4"/>
      <selection pane="bottomRight" activeCell="F23" sqref="F23"/>
    </sheetView>
  </sheetViews>
  <sheetFormatPr defaultRowHeight="18"/>
  <cols>
    <col min="1" max="1" width="9" style="2"/>
    <col min="2" max="2" width="58.19921875" style="1" customWidth="1"/>
    <col min="3" max="3" width="9.69921875" customWidth="1"/>
  </cols>
  <sheetData>
    <row r="1" spans="1:11">
      <c r="A1" s="2" t="s">
        <v>0</v>
      </c>
      <c r="B1" s="1" t="s">
        <v>59</v>
      </c>
    </row>
    <row r="2" spans="1:11">
      <c r="A2" s="2" t="s">
        <v>2</v>
      </c>
      <c r="B2" s="3" t="s">
        <v>13</v>
      </c>
      <c r="D2">
        <f>SUM(D4:D1000)</f>
        <v>24</v>
      </c>
      <c r="E2">
        <f>SUM(E4:E1000)</f>
        <v>50</v>
      </c>
    </row>
    <row r="3" spans="1:11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1">
      <c r="A4" s="2" t="s">
        <v>27</v>
      </c>
      <c r="B4" s="1" t="s">
        <v>70</v>
      </c>
      <c r="C4">
        <f>IF(B4&lt;&gt;"",LEN(B4),"")</f>
        <v>9</v>
      </c>
      <c r="D4">
        <f>E4*F4</f>
        <v>3</v>
      </c>
      <c r="E4">
        <v>3</v>
      </c>
      <c r="F4">
        <v>1</v>
      </c>
      <c r="G4" t="s">
        <v>65</v>
      </c>
      <c r="I4" t="s">
        <v>69</v>
      </c>
      <c r="K4" t="s">
        <v>77</v>
      </c>
    </row>
    <row r="5" spans="1:11">
      <c r="B5" s="1" t="s">
        <v>71</v>
      </c>
      <c r="C5">
        <f t="shared" ref="C5:C68" si="0">IF(B5&lt;&gt;"",LEN(B5),"")</f>
        <v>5</v>
      </c>
      <c r="D5">
        <f t="shared" ref="D5:D13" si="1">E5*F5</f>
        <v>3</v>
      </c>
      <c r="E5">
        <v>3</v>
      </c>
      <c r="F5">
        <v>1</v>
      </c>
      <c r="G5" t="s">
        <v>66</v>
      </c>
      <c r="I5" t="s">
        <v>72</v>
      </c>
    </row>
    <row r="6" spans="1:11">
      <c r="A6" s="2" t="s">
        <v>33</v>
      </c>
      <c r="B6" s="1" t="s">
        <v>75</v>
      </c>
      <c r="C6">
        <f t="shared" si="0"/>
        <v>27</v>
      </c>
      <c r="D6">
        <f t="shared" si="1"/>
        <v>6</v>
      </c>
      <c r="E6">
        <v>6</v>
      </c>
      <c r="F6">
        <v>1</v>
      </c>
      <c r="G6" t="s">
        <v>67</v>
      </c>
      <c r="I6" t="s">
        <v>73</v>
      </c>
    </row>
    <row r="7" spans="1:11" ht="36">
      <c r="A7" s="2" t="s">
        <v>35</v>
      </c>
      <c r="B7" s="1" t="s">
        <v>76</v>
      </c>
      <c r="C7">
        <f t="shared" si="0"/>
        <v>36</v>
      </c>
      <c r="D7">
        <f t="shared" si="1"/>
        <v>0</v>
      </c>
      <c r="E7">
        <v>6</v>
      </c>
      <c r="F7">
        <v>0</v>
      </c>
      <c r="G7" t="s">
        <v>68</v>
      </c>
      <c r="I7" t="s">
        <v>74</v>
      </c>
    </row>
    <row r="8" spans="1:11">
      <c r="A8" s="2" t="s">
        <v>37</v>
      </c>
      <c r="B8" s="1" t="s">
        <v>78</v>
      </c>
      <c r="C8">
        <f t="shared" si="0"/>
        <v>29</v>
      </c>
      <c r="D8">
        <f t="shared" si="1"/>
        <v>7</v>
      </c>
      <c r="E8">
        <v>7</v>
      </c>
      <c r="F8">
        <v>1</v>
      </c>
      <c r="G8" t="s">
        <v>79</v>
      </c>
    </row>
    <row r="9" spans="1:11">
      <c r="A9" s="4" t="s">
        <v>46</v>
      </c>
      <c r="B9" s="1">
        <v>37</v>
      </c>
      <c r="C9">
        <f t="shared" si="0"/>
        <v>2</v>
      </c>
      <c r="D9">
        <f t="shared" si="1"/>
        <v>5</v>
      </c>
      <c r="E9">
        <v>5</v>
      </c>
      <c r="F9">
        <v>1</v>
      </c>
    </row>
    <row r="10" spans="1:11">
      <c r="A10" s="2" t="s">
        <v>49</v>
      </c>
      <c r="B10" s="1" t="s">
        <v>80</v>
      </c>
      <c r="C10">
        <f t="shared" si="0"/>
        <v>4</v>
      </c>
      <c r="D10">
        <f t="shared" si="1"/>
        <v>0</v>
      </c>
      <c r="E10">
        <v>5</v>
      </c>
      <c r="F10">
        <v>0</v>
      </c>
    </row>
    <row r="11" spans="1:11">
      <c r="B11" s="1" t="s">
        <v>81</v>
      </c>
      <c r="C11">
        <f t="shared" si="0"/>
        <v>5</v>
      </c>
      <c r="D11">
        <f t="shared" si="1"/>
        <v>0</v>
      </c>
      <c r="E11">
        <v>5</v>
      </c>
      <c r="F11">
        <v>0</v>
      </c>
    </row>
    <row r="12" spans="1:11">
      <c r="B12" s="1" t="s">
        <v>82</v>
      </c>
      <c r="C12">
        <f t="shared" si="0"/>
        <v>4</v>
      </c>
      <c r="D12">
        <f t="shared" si="1"/>
        <v>0</v>
      </c>
      <c r="E12">
        <v>5</v>
      </c>
      <c r="F12">
        <v>0</v>
      </c>
    </row>
    <row r="13" spans="1:11">
      <c r="B13" s="1" t="s">
        <v>83</v>
      </c>
      <c r="C13">
        <f t="shared" si="0"/>
        <v>5</v>
      </c>
      <c r="D13">
        <f t="shared" si="1"/>
        <v>0</v>
      </c>
      <c r="E13">
        <v>5</v>
      </c>
      <c r="F13">
        <v>0</v>
      </c>
    </row>
    <row r="14" spans="1:11">
      <c r="C14" t="str">
        <f t="shared" si="0"/>
        <v/>
      </c>
      <c r="H14" t="s">
        <v>67</v>
      </c>
    </row>
    <row r="15" spans="1:11">
      <c r="A15" s="2" t="s">
        <v>27</v>
      </c>
      <c r="B15" s="1" t="s">
        <v>70</v>
      </c>
      <c r="C15">
        <f t="shared" si="0"/>
        <v>9</v>
      </c>
    </row>
    <row r="16" spans="1:11">
      <c r="B16" s="1" t="s">
        <v>106</v>
      </c>
      <c r="C16">
        <f t="shared" si="0"/>
        <v>6</v>
      </c>
      <c r="F16">
        <v>1</v>
      </c>
    </row>
    <row r="17" spans="1:6">
      <c r="A17" s="2" t="s">
        <v>33</v>
      </c>
      <c r="B17" s="1" t="s">
        <v>107</v>
      </c>
      <c r="C17">
        <f t="shared" si="0"/>
        <v>22</v>
      </c>
      <c r="F17">
        <v>1</v>
      </c>
    </row>
    <row r="18" spans="1:6">
      <c r="A18" s="2" t="s">
        <v>35</v>
      </c>
      <c r="B18" s="1" t="s">
        <v>108</v>
      </c>
      <c r="C18">
        <f t="shared" si="0"/>
        <v>34</v>
      </c>
      <c r="F18">
        <v>1</v>
      </c>
    </row>
    <row r="19" spans="1:6" ht="36">
      <c r="A19" s="2" t="s">
        <v>37</v>
      </c>
      <c r="B19" s="1" t="s">
        <v>109</v>
      </c>
      <c r="C19">
        <f t="shared" si="0"/>
        <v>35</v>
      </c>
      <c r="F19">
        <v>1</v>
      </c>
    </row>
    <row r="20" spans="1:6">
      <c r="A20" s="2" t="s">
        <v>46</v>
      </c>
      <c r="B20" s="1">
        <v>37</v>
      </c>
      <c r="C20">
        <f t="shared" si="0"/>
        <v>2</v>
      </c>
      <c r="F20">
        <v>1</v>
      </c>
    </row>
    <row r="21" spans="1:6">
      <c r="A21" s="2" t="s">
        <v>49</v>
      </c>
      <c r="B21" s="1" t="s">
        <v>110</v>
      </c>
      <c r="C21">
        <f t="shared" si="0"/>
        <v>5</v>
      </c>
      <c r="F21">
        <v>0</v>
      </c>
    </row>
    <row r="22" spans="1:6">
      <c r="B22" s="1" t="s">
        <v>111</v>
      </c>
      <c r="C22">
        <f t="shared" si="0"/>
        <v>4</v>
      </c>
      <c r="F22">
        <v>0</v>
      </c>
    </row>
    <row r="23" spans="1:6">
      <c r="B23" s="1" t="s">
        <v>82</v>
      </c>
      <c r="C23">
        <f t="shared" si="0"/>
        <v>4</v>
      </c>
      <c r="F23">
        <v>1</v>
      </c>
    </row>
    <row r="24" spans="1:6">
      <c r="B24" s="1" t="s">
        <v>83</v>
      </c>
      <c r="C24">
        <f t="shared" si="0"/>
        <v>5</v>
      </c>
      <c r="F24">
        <v>1</v>
      </c>
    </row>
    <row r="25" spans="1:6">
      <c r="C25" t="str">
        <f t="shared" si="0"/>
        <v/>
      </c>
    </row>
    <row r="26" spans="1:6">
      <c r="C26" t="str">
        <f t="shared" si="0"/>
        <v/>
      </c>
    </row>
    <row r="27" spans="1:6">
      <c r="C27" t="str">
        <f t="shared" si="0"/>
        <v/>
      </c>
    </row>
    <row r="28" spans="1:6">
      <c r="C28" t="str">
        <f t="shared" si="0"/>
        <v/>
      </c>
    </row>
    <row r="29" spans="1:6">
      <c r="C29" t="str">
        <f t="shared" si="0"/>
        <v/>
      </c>
    </row>
    <row r="30" spans="1:6">
      <c r="C30" t="str">
        <f t="shared" si="0"/>
        <v/>
      </c>
    </row>
    <row r="31" spans="1:6">
      <c r="C31" t="str">
        <f t="shared" si="0"/>
        <v/>
      </c>
    </row>
    <row r="32" spans="1:6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1F9C7-4E64-4C66-A5AD-F721F8A2F146}">
  <sheetPr codeName="Sheet6"/>
  <dimension ref="A1:H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E9" sqref="E9"/>
    </sheetView>
  </sheetViews>
  <sheetFormatPr defaultRowHeight="18"/>
  <cols>
    <col min="1" max="1" width="9" style="2"/>
    <col min="2" max="2" width="73.69921875" style="1" customWidth="1"/>
    <col min="3" max="3" width="9.69921875" customWidth="1"/>
  </cols>
  <sheetData>
    <row r="1" spans="1:8">
      <c r="A1" s="2" t="s">
        <v>0</v>
      </c>
      <c r="B1" s="1" t="s">
        <v>59</v>
      </c>
    </row>
    <row r="2" spans="1:8">
      <c r="A2" s="2" t="s">
        <v>2</v>
      </c>
      <c r="B2" s="3" t="s">
        <v>84</v>
      </c>
      <c r="D2">
        <f>SUM(D4:D1000)</f>
        <v>38</v>
      </c>
      <c r="E2">
        <f>SUM(E4:E1000)</f>
        <v>50</v>
      </c>
    </row>
    <row r="3" spans="1:8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8">
      <c r="A4" s="2" t="s">
        <v>85</v>
      </c>
      <c r="B4" s="1" t="s">
        <v>90</v>
      </c>
      <c r="C4">
        <f>IF(B4&lt;&gt;"",LEN(B4),"")</f>
        <v>3</v>
      </c>
      <c r="D4">
        <f>E4*F4</f>
        <v>4</v>
      </c>
      <c r="E4">
        <v>4</v>
      </c>
      <c r="F4">
        <v>1</v>
      </c>
      <c r="G4" t="s">
        <v>86</v>
      </c>
      <c r="H4" t="s">
        <v>100</v>
      </c>
    </row>
    <row r="5" spans="1:8">
      <c r="A5" s="2" t="s">
        <v>91</v>
      </c>
      <c r="B5" s="1" t="s">
        <v>92</v>
      </c>
      <c r="C5">
        <f t="shared" ref="C5:C68" si="0">IF(B5&lt;&gt;"",LEN(B5),"")</f>
        <v>10</v>
      </c>
      <c r="D5">
        <f t="shared" ref="D5:D14" si="1">E5*F5</f>
        <v>4</v>
      </c>
      <c r="E5">
        <v>4</v>
      </c>
      <c r="F5">
        <v>1</v>
      </c>
      <c r="G5" t="s">
        <v>87</v>
      </c>
      <c r="H5" t="s">
        <v>101</v>
      </c>
    </row>
    <row r="6" spans="1:8">
      <c r="A6" s="2" t="s">
        <v>93</v>
      </c>
      <c r="B6" s="1" t="s">
        <v>94</v>
      </c>
      <c r="C6">
        <f t="shared" si="0"/>
        <v>36</v>
      </c>
      <c r="D6">
        <f t="shared" si="1"/>
        <v>6</v>
      </c>
      <c r="E6">
        <v>6</v>
      </c>
      <c r="F6">
        <v>1</v>
      </c>
      <c r="G6" t="s">
        <v>88</v>
      </c>
    </row>
    <row r="7" spans="1:8">
      <c r="B7" s="1" t="s">
        <v>95</v>
      </c>
      <c r="C7">
        <f t="shared" si="0"/>
        <v>26</v>
      </c>
      <c r="D7">
        <f t="shared" si="1"/>
        <v>4</v>
      </c>
      <c r="E7">
        <v>4</v>
      </c>
      <c r="F7">
        <v>1</v>
      </c>
      <c r="G7" t="s">
        <v>89</v>
      </c>
    </row>
    <row r="8" spans="1:8">
      <c r="A8" s="2" t="s">
        <v>33</v>
      </c>
      <c r="B8" s="1" t="s">
        <v>96</v>
      </c>
      <c r="C8">
        <f t="shared" si="0"/>
        <v>4</v>
      </c>
      <c r="D8">
        <f t="shared" si="1"/>
        <v>4</v>
      </c>
      <c r="E8">
        <v>4</v>
      </c>
      <c r="F8">
        <v>1</v>
      </c>
    </row>
    <row r="9" spans="1:8">
      <c r="B9" s="1" t="s">
        <v>97</v>
      </c>
      <c r="C9">
        <f t="shared" si="0"/>
        <v>4</v>
      </c>
      <c r="D9">
        <f t="shared" si="1"/>
        <v>4</v>
      </c>
      <c r="E9">
        <v>4</v>
      </c>
      <c r="F9">
        <v>1</v>
      </c>
    </row>
    <row r="10" spans="1:8">
      <c r="B10" s="1" t="s">
        <v>98</v>
      </c>
      <c r="C10">
        <f t="shared" si="0"/>
        <v>4</v>
      </c>
      <c r="D10">
        <f t="shared" si="1"/>
        <v>4</v>
      </c>
      <c r="E10">
        <v>4</v>
      </c>
      <c r="F10">
        <v>1</v>
      </c>
    </row>
    <row r="11" spans="1:8">
      <c r="B11" s="1" t="s">
        <v>99</v>
      </c>
      <c r="C11">
        <f t="shared" si="0"/>
        <v>4</v>
      </c>
      <c r="D11">
        <f t="shared" si="1"/>
        <v>4</v>
      </c>
      <c r="E11">
        <v>4</v>
      </c>
      <c r="F11">
        <v>1</v>
      </c>
    </row>
    <row r="12" spans="1:8" ht="36">
      <c r="A12" s="2" t="s">
        <v>35</v>
      </c>
      <c r="B12" s="1" t="s">
        <v>102</v>
      </c>
      <c r="C12">
        <f t="shared" si="0"/>
        <v>43</v>
      </c>
      <c r="D12">
        <f t="shared" si="1"/>
        <v>4</v>
      </c>
      <c r="E12">
        <v>4</v>
      </c>
      <c r="F12">
        <v>1</v>
      </c>
    </row>
    <row r="13" spans="1:8">
      <c r="A13" s="2" t="s">
        <v>46</v>
      </c>
      <c r="B13" s="1" t="s">
        <v>103</v>
      </c>
      <c r="C13">
        <f t="shared" si="0"/>
        <v>7</v>
      </c>
      <c r="D13">
        <f t="shared" si="1"/>
        <v>0</v>
      </c>
      <c r="E13">
        <v>4</v>
      </c>
      <c r="F13">
        <v>0</v>
      </c>
    </row>
    <row r="14" spans="1:8">
      <c r="A14" s="2" t="s">
        <v>49</v>
      </c>
      <c r="B14" s="1" t="s">
        <v>104</v>
      </c>
      <c r="C14">
        <f t="shared" si="0"/>
        <v>36</v>
      </c>
      <c r="D14">
        <f t="shared" si="1"/>
        <v>0</v>
      </c>
      <c r="E14">
        <v>8</v>
      </c>
      <c r="F14">
        <v>0</v>
      </c>
    </row>
    <row r="15" spans="1:8">
      <c r="C15" t="str">
        <f t="shared" si="0"/>
        <v/>
      </c>
    </row>
    <row r="16" spans="1:8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レビュー</vt:lpstr>
      <vt:lpstr>format</vt:lpstr>
      <vt:lpstr>1</vt:lpstr>
      <vt:lpstr>2</vt:lpstr>
      <vt:lpstr>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yoshinaga</dc:creator>
  <cp:lastModifiedBy>Yoshinaga, Shinichi (BIL-NBS) 吉永 信一</cp:lastModifiedBy>
  <dcterms:created xsi:type="dcterms:W3CDTF">2015-06-05T18:19:34Z</dcterms:created>
  <dcterms:modified xsi:type="dcterms:W3CDTF">2025-02-16T12:06:50Z</dcterms:modified>
</cp:coreProperties>
</file>