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1E1D7BC3-B059-4D06-8DE5-F530E2ED2902}" xr6:coauthVersionLast="47" xr6:coauthVersionMax="47" xr10:uidLastSave="{00000000-0000-0000-0000-000000000000}"/>
  <bookViews>
    <workbookView xWindow="10272" yWindow="3108" windowWidth="17280" windowHeight="10680" activeTab="4" xr2:uid="{00000000-000D-0000-FFFF-FFFF00000000}"/>
  </bookViews>
  <sheets>
    <sheet name="レビュー" sheetId="2" r:id="rId1"/>
    <sheet name="format" sheetId="4" r:id="rId2"/>
    <sheet name="1" sheetId="5" r:id="rId3"/>
    <sheet name="2" sheetId="6" r:id="rId4"/>
    <sheet name="3" sheetId="7" r:id="rId5"/>
  </sheets>
  <functionGroups builtInGroupCount="19"/>
  <definedNames>
    <definedName name="_xlnm._FilterDatabase" localSheetId="4" hidden="1">'3'!$A$3:$M$167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7" l="1"/>
  <c r="C25" i="7"/>
  <c r="C24" i="7"/>
  <c r="C23" i="7"/>
  <c r="D20" i="7"/>
  <c r="D19" i="7"/>
  <c r="D18" i="7"/>
  <c r="D17" i="7"/>
  <c r="D16" i="7"/>
  <c r="D15" i="7"/>
  <c r="D14" i="7"/>
  <c r="D13"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2" i="7"/>
  <c r="C21" i="7"/>
  <c r="C20" i="7"/>
  <c r="C19" i="7"/>
  <c r="C18" i="7"/>
  <c r="C17" i="7"/>
  <c r="C16" i="7"/>
  <c r="C15" i="7"/>
  <c r="C14" i="7"/>
  <c r="C13" i="7"/>
  <c r="C12" i="7"/>
  <c r="C11" i="7"/>
  <c r="C10" i="7"/>
  <c r="C9" i="7"/>
  <c r="C8" i="7"/>
  <c r="C7" i="7"/>
  <c r="C6" i="7"/>
  <c r="C5" i="7"/>
  <c r="C4" i="7"/>
  <c r="E2" i="7"/>
  <c r="D18" i="6"/>
  <c r="D17" i="6"/>
  <c r="D16" i="6"/>
  <c r="D15" i="6"/>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7" l="1"/>
  <c r="D2" i="5"/>
  <c r="D2" i="6"/>
</calcChain>
</file>

<file path=xl/sharedStrings.xml><?xml version="1.0" encoding="utf-8"?>
<sst xmlns="http://schemas.openxmlformats.org/spreadsheetml/2006/main" count="198" uniqueCount="152">
  <si>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</si>
  <si>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</si>
  <si>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</si>
  <si>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</si>
  <si>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</si>
  <si>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</si>
  <si>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</si>
  <si>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</si>
  <si>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</si>
  <si>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</si>
  <si>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</si>
  <si>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</si>
  <si>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2017-春</t>
  </si>
  <si>
    <t>2017-春</t>
    <rPh sb="5" eb="6">
      <t>ハル</t>
    </rPh>
    <phoneticPr fontId="1"/>
  </si>
  <si>
    <t>1-2</t>
  </si>
  <si>
    <t>1-2</t>
    <phoneticPr fontId="1"/>
  </si>
  <si>
    <t>E社</t>
    <rPh sb="1" eb="2">
      <t>シャ</t>
    </rPh>
    <phoneticPr fontId="1"/>
  </si>
  <si>
    <t>情報サービス</t>
    <rPh sb="0" eb="2">
      <t>ジョウホウ</t>
    </rPh>
    <phoneticPr fontId="1"/>
  </si>
  <si>
    <t>サイトα</t>
    <phoneticPr fontId="1"/>
  </si>
  <si>
    <t>脆弱性プログラム</t>
    <rPh sb="0" eb="3">
      <t>ゼイジャクセイ</t>
    </rPh>
    <phoneticPr fontId="1"/>
  </si>
  <si>
    <t>コンテンツ作成</t>
    <rPh sb="5" eb="7">
      <t>サクセイ</t>
    </rPh>
    <phoneticPr fontId="1"/>
  </si>
  <si>
    <t>利用者IDとPWでログイン</t>
    <rPh sb="0" eb="3">
      <t>リヨウシャ</t>
    </rPh>
    <phoneticPr fontId="1"/>
  </si>
  <si>
    <t>現在セッションと同じハッシュ</t>
    <rPh sb="0" eb="2">
      <t>ゲンザイ</t>
    </rPh>
    <rPh sb="8" eb="9">
      <t>オナ</t>
    </rPh>
    <phoneticPr fontId="1"/>
  </si>
  <si>
    <t>利用者からの問い合わせ</t>
    <rPh sb="0" eb="3">
      <t>リヨウシャ</t>
    </rPh>
    <rPh sb="6" eb="7">
      <t>ト</t>
    </rPh>
    <rPh sb="8" eb="9">
      <t>ア</t>
    </rPh>
    <phoneticPr fontId="1"/>
  </si>
  <si>
    <t>リンク→別サイト</t>
    <rPh sb="4" eb="5">
      <t>ベツ</t>
    </rPh>
    <phoneticPr fontId="1"/>
  </si>
  <si>
    <t>1</t>
    <phoneticPr fontId="1"/>
  </si>
  <si>
    <t>L氏が今日ログインしたと言っていた回数</t>
    <rPh sb="1" eb="2">
      <t>シ</t>
    </rPh>
    <rPh sb="3" eb="5">
      <t>キョウ</t>
    </rPh>
    <rPh sb="12" eb="13">
      <t>イ</t>
    </rPh>
    <rPh sb="17" eb="19">
      <t>カイスウ</t>
    </rPh>
    <phoneticPr fontId="1"/>
  </si>
  <si>
    <t>L氏の利用者IDを用いた当日のログイン回数</t>
    <rPh sb="1" eb="2">
      <t>シ</t>
    </rPh>
    <rPh sb="3" eb="6">
      <t>リヨウシャ</t>
    </rPh>
    <rPh sb="9" eb="10">
      <t>モチ</t>
    </rPh>
    <rPh sb="12" eb="14">
      <t>トウジツ</t>
    </rPh>
    <rPh sb="19" eb="21">
      <t>カイスウ</t>
    </rPh>
    <phoneticPr fontId="1"/>
  </si>
  <si>
    <t>プロフィールをクリック</t>
    <phoneticPr fontId="1"/>
  </si>
  <si>
    <t>別サイト</t>
    <rPh sb="0" eb="1">
      <t>ベツ</t>
    </rPh>
    <phoneticPr fontId="1"/>
  </si>
  <si>
    <t>2-1</t>
    <phoneticPr fontId="1"/>
  </si>
  <si>
    <t>a: クロスサイトフォージュリ</t>
    <phoneticPr fontId="1"/>
  </si>
  <si>
    <t>2-2</t>
    <phoneticPr fontId="1"/>
  </si>
  <si>
    <t>2-3</t>
    <phoneticPr fontId="1"/>
  </si>
  <si>
    <t>e:submit</t>
    <phoneticPr fontId="1"/>
  </si>
  <si>
    <t>f:submit</t>
    <phoneticPr fontId="1"/>
  </si>
  <si>
    <t>2-4</t>
    <phoneticPr fontId="1"/>
  </si>
  <si>
    <t>c:現在のパスワード</t>
    <rPh sb="2" eb="4">
      <t>ゲンザイ</t>
    </rPh>
    <phoneticPr fontId="1"/>
  </si>
  <si>
    <t>d:知りえない</t>
    <rPh sb="2" eb="3">
      <t>シ</t>
    </rPh>
    <phoneticPr fontId="1"/>
  </si>
  <si>
    <t>脆弱性2=XSS</t>
    <rPh sb="0" eb="3">
      <t>ゼイジャクセイ</t>
    </rPh>
    <phoneticPr fontId="1"/>
  </si>
  <si>
    <t>3-1</t>
    <phoneticPr fontId="1"/>
  </si>
  <si>
    <t>カ、キ</t>
    <phoneticPr fontId="1"/>
  </si>
  <si>
    <t>3-2</t>
    <phoneticPr fontId="1"/>
  </si>
  <si>
    <t>セッションハイジャック</t>
    <phoneticPr fontId="1"/>
  </si>
  <si>
    <t>3-3</t>
    <phoneticPr fontId="1"/>
  </si>
  <si>
    <t>タグに利用できる属性を制限する</t>
    <rPh sb="3" eb="5">
      <t>リヨウ</t>
    </rPh>
    <rPh sb="8" eb="10">
      <t>ゾクセイ</t>
    </rPh>
    <rPh sb="11" eb="13">
      <t>セイゲン</t>
    </rPh>
    <phoneticPr fontId="1"/>
  </si>
  <si>
    <t>1-3</t>
  </si>
  <si>
    <t>1-3</t>
    <phoneticPr fontId="1"/>
  </si>
  <si>
    <t>F社</t>
    <rPh sb="1" eb="2">
      <t>シャ</t>
    </rPh>
    <phoneticPr fontId="1"/>
  </si>
  <si>
    <t>グループウェア</t>
    <phoneticPr fontId="1"/>
  </si>
  <si>
    <t>オンライン</t>
    <phoneticPr fontId="1"/>
  </si>
  <si>
    <t>IDとPW</t>
    <phoneticPr fontId="1"/>
  </si>
  <si>
    <t>社内ネットワーク</t>
    <rPh sb="0" eb="2">
      <t>シャナイ</t>
    </rPh>
    <phoneticPr fontId="1"/>
  </si>
  <si>
    <t>社内からはプロキシ</t>
    <rPh sb="0" eb="2">
      <t>シャナイ</t>
    </rPh>
    <phoneticPr fontId="1"/>
  </si>
  <si>
    <t>利用者IDとPW</t>
    <rPh sb="0" eb="3">
      <t>リヨウシャ</t>
    </rPh>
    <phoneticPr fontId="1"/>
  </si>
  <si>
    <t>アクセス日時などがログイン</t>
    <rPh sb="4" eb="6">
      <t>ニチジ</t>
    </rPh>
    <phoneticPr fontId="1"/>
  </si>
  <si>
    <t>クラウドサービスログインはF社</t>
    <rPh sb="14" eb="15">
      <t>シャ</t>
    </rPh>
    <phoneticPr fontId="1"/>
  </si>
  <si>
    <t>接続元IPアドレスがF社のグローバルIPアドレスでないログ</t>
    <rPh sb="0" eb="3">
      <t>セツゾクモト</t>
    </rPh>
    <rPh sb="11" eb="12">
      <t>シャ</t>
    </rPh>
    <phoneticPr fontId="1"/>
  </si>
  <si>
    <t>b: エ</t>
    <phoneticPr fontId="1"/>
  </si>
  <si>
    <t>d; イ</t>
    <phoneticPr fontId="1"/>
  </si>
  <si>
    <t>a: ウ</t>
    <phoneticPr fontId="1"/>
  </si>
  <si>
    <t>c: ア</t>
    <phoneticPr fontId="1"/>
  </si>
  <si>
    <t>e: 処理1</t>
    <rPh sb="3" eb="5">
      <t>ショリ</t>
    </rPh>
    <phoneticPr fontId="1"/>
  </si>
  <si>
    <t>f: 処理4</t>
    <rPh sb="3" eb="5">
      <t>ショリ</t>
    </rPh>
    <phoneticPr fontId="1"/>
  </si>
  <si>
    <t>ウ</t>
    <phoneticPr fontId="1"/>
  </si>
  <si>
    <t>h: IdP</t>
    <phoneticPr fontId="1"/>
  </si>
  <si>
    <t>i: 改ざん</t>
    <rPh sb="3" eb="4">
      <t>カイ</t>
    </rPh>
    <phoneticPr fontId="1"/>
  </si>
  <si>
    <t>2-5</t>
    <phoneticPr fontId="1"/>
  </si>
  <si>
    <t>LDAPサーバーが認証情報を一括で管理しているため</t>
    <rPh sb="9" eb="11">
      <t>ニンショウ</t>
    </rPh>
    <rPh sb="11" eb="13">
      <t>ジョウホウ</t>
    </rPh>
    <rPh sb="14" eb="16">
      <t>イッカツ</t>
    </rPh>
    <rPh sb="17" eb="19">
      <t>カンリ</t>
    </rPh>
    <phoneticPr fontId="1"/>
  </si>
  <si>
    <t>3-①</t>
    <phoneticPr fontId="1"/>
  </si>
  <si>
    <t>3-②</t>
    <phoneticPr fontId="1"/>
  </si>
  <si>
    <t>クラウドサービスでSAML連携</t>
    <rPh sb="13" eb="15">
      <t>レンケイ</t>
    </rPh>
    <phoneticPr fontId="1"/>
  </si>
  <si>
    <t>交通生産</t>
    <rPh sb="0" eb="4">
      <t>コウツウセイサン</t>
    </rPh>
    <phoneticPr fontId="1"/>
  </si>
  <si>
    <t>番号：３</t>
    <rPh sb="0" eb="2">
      <t>バンゴウ</t>
    </rPh>
    <phoneticPr fontId="1"/>
  </si>
  <si>
    <t>番号：１</t>
    <rPh sb="0" eb="2">
      <t>バンゴウ</t>
    </rPh>
    <phoneticPr fontId="1"/>
  </si>
  <si>
    <t>社外からIdPへの通信がファイアウォールによって遮断されるから</t>
    <rPh sb="0" eb="2">
      <t>シャガイ</t>
    </rPh>
    <rPh sb="9" eb="11">
      <t>ツウシン</t>
    </rPh>
    <rPh sb="24" eb="26">
      <t>シャダン</t>
    </rPh>
    <phoneticPr fontId="1"/>
  </si>
  <si>
    <t>クラウドサービス側で接続IPアドレスの制限が行われるから</t>
    <rPh sb="8" eb="9">
      <t>ガワ</t>
    </rPh>
    <rPh sb="10" eb="12">
      <t>セツゾク</t>
    </rPh>
    <rPh sb="19" eb="21">
      <t>セイゲン</t>
    </rPh>
    <rPh sb="22" eb="23">
      <t>オコナ</t>
    </rPh>
    <phoneticPr fontId="1"/>
  </si>
  <si>
    <t>PM2-1</t>
  </si>
  <si>
    <t>PM2-1</t>
    <phoneticPr fontId="1"/>
  </si>
  <si>
    <t>R社EC足と</t>
    <rPh sb="1" eb="2">
      <t>シャ</t>
    </rPh>
    <rPh sb="4" eb="5">
      <t>アシ</t>
    </rPh>
    <phoneticPr fontId="1"/>
  </si>
  <si>
    <t>CA</t>
    <phoneticPr fontId="1"/>
  </si>
  <si>
    <t>サーバー証明書発行</t>
    <rPh sb="4" eb="7">
      <t>ショウメイショ</t>
    </rPh>
    <rPh sb="7" eb="9">
      <t>ハッコウ</t>
    </rPh>
    <phoneticPr fontId="1"/>
  </si>
  <si>
    <t>外部DNS</t>
    <rPh sb="0" eb="2">
      <t>ガイブ</t>
    </rPh>
    <phoneticPr fontId="1"/>
  </si>
  <si>
    <t>外部メールサーバー</t>
    <rPh sb="0" eb="2">
      <t>ガイブ</t>
    </rPh>
    <phoneticPr fontId="1"/>
  </si>
  <si>
    <t>内部WEBサーバ</t>
    <rPh sb="0" eb="2">
      <t>ナイブ</t>
    </rPh>
    <phoneticPr fontId="1"/>
  </si>
  <si>
    <t>バッチ配信サーバー</t>
    <rPh sb="3" eb="5">
      <t>ハイシン</t>
    </rPh>
    <phoneticPr fontId="1"/>
  </si>
  <si>
    <t>DHCP</t>
    <phoneticPr fontId="1"/>
  </si>
  <si>
    <t>事務用PC</t>
    <rPh sb="0" eb="3">
      <t>ジムヨウ</t>
    </rPh>
    <phoneticPr fontId="1"/>
  </si>
  <si>
    <t>EC管理PC</t>
    <rPh sb="2" eb="4">
      <t>カンリ</t>
    </rPh>
    <phoneticPr fontId="1"/>
  </si>
  <si>
    <t>IS</t>
    <phoneticPr fontId="1"/>
  </si>
  <si>
    <t>開発</t>
    <rPh sb="0" eb="2">
      <t>カイハツ</t>
    </rPh>
    <phoneticPr fontId="1"/>
  </si>
  <si>
    <t>サポート</t>
    <phoneticPr fontId="1"/>
  </si>
  <si>
    <t>ECサイトへのアクセスはFW1で遮断</t>
    <rPh sb="16" eb="18">
      <t>シャダン</t>
    </rPh>
    <phoneticPr fontId="1"/>
  </si>
  <si>
    <t>パッチは自動更新</t>
    <rPh sb="4" eb="6">
      <t>ジドウ</t>
    </rPh>
    <rPh sb="6" eb="8">
      <t>コウシン</t>
    </rPh>
    <phoneticPr fontId="1"/>
  </si>
  <si>
    <t>１か月以内に配信</t>
    <rPh sb="2" eb="5">
      <t>ゲツイナイ</t>
    </rPh>
    <rPh sb="6" eb="8">
      <t>ハイシン</t>
    </rPh>
    <phoneticPr fontId="1"/>
  </si>
  <si>
    <t>社内は利用者ID</t>
    <rPh sb="0" eb="2">
      <t>シャナイ</t>
    </rPh>
    <rPh sb="3" eb="6">
      <t>リヨウシャ</t>
    </rPh>
    <phoneticPr fontId="1"/>
  </si>
  <si>
    <t>事務PCからダウト</t>
    <rPh sb="0" eb="2">
      <t>ジム</t>
    </rPh>
    <phoneticPr fontId="1"/>
  </si>
  <si>
    <t>特定PCをLANから切り離す</t>
    <rPh sb="0" eb="2">
      <t>トクテイ</t>
    </rPh>
    <rPh sb="10" eb="11">
      <t>キ</t>
    </rPh>
    <rPh sb="12" eb="13">
      <t>ハナ</t>
    </rPh>
    <phoneticPr fontId="1"/>
  </si>
  <si>
    <t>1-1</t>
    <phoneticPr fontId="1"/>
  </si>
  <si>
    <t>ウ、エ</t>
    <phoneticPr fontId="1"/>
  </si>
  <si>
    <t>a: プロキシサーバー</t>
    <phoneticPr fontId="1"/>
  </si>
  <si>
    <t>b: DHCPサーバー</t>
    <phoneticPr fontId="1"/>
  </si>
  <si>
    <t>比較対象PC</t>
    <rPh sb="0" eb="4">
      <t>ヒカクタイショウ</t>
    </rPh>
    <phoneticPr fontId="1"/>
  </si>
  <si>
    <t>解析チェックリスト</t>
    <rPh sb="0" eb="2">
      <t>カイセキ</t>
    </rPh>
    <phoneticPr fontId="1"/>
  </si>
  <si>
    <t>被疑サーバーのFQDN</t>
    <rPh sb="0" eb="2">
      <t>ヒギ</t>
    </rPh>
    <phoneticPr fontId="1"/>
  </si>
  <si>
    <t>解析用プロキシサーバー</t>
    <rPh sb="0" eb="3">
      <t>カイセキヨウ</t>
    </rPh>
    <phoneticPr fontId="1"/>
  </si>
  <si>
    <t>接続先のFQDNを中継サーバー1に到達するようにする</t>
    <rPh sb="0" eb="3">
      <t>セツゾクサキ</t>
    </rPh>
    <rPh sb="9" eb="11">
      <t>チュウケイ</t>
    </rPh>
    <rPh sb="17" eb="19">
      <t>トウタツ</t>
    </rPh>
    <phoneticPr fontId="1"/>
  </si>
  <si>
    <t>被疑PCからセッション開始要求</t>
    <rPh sb="0" eb="2">
      <t>ヒギ</t>
    </rPh>
    <rPh sb="11" eb="13">
      <t>カイシ</t>
    </rPh>
    <rPh sb="13" eb="15">
      <t>ヨウキュウ</t>
    </rPh>
    <phoneticPr fontId="1"/>
  </si>
  <si>
    <t>中継サーバ1</t>
    <rPh sb="0" eb="2">
      <t>チュウケイ</t>
    </rPh>
    <phoneticPr fontId="1"/>
  </si>
  <si>
    <t>被疑PCのHTTPS通信</t>
    <rPh sb="0" eb="2">
      <t>ヒギ</t>
    </rPh>
    <rPh sb="10" eb="12">
      <t>ツウシン</t>
    </rPh>
    <phoneticPr fontId="1"/>
  </si>
  <si>
    <t>解析プロキシがHTTPSを中継</t>
    <rPh sb="0" eb="2">
      <t>カイセキ</t>
    </rPh>
    <rPh sb="13" eb="15">
      <t>チュウケイ</t>
    </rPh>
    <phoneticPr fontId="1"/>
  </si>
  <si>
    <t>HTTPSで通信開始</t>
    <rPh sb="6" eb="8">
      <t>ツウシン</t>
    </rPh>
    <rPh sb="8" eb="10">
      <t>カイシ</t>
    </rPh>
    <phoneticPr fontId="1"/>
  </si>
  <si>
    <t>デバッガコードに検体α</t>
    <rPh sb="8" eb="10">
      <t>ケンタイ</t>
    </rPh>
    <phoneticPr fontId="1"/>
  </si>
  <si>
    <t>実行中プロセスの処理の経過時間を計測して、通常よりも時間が長いかを確認する。</t>
    <rPh sb="0" eb="2">
      <t>ジッコウ</t>
    </rPh>
    <rPh sb="2" eb="3">
      <t>ナカ</t>
    </rPh>
    <rPh sb="8" eb="10">
      <t>ショリ</t>
    </rPh>
    <rPh sb="11" eb="15">
      <t>ケイカジカン</t>
    </rPh>
    <rPh sb="16" eb="18">
      <t>ケイソク</t>
    </rPh>
    <rPh sb="21" eb="23">
      <t>ツウジョウ</t>
    </rPh>
    <rPh sb="26" eb="28">
      <t>ジカン</t>
    </rPh>
    <rPh sb="29" eb="30">
      <t>ナガ</t>
    </rPh>
    <rPh sb="33" eb="35">
      <t>カクニン</t>
    </rPh>
    <phoneticPr fontId="1"/>
  </si>
  <si>
    <t>ウイルスのコード部が変化するため、ウイルス定義ファイルに登録されていないファイルとなるため</t>
    <rPh sb="8" eb="9">
      <t>ブ</t>
    </rPh>
    <rPh sb="10" eb="12">
      <t>ヘンカ</t>
    </rPh>
    <rPh sb="21" eb="23">
      <t>テイギ</t>
    </rPh>
    <rPh sb="28" eb="30">
      <t>トウロク</t>
    </rPh>
    <phoneticPr fontId="1"/>
  </si>
  <si>
    <t>4-1</t>
    <phoneticPr fontId="1"/>
  </si>
  <si>
    <t>プロキシサーバーのブラックリスト</t>
    <phoneticPr fontId="1"/>
  </si>
  <si>
    <t>4-2</t>
    <phoneticPr fontId="1"/>
  </si>
  <si>
    <t>マルウェア定義ファイルを最新にして、ウイルススキャンを行う</t>
    <rPh sb="5" eb="7">
      <t>テイギ</t>
    </rPh>
    <rPh sb="12" eb="14">
      <t>サイシン</t>
    </rPh>
    <rPh sb="27" eb="28">
      <t>オコナ</t>
    </rPh>
    <phoneticPr fontId="1"/>
  </si>
  <si>
    <t>4-3</t>
    <phoneticPr fontId="1"/>
  </si>
  <si>
    <t>パスワードの変更</t>
    <rPh sb="6" eb="8">
      <t>ヘンコウ</t>
    </rPh>
    <phoneticPr fontId="1"/>
  </si>
  <si>
    <t>脆弱性Kに田泓した脆弱性修正プログラム</t>
    <rPh sb="0" eb="3">
      <t>ゼイジャクセイ</t>
    </rPh>
    <rPh sb="5" eb="7">
      <t>タオウ</t>
    </rPh>
    <rPh sb="9" eb="12">
      <t>ゼイジャクセイ</t>
    </rPh>
    <rPh sb="12" eb="14">
      <t>シュウセイ</t>
    </rPh>
    <phoneticPr fontId="1"/>
  </si>
  <si>
    <t>5-1</t>
    <phoneticPr fontId="1"/>
  </si>
  <si>
    <t>社外閲覧</t>
    <rPh sb="0" eb="2">
      <t>シャガイ</t>
    </rPh>
    <rPh sb="2" eb="4">
      <t>エツラン</t>
    </rPh>
    <phoneticPr fontId="1"/>
  </si>
  <si>
    <t>被疑PCのIP</t>
    <rPh sb="0" eb="2">
      <t>ヒギ</t>
    </rPh>
    <phoneticPr fontId="1"/>
  </si>
  <si>
    <t>Nページ</t>
    <phoneticPr fontId="1"/>
  </si>
  <si>
    <t>pdf viewer</t>
    <phoneticPr fontId="1"/>
  </si>
  <si>
    <t>PDF閲覧ソフトの脆弱性修正プログラムの適用状況</t>
    <rPh sb="3" eb="5">
      <t>エツラン</t>
    </rPh>
    <rPh sb="9" eb="12">
      <t>ゼイジャクセイ</t>
    </rPh>
    <rPh sb="12" eb="14">
      <t>シュウセイ</t>
    </rPh>
    <rPh sb="20" eb="22">
      <t>テキヨウ</t>
    </rPh>
    <rPh sb="22" eb="24">
      <t>ジョウキョウ</t>
    </rPh>
    <phoneticPr fontId="1"/>
  </si>
  <si>
    <t>5-2</t>
    <phoneticPr fontId="1"/>
  </si>
  <si>
    <t>f: パッチ配信サーバー</t>
    <rPh sb="6" eb="8">
      <t>ハイシン</t>
    </rPh>
    <phoneticPr fontId="1"/>
  </si>
  <si>
    <t>5-3</t>
    <phoneticPr fontId="1"/>
  </si>
  <si>
    <t>pdf閲覧ソフトの脆弱性修正プログラムを適用する前に、Q社のwebサイトを閲覧した場合</t>
    <rPh sb="3" eb="5">
      <t>エツラン</t>
    </rPh>
    <rPh sb="9" eb="12">
      <t>ゼイジャクセイ</t>
    </rPh>
    <rPh sb="12" eb="14">
      <t>シュウセイ</t>
    </rPh>
    <rPh sb="20" eb="22">
      <t>テキヨウ</t>
    </rPh>
    <rPh sb="24" eb="25">
      <t>マエ</t>
    </rPh>
    <rPh sb="28" eb="29">
      <t>シャ</t>
    </rPh>
    <rPh sb="37" eb="39">
      <t>エツラン</t>
    </rPh>
    <rPh sb="41" eb="43">
      <t>バアイ</t>
    </rPh>
    <phoneticPr fontId="1"/>
  </si>
  <si>
    <t>6-1</t>
    <phoneticPr fontId="1"/>
  </si>
  <si>
    <t>被疑PCのHDDの複製作業</t>
    <rPh sb="0" eb="2">
      <t>ヒギ</t>
    </rPh>
    <rPh sb="9" eb="11">
      <t>フクセイ</t>
    </rPh>
    <rPh sb="11" eb="13">
      <t>サギョウ</t>
    </rPh>
    <phoneticPr fontId="1"/>
  </si>
  <si>
    <t>6-2</t>
    <phoneticPr fontId="1"/>
  </si>
  <si>
    <t>代替用PCを準備する</t>
    <rPh sb="0" eb="2">
      <t>ダイタイ</t>
    </rPh>
    <rPh sb="2" eb="3">
      <t>ヨウ</t>
    </rPh>
    <rPh sb="6" eb="8">
      <t>ジュンビ</t>
    </rPh>
    <phoneticPr fontId="1"/>
  </si>
  <si>
    <t>6-3</t>
    <phoneticPr fontId="1"/>
  </si>
  <si>
    <t>PC起動時や所定の時刻に特定のプログラムを自動的に起動する設定内容</t>
    <rPh sb="2" eb="5">
      <t>キドウジ</t>
    </rPh>
    <rPh sb="6" eb="8">
      <t>ショテイ</t>
    </rPh>
    <rPh sb="9" eb="11">
      <t>ジコク</t>
    </rPh>
    <rPh sb="12" eb="14">
      <t>トクテイ</t>
    </rPh>
    <rPh sb="21" eb="24">
      <t>ジドウテキ</t>
    </rPh>
    <rPh sb="25" eb="27">
      <t>キドウ</t>
    </rPh>
    <rPh sb="29" eb="31">
      <t>セッテイ</t>
    </rPh>
    <rPh sb="31" eb="33">
      <t>ナイヨウ</t>
    </rPh>
    <phoneticPr fontId="1"/>
  </si>
  <si>
    <t>RはECサイトを運営</t>
    <rPh sb="8" eb="10">
      <t>ウンエイ</t>
    </rPh>
    <phoneticPr fontId="1"/>
  </si>
  <si>
    <t>事務用PCと管理PC</t>
    <rPh sb="0" eb="3">
      <t>ジムヨウ</t>
    </rPh>
    <rPh sb="6" eb="8">
      <t>カンリ</t>
    </rPh>
    <phoneticPr fontId="1"/>
  </si>
  <si>
    <t>FW1,2</t>
    <phoneticPr fontId="1"/>
  </si>
  <si>
    <t>事務用PCからECサイトへはFW1より遮断される</t>
    <rPh sb="0" eb="3">
      <t>ジムヨウ</t>
    </rPh>
    <rPh sb="19" eb="21">
      <t>シャダン</t>
    </rPh>
    <phoneticPr fontId="1"/>
  </si>
  <si>
    <t>プロキシのアクセスログ不正</t>
    <rPh sb="11" eb="13">
      <t>フセイ</t>
    </rPh>
    <phoneticPr fontId="1"/>
  </si>
  <si>
    <t>1-2</t>
    <phoneticPr fontId="1"/>
  </si>
  <si>
    <t>a: プロキシサーバー</t>
    <phoneticPr fontId="1"/>
  </si>
  <si>
    <t>b: DHCPサーバー</t>
    <phoneticPr fontId="1"/>
  </si>
  <si>
    <t>秘儀サーバーのFQDN</t>
    <rPh sb="0" eb="2">
      <t>ヒギ</t>
    </rPh>
    <phoneticPr fontId="1"/>
  </si>
  <si>
    <t>中継サーバー1</t>
    <rPh sb="0" eb="2">
      <t>チュウケイ</t>
    </rPh>
    <phoneticPr fontId="1"/>
  </si>
  <si>
    <t>暗号鍵を変えてパック処理する暗号化済みコードが変化し、ウイルス定義ファイルに登録されていないファイルとなるため</t>
    <rPh sb="0" eb="2">
      <t>アンゴウ</t>
    </rPh>
    <rPh sb="2" eb="3">
      <t>カギ</t>
    </rPh>
    <rPh sb="4" eb="5">
      <t>カ</t>
    </rPh>
    <rPh sb="10" eb="12">
      <t>ショリ</t>
    </rPh>
    <rPh sb="14" eb="18">
      <t>アンゴウカズ</t>
    </rPh>
    <rPh sb="23" eb="25">
      <t>ヘンカ</t>
    </rPh>
    <rPh sb="31" eb="33">
      <t>テイギ</t>
    </rPh>
    <rPh sb="38" eb="40">
      <t>トウロク</t>
    </rPh>
    <phoneticPr fontId="1"/>
  </si>
  <si>
    <t>プロキシサーバーのブラックリスト</t>
    <phoneticPr fontId="1"/>
  </si>
  <si>
    <t>脆弱性Kに対応した脆弱性修正プログラムを適用する</t>
    <rPh sb="0" eb="3">
      <t>ゼイジャクセイ</t>
    </rPh>
    <rPh sb="5" eb="7">
      <t>タイオウ</t>
    </rPh>
    <rPh sb="9" eb="12">
      <t>ゼイジャクセイ</t>
    </rPh>
    <rPh sb="12" eb="14">
      <t>シュウセイ</t>
    </rPh>
    <rPh sb="20" eb="22">
      <t>テキヨウ</t>
    </rPh>
    <phoneticPr fontId="1"/>
  </si>
  <si>
    <t>代替PCの貸し出し</t>
    <rPh sb="0" eb="2">
      <t>ダイタイ</t>
    </rPh>
    <rPh sb="5" eb="6">
      <t>カ</t>
    </rPh>
    <rPh sb="7" eb="8">
      <t>ダ</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</si>
</sst>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zoomScale="85" zoomScaleNormal="85" workbookViewId="0">
      <selection activeCell="H9" sqref="H9"/>
    </sheetView>
  </sheetViews>
  <sheetFormatPr defaultRowHeight="18"/>
  <cols>
    <col min="2" max="3" width="9" style="2"/>
  </cols>
  <sheetData>
    <row r="1" spans="1:6">
      <c r="A1" t="s">
        <v>11</v>
      </c>
      <c r="B1" s="2" t="s">
        <v>7</v>
      </c>
      <c r="C1" s="2" t="s">
        <v>8</v>
      </c>
      <c r="D1" t="s">
        <v>9</v>
      </c>
      <c r="E1" t="s">
        <v>5</v>
      </c>
      <c r="F1" t="s">
        <v>10</v>
      </c>
    </row>
    <row r="2" spans="1:6">
      <c r="A2">
        <v>1</v>
      </c>
      <c r="B2" s="2" t="s">
        <v>12</v>
      </c>
      <c r="C2" s="2" t="s">
        <v>14</v>
      </c>
      <c r="D2">
        <v>42</v>
      </c>
      <c r="E2">
        <v>50</v>
      </c>
    </row>
    <row r="3" spans="1:6">
      <c r="A3">
        <v>2</v>
      </c>
      <c r="B3" s="2" t="s">
        <v>12</v>
      </c>
      <c r="C3" s="2" t="s">
        <v>46</v>
      </c>
      <c r="D3">
        <v>45</v>
      </c>
      <c r="E3">
        <v>50</v>
      </c>
    </row>
    <row r="4" spans="1:6">
      <c r="A4">
        <v>3</v>
      </c>
      <c r="B4" s="2" t="s">
        <v>12</v>
      </c>
      <c r="C4" s="2" t="s">
        <v>77</v>
      </c>
      <c r="D4">
        <v>83</v>
      </c>
      <c r="E4">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8D091-AC83-4305-B88C-219D58EA5166}">
  <sheetPr codeName="Sheet4"/>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51.69921875" style="1" customWidth="1"/>
    <col min="3" max="3" width="9.69921875" customWidth="1"/>
  </cols>
  <sheetData>
    <row r="1" spans="1:11">
      <c r="A1" s="2" t="s">
        <v>0</v>
      </c>
      <c r="B1" s="1" t="s">
        <v>13</v>
      </c>
    </row>
    <row r="2" spans="1:11">
      <c r="A2" s="2" t="s">
        <v>2</v>
      </c>
      <c r="B2" s="3" t="s">
        <v>15</v>
      </c>
      <c r="D2">
        <f>SUM(D4:D1000)</f>
        <v>42</v>
      </c>
      <c r="E2">
        <f>SUM(E4:E1000)</f>
        <v>50</v>
      </c>
    </row>
    <row r="3" spans="1:11">
      <c r="A3" s="2" t="s">
        <v>1</v>
      </c>
      <c r="B3" s="1" t="s">
        <v>3</v>
      </c>
      <c r="C3" t="s">
        <v>6</v>
      </c>
      <c r="D3" t="s">
        <v>4</v>
      </c>
      <c r="E3" t="s">
        <v>5</v>
      </c>
    </row>
    <row r="4" spans="1:11">
      <c r="A4" s="2" t="s">
        <v>25</v>
      </c>
      <c r="B4" s="1" t="s">
        <v>26</v>
      </c>
      <c r="C4">
        <f>IF(B4&lt;&gt;"",LEN(B4),"")</f>
        <v>19</v>
      </c>
      <c r="D4">
        <f>E4*F4</f>
        <v>6</v>
      </c>
      <c r="E4">
        <v>6</v>
      </c>
      <c r="F4">
        <v>1</v>
      </c>
      <c r="G4" t="s">
        <v>16</v>
      </c>
      <c r="I4" t="s">
        <v>18</v>
      </c>
      <c r="K4" t="s">
        <v>18</v>
      </c>
    </row>
    <row r="5" spans="1:11">
      <c r="B5" s="1" t="s">
        <v>27</v>
      </c>
      <c r="C5">
        <f t="shared" ref="C5:C68" si="0">IF(B5&lt;&gt;"",LEN(B5),"")</f>
        <v>21</v>
      </c>
      <c r="D5">
        <f t="shared" ref="D5:D14" si="1">E5*F5</f>
        <v>6</v>
      </c>
      <c r="E5">
        <v>6</v>
      </c>
      <c r="F5">
        <v>1</v>
      </c>
      <c r="G5" t="s">
        <v>17</v>
      </c>
      <c r="I5" t="s">
        <v>21</v>
      </c>
      <c r="K5" t="s">
        <v>28</v>
      </c>
    </row>
    <row r="6" spans="1:11">
      <c r="A6" s="2" t="s">
        <v>30</v>
      </c>
      <c r="B6" s="1" t="s">
        <v>31</v>
      </c>
      <c r="C6">
        <f t="shared" si="0"/>
        <v>15</v>
      </c>
      <c r="D6">
        <f t="shared" si="1"/>
        <v>4</v>
      </c>
      <c r="E6">
        <v>4</v>
      </c>
      <c r="F6">
        <v>1</v>
      </c>
      <c r="G6" t="s">
        <v>18</v>
      </c>
      <c r="I6" t="s">
        <v>22</v>
      </c>
      <c r="K6" t="s">
        <v>29</v>
      </c>
    </row>
    <row r="7" spans="1:11">
      <c r="A7" s="2" t="s">
        <v>32</v>
      </c>
      <c r="B7" s="1">
        <v>3</v>
      </c>
      <c r="C7">
        <f t="shared" si="0"/>
        <v>1</v>
      </c>
      <c r="D7">
        <f t="shared" si="1"/>
        <v>4</v>
      </c>
      <c r="E7">
        <v>4</v>
      </c>
      <c r="F7">
        <v>1</v>
      </c>
      <c r="G7" t="s">
        <v>19</v>
      </c>
      <c r="I7" t="s">
        <v>23</v>
      </c>
      <c r="K7" t="s">
        <v>39</v>
      </c>
    </row>
    <row r="8" spans="1:11">
      <c r="A8" s="2" t="s">
        <v>33</v>
      </c>
      <c r="B8" s="1" t="s">
        <v>37</v>
      </c>
      <c r="C8">
        <f t="shared" si="0"/>
        <v>10</v>
      </c>
      <c r="D8">
        <f t="shared" si="1"/>
        <v>4</v>
      </c>
      <c r="E8">
        <v>4</v>
      </c>
      <c r="F8">
        <v>1</v>
      </c>
      <c r="G8" t="s">
        <v>20</v>
      </c>
      <c r="I8" t="s">
        <v>24</v>
      </c>
    </row>
    <row r="9" spans="1:11">
      <c r="B9" s="1" t="s">
        <v>38</v>
      </c>
      <c r="C9">
        <f t="shared" si="0"/>
        <v>7</v>
      </c>
      <c r="D9">
        <f t="shared" si="1"/>
        <v>4</v>
      </c>
      <c r="E9">
        <v>4</v>
      </c>
      <c r="F9">
        <v>1</v>
      </c>
    </row>
    <row r="10" spans="1:11">
      <c r="A10" s="2" t="s">
        <v>36</v>
      </c>
      <c r="B10" s="1" t="s">
        <v>34</v>
      </c>
      <c r="C10">
        <f t="shared" si="0"/>
        <v>8</v>
      </c>
      <c r="D10">
        <f t="shared" si="1"/>
        <v>0</v>
      </c>
      <c r="E10">
        <v>4</v>
      </c>
      <c r="F10">
        <v>0</v>
      </c>
    </row>
    <row r="11" spans="1:11">
      <c r="B11" s="1" t="s">
        <v>35</v>
      </c>
      <c r="C11">
        <f t="shared" si="0"/>
        <v>8</v>
      </c>
      <c r="D11">
        <f t="shared" si="1"/>
        <v>4</v>
      </c>
      <c r="E11">
        <v>4</v>
      </c>
      <c r="F11">
        <v>1</v>
      </c>
    </row>
    <row r="12" spans="1:11">
      <c r="A12" s="2" t="s">
        <v>40</v>
      </c>
      <c r="B12" s="1" t="s">
        <v>41</v>
      </c>
      <c r="C12">
        <f t="shared" si="0"/>
        <v>3</v>
      </c>
      <c r="D12">
        <f t="shared" si="1"/>
        <v>4</v>
      </c>
      <c r="E12">
        <v>4</v>
      </c>
      <c r="F12">
        <v>1</v>
      </c>
    </row>
    <row r="13" spans="1:11">
      <c r="A13" s="2" t="s">
        <v>42</v>
      </c>
      <c r="B13" s="1" t="s">
        <v>43</v>
      </c>
      <c r="C13">
        <f t="shared" si="0"/>
        <v>11</v>
      </c>
      <c r="D13">
        <f t="shared" si="1"/>
        <v>0</v>
      </c>
      <c r="E13">
        <v>4</v>
      </c>
      <c r="F13">
        <v>0</v>
      </c>
    </row>
    <row r="14" spans="1:11">
      <c r="A14" s="2" t="s">
        <v>44</v>
      </c>
      <c r="B14" s="1" t="s">
        <v>45</v>
      </c>
      <c r="C14">
        <f t="shared" si="0"/>
        <v>15</v>
      </c>
      <c r="D14">
        <f t="shared" si="1"/>
        <v>6</v>
      </c>
      <c r="E14">
        <v>6</v>
      </c>
      <c r="F14">
        <v>1</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1FB34-E0DF-417B-A247-EEB10A88CD58}">
  <sheetPr codeName="Sheet5"/>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54.19921875" style="1" customWidth="1"/>
    <col min="3" max="3" width="9.69921875" customWidth="1"/>
  </cols>
  <sheetData>
    <row r="1" spans="1:9">
      <c r="A1" s="2" t="s">
        <v>0</v>
      </c>
      <c r="B1" s="1" t="s">
        <v>13</v>
      </c>
    </row>
    <row r="2" spans="1:9">
      <c r="A2" s="2" t="s">
        <v>2</v>
      </c>
      <c r="B2" s="3" t="s">
        <v>47</v>
      </c>
      <c r="D2">
        <f>SUM(D4:D1000)</f>
        <v>45</v>
      </c>
      <c r="E2">
        <f>SUM(E4:E1000)</f>
        <v>50</v>
      </c>
    </row>
    <row r="3" spans="1:9">
      <c r="A3" s="2" t="s">
        <v>1</v>
      </c>
      <c r="B3" s="1" t="s">
        <v>3</v>
      </c>
      <c r="C3" t="s">
        <v>6</v>
      </c>
      <c r="D3" t="s">
        <v>4</v>
      </c>
      <c r="E3" t="s">
        <v>5</v>
      </c>
    </row>
    <row r="4" spans="1:9">
      <c r="A4" s="2" t="s">
        <v>25</v>
      </c>
      <c r="B4" s="1" t="s">
        <v>57</v>
      </c>
      <c r="C4">
        <f>IF(B4&lt;&gt;"",LEN(B4),"")</f>
        <v>29</v>
      </c>
      <c r="D4">
        <f>E4*F4</f>
        <v>5</v>
      </c>
      <c r="E4">
        <v>5</v>
      </c>
      <c r="F4">
        <v>1</v>
      </c>
      <c r="G4" t="s">
        <v>48</v>
      </c>
      <c r="I4" t="s">
        <v>53</v>
      </c>
    </row>
    <row r="5" spans="1:9">
      <c r="A5" s="2" t="s">
        <v>30</v>
      </c>
      <c r="B5" s="1" t="s">
        <v>60</v>
      </c>
      <c r="C5">
        <f t="shared" ref="C5:C68" si="0">IF(B5&lt;&gt;"",LEN(B5),"")</f>
        <v>4</v>
      </c>
      <c r="D5">
        <f t="shared" ref="D5:D18" si="1">E5*F5</f>
        <v>2</v>
      </c>
      <c r="E5">
        <v>2</v>
      </c>
      <c r="F5">
        <v>1</v>
      </c>
      <c r="G5" t="s">
        <v>49</v>
      </c>
      <c r="I5" t="s">
        <v>54</v>
      </c>
    </row>
    <row r="6" spans="1:9">
      <c r="B6" s="1" t="s">
        <v>58</v>
      </c>
      <c r="C6">
        <f t="shared" si="0"/>
        <v>4</v>
      </c>
      <c r="D6">
        <f t="shared" si="1"/>
        <v>2</v>
      </c>
      <c r="E6">
        <v>2</v>
      </c>
      <c r="F6">
        <v>1</v>
      </c>
      <c r="G6" t="s">
        <v>50</v>
      </c>
      <c r="I6" t="s">
        <v>55</v>
      </c>
    </row>
    <row r="7" spans="1:9">
      <c r="B7" s="1" t="s">
        <v>61</v>
      </c>
      <c r="C7">
        <f t="shared" si="0"/>
        <v>4</v>
      </c>
      <c r="D7">
        <f t="shared" si="1"/>
        <v>2</v>
      </c>
      <c r="E7">
        <v>2</v>
      </c>
      <c r="F7">
        <v>1</v>
      </c>
      <c r="G7" t="s">
        <v>51</v>
      </c>
      <c r="I7" t="s">
        <v>56</v>
      </c>
    </row>
    <row r="8" spans="1:9">
      <c r="B8" s="1" t="s">
        <v>59</v>
      </c>
      <c r="C8">
        <f t="shared" si="0"/>
        <v>4</v>
      </c>
      <c r="D8">
        <f t="shared" si="1"/>
        <v>2</v>
      </c>
      <c r="E8">
        <v>2</v>
      </c>
      <c r="F8">
        <v>1</v>
      </c>
      <c r="G8" t="s">
        <v>52</v>
      </c>
    </row>
    <row r="9" spans="1:9">
      <c r="A9" s="2" t="s">
        <v>32</v>
      </c>
      <c r="B9" s="1" t="s">
        <v>62</v>
      </c>
      <c r="C9">
        <f t="shared" si="0"/>
        <v>6</v>
      </c>
      <c r="D9">
        <f t="shared" si="1"/>
        <v>3</v>
      </c>
      <c r="E9">
        <v>3</v>
      </c>
      <c r="F9">
        <v>1</v>
      </c>
      <c r="G9" t="s">
        <v>71</v>
      </c>
    </row>
    <row r="10" spans="1:9">
      <c r="B10" s="1" t="s">
        <v>63</v>
      </c>
      <c r="C10">
        <f t="shared" si="0"/>
        <v>6</v>
      </c>
      <c r="D10">
        <f t="shared" si="1"/>
        <v>3</v>
      </c>
      <c r="E10">
        <v>3</v>
      </c>
      <c r="F10">
        <v>1</v>
      </c>
      <c r="G10" t="s">
        <v>72</v>
      </c>
    </row>
    <row r="11" spans="1:9">
      <c r="A11" s="2" t="s">
        <v>33</v>
      </c>
      <c r="B11" s="1" t="s">
        <v>64</v>
      </c>
      <c r="C11">
        <f t="shared" si="0"/>
        <v>1</v>
      </c>
      <c r="D11">
        <f t="shared" si="1"/>
        <v>2</v>
      </c>
      <c r="E11">
        <v>2</v>
      </c>
      <c r="F11">
        <v>1</v>
      </c>
    </row>
    <row r="12" spans="1:9">
      <c r="A12" s="2" t="s">
        <v>36</v>
      </c>
      <c r="B12" s="1" t="s">
        <v>65</v>
      </c>
      <c r="C12">
        <f t="shared" si="0"/>
        <v>6</v>
      </c>
      <c r="D12">
        <f t="shared" si="1"/>
        <v>3</v>
      </c>
      <c r="E12">
        <v>3</v>
      </c>
      <c r="F12">
        <v>1</v>
      </c>
    </row>
    <row r="13" spans="1:9">
      <c r="B13" s="1" t="s">
        <v>66</v>
      </c>
      <c r="C13">
        <f t="shared" si="0"/>
        <v>6</v>
      </c>
      <c r="D13">
        <f t="shared" si="1"/>
        <v>3</v>
      </c>
      <c r="E13">
        <v>3</v>
      </c>
      <c r="F13">
        <v>1</v>
      </c>
    </row>
    <row r="14" spans="1:9">
      <c r="A14" s="2" t="s">
        <v>67</v>
      </c>
      <c r="B14" s="1" t="s">
        <v>68</v>
      </c>
      <c r="C14">
        <f t="shared" si="0"/>
        <v>25</v>
      </c>
      <c r="D14">
        <f t="shared" si="1"/>
        <v>0</v>
      </c>
      <c r="E14">
        <v>5</v>
      </c>
      <c r="F14">
        <v>0</v>
      </c>
    </row>
    <row r="15" spans="1:9">
      <c r="A15" s="2" t="s">
        <v>69</v>
      </c>
      <c r="B15" s="1" t="s">
        <v>73</v>
      </c>
      <c r="C15">
        <f t="shared" si="0"/>
        <v>4</v>
      </c>
      <c r="D15">
        <f t="shared" si="1"/>
        <v>4</v>
      </c>
      <c r="E15">
        <v>4</v>
      </c>
      <c r="F15">
        <v>1</v>
      </c>
      <c r="G15" t="s">
        <v>49</v>
      </c>
    </row>
    <row r="16" spans="1:9">
      <c r="B16" s="1" t="s">
        <v>75</v>
      </c>
      <c r="C16">
        <f t="shared" si="0"/>
        <v>31</v>
      </c>
      <c r="D16">
        <f t="shared" si="1"/>
        <v>5</v>
      </c>
      <c r="E16">
        <v>5</v>
      </c>
      <c r="F16">
        <v>1</v>
      </c>
    </row>
    <row r="17" spans="1:6">
      <c r="A17" s="2" t="s">
        <v>70</v>
      </c>
      <c r="B17" s="1" t="s">
        <v>74</v>
      </c>
      <c r="C17">
        <f t="shared" si="0"/>
        <v>4</v>
      </c>
      <c r="D17">
        <f t="shared" si="1"/>
        <v>4</v>
      </c>
      <c r="E17">
        <v>4</v>
      </c>
      <c r="F17">
        <v>1</v>
      </c>
    </row>
    <row r="18" spans="1:6">
      <c r="B18" s="1" t="s">
        <v>76</v>
      </c>
      <c r="C18">
        <f t="shared" si="0"/>
        <v>28</v>
      </c>
      <c r="D18">
        <f t="shared" si="1"/>
        <v>5</v>
      </c>
      <c r="E18">
        <v>5</v>
      </c>
      <c r="F18">
        <v>1</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7A9D6-C945-464A-868C-655E58C8268F}">
  <sheetPr codeName="Sheet6"/>
  <dimension ref="A1:M167"/>
  <sheetViews>
    <sheetView tabSelected="1" zoomScale="85" zoomScaleNormal="85" workbookViewId="0">
      <pane xSplit="1" ySplit="3" topLeftCell="B14" activePane="bottomRight" state="frozen"/>
      <selection pane="topRight" activeCell="B1" sqref="B1"/>
      <selection pane="bottomLeft" activeCell="A4" sqref="A4"/>
      <selection pane="bottomRight" activeCell="F16" sqref="F16"/>
    </sheetView>
  </sheetViews>
  <sheetFormatPr defaultRowHeight="18"/>
  <cols>
    <col min="1" max="1" width="9" style="2"/>
    <col min="2" max="2" width="43.8984375" style="1" customWidth="1"/>
    <col min="3" max="3" width="9.69921875" customWidth="1"/>
  </cols>
  <sheetData>
    <row r="1" spans="1:13">
      <c r="A1" s="2" t="s">
        <v>0</v>
      </c>
      <c r="B1" s="1" t="s">
        <v>13</v>
      </c>
    </row>
    <row r="2" spans="1:13">
      <c r="A2" s="2" t="s">
        <v>2</v>
      </c>
      <c r="B2" s="3" t="s">
        <v>78</v>
      </c>
      <c r="D2">
        <f>SUM(D4:D1000)</f>
        <v>83</v>
      </c>
      <c r="E2">
        <f>SUM(E4:E1000)</f>
        <v>100</v>
      </c>
    </row>
    <row r="3" spans="1:13">
      <c r="A3" s="2" t="s">
        <v>1</v>
      </c>
      <c r="B3" s="1" t="s">
        <v>3</v>
      </c>
      <c r="C3" t="s">
        <v>6</v>
      </c>
      <c r="D3" t="s">
        <v>4</v>
      </c>
      <c r="E3" t="s">
        <v>5</v>
      </c>
    </row>
    <row r="4" spans="1:13">
      <c r="A4" s="2" t="s">
        <v>98</v>
      </c>
      <c r="B4" s="1" t="s">
        <v>99</v>
      </c>
      <c r="C4">
        <f>IF(B4&lt;&gt;"",LEN(B4),"")</f>
        <v>3</v>
      </c>
      <c r="D4">
        <f>E4*F4</f>
        <v>4</v>
      </c>
      <c r="E4">
        <v>4</v>
      </c>
      <c r="F4">
        <v>1</v>
      </c>
      <c r="G4" t="s">
        <v>79</v>
      </c>
      <c r="I4" t="s">
        <v>87</v>
      </c>
      <c r="K4" t="s">
        <v>96</v>
      </c>
      <c r="M4" t="s">
        <v>107</v>
      </c>
    </row>
    <row r="5" spans="1:13">
      <c r="A5" s="2" t="s">
        <v>15</v>
      </c>
      <c r="B5" s="1" t="s">
        <v>100</v>
      </c>
      <c r="C5">
        <f t="shared" ref="C5:C68" si="0">IF(B5&lt;&gt;"",LEN(B5),"")</f>
        <v>11</v>
      </c>
      <c r="D5">
        <f t="shared" ref="D5:D20" si="1">E5*F5</f>
        <v>4</v>
      </c>
      <c r="E5">
        <v>4</v>
      </c>
      <c r="F5">
        <v>1</v>
      </c>
      <c r="G5" t="s">
        <v>80</v>
      </c>
      <c r="I5" t="s">
        <v>88</v>
      </c>
      <c r="K5" t="s">
        <v>97</v>
      </c>
      <c r="M5" t="s">
        <v>108</v>
      </c>
    </row>
    <row r="6" spans="1:13">
      <c r="B6" s="1" t="s">
        <v>101</v>
      </c>
      <c r="C6">
        <f t="shared" si="0"/>
        <v>11</v>
      </c>
      <c r="D6">
        <f t="shared" si="1"/>
        <v>4</v>
      </c>
      <c r="E6">
        <v>4</v>
      </c>
      <c r="F6">
        <v>1</v>
      </c>
      <c r="G6" t="s">
        <v>81</v>
      </c>
      <c r="I6" t="s">
        <v>89</v>
      </c>
      <c r="K6" t="s">
        <v>102</v>
      </c>
      <c r="M6" t="s">
        <v>109</v>
      </c>
    </row>
    <row r="7" spans="1:13">
      <c r="A7" s="2" t="s">
        <v>30</v>
      </c>
      <c r="B7" s="1" t="s">
        <v>104</v>
      </c>
      <c r="C7">
        <f t="shared" si="0"/>
        <v>11</v>
      </c>
      <c r="D7">
        <f t="shared" si="1"/>
        <v>5</v>
      </c>
      <c r="E7">
        <v>5</v>
      </c>
      <c r="F7">
        <v>1</v>
      </c>
      <c r="G7" t="s">
        <v>82</v>
      </c>
      <c r="I7" t="s">
        <v>90</v>
      </c>
      <c r="K7" t="s">
        <v>103</v>
      </c>
      <c r="M7" t="s">
        <v>110</v>
      </c>
    </row>
    <row r="8" spans="1:13">
      <c r="A8" s="2" t="s">
        <v>32</v>
      </c>
      <c r="B8" s="1" t="s">
        <v>105</v>
      </c>
      <c r="C8">
        <f t="shared" si="0"/>
        <v>11</v>
      </c>
      <c r="D8">
        <f t="shared" si="1"/>
        <v>0</v>
      </c>
      <c r="E8">
        <v>5</v>
      </c>
      <c r="F8">
        <v>0</v>
      </c>
      <c r="G8" t="s">
        <v>83</v>
      </c>
      <c r="I8" t="s">
        <v>91</v>
      </c>
      <c r="K8" t="s">
        <v>123</v>
      </c>
      <c r="M8" t="s">
        <v>111</v>
      </c>
    </row>
    <row r="9" spans="1:13" ht="36">
      <c r="A9" s="2" t="s">
        <v>33</v>
      </c>
      <c r="B9" s="1" t="s">
        <v>106</v>
      </c>
      <c r="C9">
        <f t="shared" si="0"/>
        <v>26</v>
      </c>
      <c r="D9">
        <f t="shared" si="1"/>
        <v>6</v>
      </c>
      <c r="E9">
        <v>6</v>
      </c>
      <c r="F9">
        <v>1</v>
      </c>
      <c r="G9" t="s">
        <v>84</v>
      </c>
      <c r="I9" t="s">
        <v>92</v>
      </c>
      <c r="K9" t="s">
        <v>124</v>
      </c>
      <c r="M9" t="s">
        <v>112</v>
      </c>
    </row>
    <row r="10" spans="1:13" ht="36">
      <c r="A10" s="2" t="s">
        <v>40</v>
      </c>
      <c r="B10" s="1" t="s">
        <v>113</v>
      </c>
      <c r="C10">
        <f t="shared" si="0"/>
        <v>38</v>
      </c>
      <c r="D10">
        <f t="shared" si="1"/>
        <v>6</v>
      </c>
      <c r="E10">
        <v>6</v>
      </c>
      <c r="F10">
        <v>1</v>
      </c>
      <c r="G10" t="s">
        <v>85</v>
      </c>
      <c r="I10" t="s">
        <v>93</v>
      </c>
      <c r="K10" t="s">
        <v>125</v>
      </c>
    </row>
    <row r="11" spans="1:13" ht="36">
      <c r="A11" s="2" t="s">
        <v>42</v>
      </c>
      <c r="B11" s="1" t="s">
        <v>114</v>
      </c>
      <c r="C11">
        <f t="shared" si="0"/>
        <v>45</v>
      </c>
      <c r="D11">
        <f t="shared" si="1"/>
        <v>3</v>
      </c>
      <c r="E11">
        <v>6</v>
      </c>
      <c r="F11">
        <v>0.5</v>
      </c>
      <c r="G11" t="s">
        <v>86</v>
      </c>
      <c r="I11" t="s">
        <v>94</v>
      </c>
      <c r="K11" t="s">
        <v>126</v>
      </c>
    </row>
    <row r="12" spans="1:13">
      <c r="A12" s="2" t="s">
        <v>115</v>
      </c>
      <c r="B12" s="1" t="s">
        <v>116</v>
      </c>
      <c r="C12">
        <f t="shared" si="0"/>
        <v>16</v>
      </c>
      <c r="D12">
        <f t="shared" si="1"/>
        <v>6</v>
      </c>
      <c r="E12">
        <v>6</v>
      </c>
      <c r="F12">
        <v>1</v>
      </c>
      <c r="I12" t="s">
        <v>95</v>
      </c>
    </row>
    <row r="13" spans="1:13" ht="36">
      <c r="A13" s="2" t="s">
        <v>117</v>
      </c>
      <c r="B13" s="1" t="s">
        <v>118</v>
      </c>
      <c r="C13">
        <f t="shared" si="0"/>
        <v>29</v>
      </c>
      <c r="D13">
        <f t="shared" si="1"/>
        <v>0</v>
      </c>
      <c r="E13">
        <v>6</v>
      </c>
      <c r="F13">
        <v>0</v>
      </c>
      <c r="G13" t="s">
        <v>121</v>
      </c>
      <c r="I13" t="s">
        <v>142</v>
      </c>
    </row>
    <row r="14" spans="1:13">
      <c r="A14" s="2" t="s">
        <v>119</v>
      </c>
      <c r="B14" s="1" t="s">
        <v>120</v>
      </c>
      <c r="C14">
        <f t="shared" si="0"/>
        <v>8</v>
      </c>
      <c r="D14">
        <f t="shared" si="1"/>
        <v>6</v>
      </c>
      <c r="E14">
        <v>6</v>
      </c>
      <c r="F14">
        <v>1</v>
      </c>
      <c r="G14" t="s">
        <v>138</v>
      </c>
    </row>
    <row r="15" spans="1:13">
      <c r="A15" s="2" t="s">
        <v>122</v>
      </c>
      <c r="B15" s="1" t="s">
        <v>127</v>
      </c>
      <c r="C15">
        <f t="shared" si="0"/>
        <v>24</v>
      </c>
      <c r="D15">
        <f t="shared" si="1"/>
        <v>6</v>
      </c>
      <c r="E15">
        <v>6</v>
      </c>
      <c r="F15">
        <v>1</v>
      </c>
      <c r="G15" t="s">
        <v>139</v>
      </c>
    </row>
    <row r="16" spans="1:13">
      <c r="A16" s="2" t="s">
        <v>128</v>
      </c>
      <c r="B16" s="1" t="s">
        <v>129</v>
      </c>
      <c r="C16">
        <f t="shared" si="0"/>
        <v>12</v>
      </c>
      <c r="D16">
        <f t="shared" si="1"/>
        <v>6</v>
      </c>
      <c r="E16">
        <v>6</v>
      </c>
      <c r="F16">
        <v>1</v>
      </c>
      <c r="G16" t="s">
        <v>140</v>
      </c>
    </row>
    <row r="17" spans="1:7" ht="36">
      <c r="A17" s="2" t="s">
        <v>130</v>
      </c>
      <c r="B17" s="1" t="s">
        <v>131</v>
      </c>
      <c r="C17">
        <f t="shared" si="0"/>
        <v>43</v>
      </c>
      <c r="D17">
        <f t="shared" si="1"/>
        <v>6</v>
      </c>
      <c r="E17">
        <v>6</v>
      </c>
      <c r="F17">
        <v>1</v>
      </c>
      <c r="G17" t="s">
        <v>141</v>
      </c>
    </row>
    <row r="18" spans="1:7">
      <c r="A18" s="2" t="s">
        <v>132</v>
      </c>
      <c r="B18" s="1" t="s">
        <v>133</v>
      </c>
      <c r="C18">
        <f t="shared" si="0"/>
        <v>13</v>
      </c>
      <c r="D18">
        <f t="shared" si="1"/>
        <v>8</v>
      </c>
      <c r="E18">
        <v>8</v>
      </c>
      <c r="F18">
        <v>1</v>
      </c>
    </row>
    <row r="19" spans="1:7">
      <c r="A19" s="2" t="s">
        <v>134</v>
      </c>
      <c r="B19" s="1" t="s">
        <v>135</v>
      </c>
      <c r="C19">
        <f t="shared" si="0"/>
        <v>10</v>
      </c>
      <c r="D19">
        <f t="shared" si="1"/>
        <v>3</v>
      </c>
      <c r="E19">
        <v>6</v>
      </c>
      <c r="F19">
        <v>0.5</v>
      </c>
    </row>
    <row r="20" spans="1:7" ht="36">
      <c r="A20" s="2" t="s">
        <v>136</v>
      </c>
      <c r="B20" s="1" t="s">
        <v>137</v>
      </c>
      <c r="C20">
        <f t="shared" si="0"/>
        <v>33</v>
      </c>
      <c r="D20">
        <f t="shared" si="1"/>
        <v>10</v>
      </c>
      <c r="E20">
        <v>10</v>
      </c>
      <c r="F20">
        <v>1</v>
      </c>
    </row>
    <row r="21" spans="1:7">
      <c r="C21" t="str">
        <f t="shared" si="0"/>
        <v/>
      </c>
    </row>
    <row r="22" spans="1:7">
      <c r="A22" s="2" t="s">
        <v>143</v>
      </c>
      <c r="B22" s="1" t="s">
        <v>144</v>
      </c>
      <c r="C22">
        <f t="shared" si="0"/>
        <v>11</v>
      </c>
      <c r="F22">
        <v>1</v>
      </c>
    </row>
    <row r="23" spans="1:7">
      <c r="B23" s="1" t="s">
        <v>145</v>
      </c>
      <c r="C23">
        <f t="shared" si="0"/>
        <v>11</v>
      </c>
      <c r="F23">
        <v>1</v>
      </c>
    </row>
    <row r="24" spans="1:7">
      <c r="A24" s="2" t="s">
        <v>30</v>
      </c>
      <c r="B24" s="1" t="s">
        <v>146</v>
      </c>
      <c r="C24">
        <f t="shared" si="0"/>
        <v>11</v>
      </c>
      <c r="F24">
        <v>1</v>
      </c>
    </row>
    <row r="25" spans="1:7">
      <c r="A25" s="2" t="s">
        <v>32</v>
      </c>
      <c r="B25" s="1" t="s">
        <v>147</v>
      </c>
      <c r="C25">
        <f t="shared" si="0"/>
        <v>7</v>
      </c>
      <c r="F25">
        <v>1</v>
      </c>
    </row>
    <row r="26" spans="1:7" ht="54">
      <c r="A26" s="2" t="s">
        <v>42</v>
      </c>
      <c r="B26" s="1" t="s">
        <v>148</v>
      </c>
      <c r="C26">
        <f t="shared" si="0"/>
        <v>55</v>
      </c>
      <c r="F26">
        <v>1</v>
      </c>
    </row>
    <row r="27" spans="1:7">
      <c r="A27" s="2" t="s">
        <v>115</v>
      </c>
      <c r="B27" s="1" t="s">
        <v>149</v>
      </c>
      <c r="C27">
        <f t="shared" si="0"/>
        <v>16</v>
      </c>
      <c r="F27">
        <v>1</v>
      </c>
    </row>
    <row r="28" spans="1:7">
      <c r="A28" s="2" t="s">
        <v>117</v>
      </c>
      <c r="B28" s="1" t="s">
        <v>150</v>
      </c>
      <c r="C28">
        <f t="shared" si="0"/>
        <v>24</v>
      </c>
      <c r="F28">
        <v>1</v>
      </c>
    </row>
    <row r="29" spans="1:7">
      <c r="A29" s="2" t="s">
        <v>134</v>
      </c>
      <c r="B29" s="1" t="s">
        <v>151</v>
      </c>
      <c r="C29">
        <f t="shared" si="0"/>
        <v>9</v>
      </c>
      <c r="F29">
        <v>1</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3EA7A9D6-C945-464A-868C-655E58C8268F}"/>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2025-03-09T09:02:58Z</dcterms:modified>
</cp:coreProperties>
</file>