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2F9F8C25-8CAB-496B-8AF8-9CE6C8F51761}" xr6:coauthVersionLast="47" xr6:coauthVersionMax="47" xr10:uidLastSave="{00000000-0000-0000-0000-000000000000}"/>
  <bookViews>
    <workbookView xWindow="14145" yWindow="945" windowWidth="14640" windowHeight="1405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6" l="1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4" i="5"/>
  <c r="D13" i="5"/>
  <c r="D12" i="5"/>
  <c r="D11" i="5"/>
  <c r="D2" i="5" s="1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6" l="1"/>
</calcChain>
</file>

<file path=xl/sharedStrings.xml><?xml version="1.0" encoding="utf-8"?>
<sst xmlns="http://schemas.openxmlformats.org/spreadsheetml/2006/main" count="102" uniqueCount="77">
  <si>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</si>
  <si>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</si>
  <si>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</si>
  <si>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</si>
  <si>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</si>
  <si>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</si>
  <si>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</si>
  <si>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</si>
  <si>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</si>
  <si>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</si>
  <si>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</si>
  <si>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</si>
  <si>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2017-春</t>
  </si>
  <si>
    <t>2017-春</t>
    <rPh sb="5" eb="6">
      <t>ハル</t>
    </rPh>
    <phoneticPr fontId="1"/>
  </si>
  <si>
    <t>1-2</t>
  </si>
  <si>
    <t>1-2</t>
    <phoneticPr fontId="1"/>
  </si>
  <si>
    <t>E社</t>
    <rPh sb="1" eb="2">
      <t>シャ</t>
    </rPh>
    <phoneticPr fontId="1"/>
  </si>
  <si>
    <t>情報サービス</t>
    <rPh sb="0" eb="2">
      <t>ジョウホウ</t>
    </rPh>
    <phoneticPr fontId="1"/>
  </si>
  <si>
    <t>サイトα</t>
    <phoneticPr fontId="1"/>
  </si>
  <si>
    <t>脆弱性プログラム</t>
    <rPh sb="0" eb="3">
      <t>ゼイジャクセイ</t>
    </rPh>
    <phoneticPr fontId="1"/>
  </si>
  <si>
    <t>コンテンツ作成</t>
    <rPh sb="5" eb="7">
      <t>サクセイ</t>
    </rPh>
    <phoneticPr fontId="1"/>
  </si>
  <si>
    <t>利用者IDとPWでログイン</t>
    <rPh sb="0" eb="3">
      <t>リヨウシャ</t>
    </rPh>
    <phoneticPr fontId="1"/>
  </si>
  <si>
    <t>現在セッションと同じハッシュ</t>
    <rPh sb="0" eb="2">
      <t>ゲンザイ</t>
    </rPh>
    <rPh sb="8" eb="9">
      <t>オナ</t>
    </rPh>
    <phoneticPr fontId="1"/>
  </si>
  <si>
    <t>利用者からの問い合わせ</t>
    <rPh sb="0" eb="3">
      <t>リヨウシャ</t>
    </rPh>
    <rPh sb="6" eb="7">
      <t>ト</t>
    </rPh>
    <rPh sb="8" eb="9">
      <t>ア</t>
    </rPh>
    <phoneticPr fontId="1"/>
  </si>
  <si>
    <t>リンク→別サイト</t>
    <rPh sb="4" eb="5">
      <t>ベツ</t>
    </rPh>
    <phoneticPr fontId="1"/>
  </si>
  <si>
    <t>1</t>
    <phoneticPr fontId="1"/>
  </si>
  <si>
    <t>L氏が今日ログインしたと言っていた回数</t>
    <rPh sb="1" eb="2">
      <t>シ</t>
    </rPh>
    <rPh sb="3" eb="5">
      <t>キョウ</t>
    </rPh>
    <rPh sb="12" eb="13">
      <t>イ</t>
    </rPh>
    <rPh sb="17" eb="19">
      <t>カイスウ</t>
    </rPh>
    <phoneticPr fontId="1"/>
  </si>
  <si>
    <t>L氏の利用者IDを用いた当日のログイン回数</t>
    <rPh sb="1" eb="2">
      <t>シ</t>
    </rPh>
    <rPh sb="3" eb="6">
      <t>リヨウシャ</t>
    </rPh>
    <rPh sb="9" eb="10">
      <t>モチ</t>
    </rPh>
    <rPh sb="12" eb="14">
      <t>トウジツ</t>
    </rPh>
    <rPh sb="19" eb="21">
      <t>カイスウ</t>
    </rPh>
    <phoneticPr fontId="1"/>
  </si>
  <si>
    <t>プロフィールをクリック</t>
    <phoneticPr fontId="1"/>
  </si>
  <si>
    <t>別サイト</t>
    <rPh sb="0" eb="1">
      <t>ベツ</t>
    </rPh>
    <phoneticPr fontId="1"/>
  </si>
  <si>
    <t>2-1</t>
    <phoneticPr fontId="1"/>
  </si>
  <si>
    <t>a: クロスサイトフォージュリ</t>
    <phoneticPr fontId="1"/>
  </si>
  <si>
    <t>2-2</t>
    <phoneticPr fontId="1"/>
  </si>
  <si>
    <t>2-3</t>
    <phoneticPr fontId="1"/>
  </si>
  <si>
    <t>e:submit</t>
    <phoneticPr fontId="1"/>
  </si>
  <si>
    <t>f:submit</t>
    <phoneticPr fontId="1"/>
  </si>
  <si>
    <t>2-4</t>
    <phoneticPr fontId="1"/>
  </si>
  <si>
    <t>c:現在のパスワード</t>
    <rPh sb="2" eb="4">
      <t>ゲンザイ</t>
    </rPh>
    <phoneticPr fontId="1"/>
  </si>
  <si>
    <t>d:知りえない</t>
    <rPh sb="2" eb="3">
      <t>シ</t>
    </rPh>
    <phoneticPr fontId="1"/>
  </si>
  <si>
    <t>脆弱性2=XSS</t>
    <rPh sb="0" eb="3">
      <t>ゼイジャクセイ</t>
    </rPh>
    <phoneticPr fontId="1"/>
  </si>
  <si>
    <t>3-1</t>
    <phoneticPr fontId="1"/>
  </si>
  <si>
    <t>カ、キ</t>
    <phoneticPr fontId="1"/>
  </si>
  <si>
    <t>3-2</t>
    <phoneticPr fontId="1"/>
  </si>
  <si>
    <t>セッションハイジャック</t>
    <phoneticPr fontId="1"/>
  </si>
  <si>
    <t>3-3</t>
    <phoneticPr fontId="1"/>
  </si>
  <si>
    <t>タグに利用できる属性を制限する</t>
    <rPh sb="3" eb="5">
      <t>リヨウ</t>
    </rPh>
    <rPh sb="8" eb="10">
      <t>ゾクセイ</t>
    </rPh>
    <rPh sb="11" eb="13">
      <t>セイゲン</t>
    </rPh>
    <phoneticPr fontId="1"/>
  </si>
  <si>
    <t>1-3</t>
  </si>
  <si>
    <t>1-3</t>
    <phoneticPr fontId="1"/>
  </si>
  <si>
    <t>F社</t>
    <rPh sb="1" eb="2">
      <t>シャ</t>
    </rPh>
    <phoneticPr fontId="1"/>
  </si>
  <si>
    <t>グループウェア</t>
    <phoneticPr fontId="1"/>
  </si>
  <si>
    <t>オンライン</t>
    <phoneticPr fontId="1"/>
  </si>
  <si>
    <t>IDとPW</t>
    <phoneticPr fontId="1"/>
  </si>
  <si>
    <t>社内ネットワーク</t>
    <rPh sb="0" eb="2">
      <t>シャナイ</t>
    </rPh>
    <phoneticPr fontId="1"/>
  </si>
  <si>
    <t>社内からはプロキシ</t>
    <rPh sb="0" eb="2">
      <t>シャナイ</t>
    </rPh>
    <phoneticPr fontId="1"/>
  </si>
  <si>
    <t>利用者IDとPW</t>
    <rPh sb="0" eb="3">
      <t>リヨウシャ</t>
    </rPh>
    <phoneticPr fontId="1"/>
  </si>
  <si>
    <t>アクセス日時などがログイン</t>
    <rPh sb="4" eb="6">
      <t>ニチジ</t>
    </rPh>
    <phoneticPr fontId="1"/>
  </si>
  <si>
    <t>クラウドサービスログインはF社</t>
    <rPh sb="14" eb="15">
      <t>シャ</t>
    </rPh>
    <phoneticPr fontId="1"/>
  </si>
  <si>
    <t>接続元IPアドレスがF社のグローバルIPアドレスでないログ</t>
    <rPh sb="0" eb="3">
      <t>セツゾクモト</t>
    </rPh>
    <rPh sb="11" eb="12">
      <t>シャ</t>
    </rPh>
    <phoneticPr fontId="1"/>
  </si>
  <si>
    <t>b: エ</t>
    <phoneticPr fontId="1"/>
  </si>
  <si>
    <t>d; イ</t>
    <phoneticPr fontId="1"/>
  </si>
  <si>
    <t>a: ウ</t>
    <phoneticPr fontId="1"/>
  </si>
  <si>
    <t>c: ア</t>
    <phoneticPr fontId="1"/>
  </si>
  <si>
    <t>e: 処理1</t>
    <rPh sb="3" eb="5">
      <t>ショリ</t>
    </rPh>
    <phoneticPr fontId="1"/>
  </si>
  <si>
    <t>f: 処理4</t>
    <rPh sb="3" eb="5">
      <t>ショリ</t>
    </rPh>
    <phoneticPr fontId="1"/>
  </si>
  <si>
    <t>ウ</t>
    <phoneticPr fontId="1"/>
  </si>
  <si>
    <t>h: IdP</t>
    <phoneticPr fontId="1"/>
  </si>
  <si>
    <t>i: 改ざん</t>
    <rPh sb="3" eb="4">
      <t>カイ</t>
    </rPh>
    <phoneticPr fontId="1"/>
  </si>
  <si>
    <t>2-5</t>
    <phoneticPr fontId="1"/>
  </si>
  <si>
    <t>LDAPサーバーが認証情報を一括で管理しているため</t>
    <rPh sb="9" eb="11">
      <t>ニンショウ</t>
    </rPh>
    <rPh sb="11" eb="13">
      <t>ジョウホウ</t>
    </rPh>
    <rPh sb="14" eb="16">
      <t>イッカツ</t>
    </rPh>
    <rPh sb="17" eb="19">
      <t>カンリ</t>
    </rPh>
    <phoneticPr fontId="1"/>
  </si>
  <si>
    <t>3-①</t>
    <phoneticPr fontId="1"/>
  </si>
  <si>
    <t>3-②</t>
    <phoneticPr fontId="1"/>
  </si>
  <si>
    <t>クラウドサービスでSAML連携</t>
    <rPh sb="13" eb="15">
      <t>レンケイ</t>
    </rPh>
    <phoneticPr fontId="1"/>
  </si>
  <si>
    <t>交通生産</t>
    <rPh sb="0" eb="4">
      <t>コウツウセイサン</t>
    </rPh>
    <phoneticPr fontId="1"/>
  </si>
  <si>
    <t>番号：３</t>
    <rPh sb="0" eb="2">
      <t>バンゴウ</t>
    </rPh>
    <phoneticPr fontId="1"/>
  </si>
  <si>
    <t>番号：１</t>
    <rPh sb="0" eb="2">
      <t>バンゴウ</t>
    </rPh>
    <phoneticPr fontId="1"/>
  </si>
  <si>
    <t>社外からIdPへの通信がファイアウォールによって遮断されるから</t>
    <rPh sb="0" eb="2">
      <t>シャガイ</t>
    </rPh>
    <rPh sb="9" eb="11">
      <t>ツウシン</t>
    </rPh>
    <rPh sb="24" eb="26">
      <t>シャダン</t>
    </rPh>
    <phoneticPr fontId="1"/>
  </si>
  <si>
    <t>クラウドサービス側で接続IPアドレスの制限が行われるから</t>
    <rPh sb="8" eb="9">
      <t>ガワ</t>
    </rPh>
    <rPh sb="10" eb="12">
      <t>セツゾク</t>
    </rPh>
    <rPh sb="19" eb="21">
      <t>セイゲン</t>
    </rPh>
    <rPh sb="22" eb="23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</si>
</sst>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zoomScale="85" zoomScaleNormal="85" workbookViewId="0">
      <selection activeCell="E5" sqref="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42</v>
      </c>
      <c r="E2">
        <v>50</v>
      </c>
    </row>
    <row r="3" spans="1:6">
      <c r="A3">
        <v>2</v>
      </c>
      <c r="B3" s="2" t="s">
        <v>12</v>
      </c>
      <c r="C3" s="2" t="s">
        <v>46</v>
      </c>
      <c r="D3">
        <v>45</v>
      </c>
      <c r="E3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8D091-AC83-4305-B88C-219D58EA5166}">
  <sheetPr codeName="Sheet4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1.7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15</v>
      </c>
      <c r="D2">
        <f>SUM(D4:D1000)</f>
        <v>42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25</v>
      </c>
      <c r="B4" s="1" t="s">
        <v>26</v>
      </c>
      <c r="C4">
        <f>IF(B4&lt;&gt;"",LEN(B4),"")</f>
        <v>19</v>
      </c>
      <c r="D4">
        <f>E4*F4</f>
        <v>6</v>
      </c>
      <c r="E4">
        <v>6</v>
      </c>
      <c r="F4">
        <v>1</v>
      </c>
      <c r="G4" t="s">
        <v>16</v>
      </c>
      <c r="I4" t="s">
        <v>18</v>
      </c>
      <c r="K4" t="s">
        <v>18</v>
      </c>
    </row>
    <row r="5" spans="1:11">
      <c r="B5" s="1" t="s">
        <v>27</v>
      </c>
      <c r="C5">
        <f t="shared" ref="C5:C68" si="0">IF(B5&lt;&gt;"",LEN(B5),"")</f>
        <v>21</v>
      </c>
      <c r="D5">
        <f t="shared" ref="D5:D14" si="1">E5*F5</f>
        <v>6</v>
      </c>
      <c r="E5">
        <v>6</v>
      </c>
      <c r="F5">
        <v>1</v>
      </c>
      <c r="G5" t="s">
        <v>17</v>
      </c>
      <c r="I5" t="s">
        <v>21</v>
      </c>
      <c r="K5" t="s">
        <v>28</v>
      </c>
    </row>
    <row r="6" spans="1:11">
      <c r="A6" s="2" t="s">
        <v>30</v>
      </c>
      <c r="B6" s="1" t="s">
        <v>31</v>
      </c>
      <c r="C6">
        <f t="shared" si="0"/>
        <v>15</v>
      </c>
      <c r="D6">
        <f t="shared" si="1"/>
        <v>4</v>
      </c>
      <c r="E6">
        <v>4</v>
      </c>
      <c r="F6">
        <v>1</v>
      </c>
      <c r="G6" t="s">
        <v>18</v>
      </c>
      <c r="I6" t="s">
        <v>22</v>
      </c>
      <c r="K6" t="s">
        <v>29</v>
      </c>
    </row>
    <row r="7" spans="1:11">
      <c r="A7" s="2" t="s">
        <v>32</v>
      </c>
      <c r="B7" s="1">
        <v>3</v>
      </c>
      <c r="C7">
        <f t="shared" si="0"/>
        <v>1</v>
      </c>
      <c r="D7">
        <f t="shared" si="1"/>
        <v>4</v>
      </c>
      <c r="E7">
        <v>4</v>
      </c>
      <c r="F7">
        <v>1</v>
      </c>
      <c r="G7" t="s">
        <v>19</v>
      </c>
      <c r="I7" t="s">
        <v>23</v>
      </c>
      <c r="K7" t="s">
        <v>39</v>
      </c>
    </row>
    <row r="8" spans="1:11">
      <c r="A8" s="2" t="s">
        <v>33</v>
      </c>
      <c r="B8" s="1" t="s">
        <v>37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20</v>
      </c>
      <c r="I8" t="s">
        <v>24</v>
      </c>
    </row>
    <row r="9" spans="1:11">
      <c r="B9" s="1" t="s">
        <v>38</v>
      </c>
      <c r="C9">
        <f t="shared" si="0"/>
        <v>7</v>
      </c>
      <c r="D9">
        <f t="shared" si="1"/>
        <v>4</v>
      </c>
      <c r="E9">
        <v>4</v>
      </c>
      <c r="F9">
        <v>1</v>
      </c>
    </row>
    <row r="10" spans="1:11">
      <c r="A10" s="2" t="s">
        <v>36</v>
      </c>
      <c r="B10" s="1" t="s">
        <v>34</v>
      </c>
      <c r="C10">
        <f t="shared" si="0"/>
        <v>8</v>
      </c>
      <c r="D10">
        <f t="shared" si="1"/>
        <v>0</v>
      </c>
      <c r="E10">
        <v>4</v>
      </c>
      <c r="F10">
        <v>0</v>
      </c>
    </row>
    <row r="11" spans="1:11">
      <c r="B11" s="1" t="s">
        <v>35</v>
      </c>
      <c r="C11">
        <f t="shared" si="0"/>
        <v>8</v>
      </c>
      <c r="D11">
        <f t="shared" si="1"/>
        <v>4</v>
      </c>
      <c r="E11">
        <v>4</v>
      </c>
      <c r="F11">
        <v>1</v>
      </c>
    </row>
    <row r="12" spans="1:11">
      <c r="A12" s="2" t="s">
        <v>40</v>
      </c>
      <c r="B12" s="1" t="s">
        <v>41</v>
      </c>
      <c r="C12">
        <f t="shared" si="0"/>
        <v>3</v>
      </c>
      <c r="D12">
        <f t="shared" si="1"/>
        <v>4</v>
      </c>
      <c r="E12">
        <v>4</v>
      </c>
      <c r="F12">
        <v>1</v>
      </c>
    </row>
    <row r="13" spans="1:11">
      <c r="A13" s="2" t="s">
        <v>42</v>
      </c>
      <c r="B13" s="1" t="s">
        <v>43</v>
      </c>
      <c r="C13">
        <f t="shared" si="0"/>
        <v>11</v>
      </c>
      <c r="D13">
        <f t="shared" si="1"/>
        <v>0</v>
      </c>
      <c r="E13">
        <v>4</v>
      </c>
      <c r="F13">
        <v>0</v>
      </c>
    </row>
    <row r="14" spans="1:11">
      <c r="A14" s="2" t="s">
        <v>44</v>
      </c>
      <c r="B14" s="1" t="s">
        <v>45</v>
      </c>
      <c r="C14">
        <f t="shared" si="0"/>
        <v>15</v>
      </c>
      <c r="D14">
        <f t="shared" si="1"/>
        <v>6</v>
      </c>
      <c r="E14">
        <v>6</v>
      </c>
      <c r="F14">
        <v>1</v>
      </c>
    </row>
    <row r="15" spans="1:11">
      <c r="C15" t="str">
        <f t="shared" si="0"/>
        <v/>
      </c>
    </row>
    <row r="16" spans="1:11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1FB34-E0DF-417B-A247-EEB10A88CD58}">
  <sheetPr codeName="Sheet5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8"/>
    </sheetView>
  </sheetViews>
  <sheetFormatPr defaultRowHeight="18.75"/>
  <cols>
    <col min="1" max="1" width="9" style="2"/>
    <col min="2" max="2" width="54.25" style="1" customWidth="1"/>
    <col min="3" max="3" width="9.75" customWidth="1"/>
  </cols>
  <sheetData>
    <row r="1" spans="1:9">
      <c r="A1" s="2" t="s">
        <v>0</v>
      </c>
      <c r="B1" s="1" t="s">
        <v>13</v>
      </c>
    </row>
    <row r="2" spans="1:9">
      <c r="A2" s="2" t="s">
        <v>2</v>
      </c>
      <c r="B2" s="3" t="s">
        <v>47</v>
      </c>
      <c r="D2">
        <f>SUM(D4:D1000)</f>
        <v>45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25</v>
      </c>
      <c r="B4" s="1" t="s">
        <v>57</v>
      </c>
      <c r="C4">
        <f>IF(B4&lt;&gt;"",LEN(B4),"")</f>
        <v>29</v>
      </c>
      <c r="D4">
        <f>E4*F4</f>
        <v>5</v>
      </c>
      <c r="E4">
        <v>5</v>
      </c>
      <c r="F4">
        <v>1</v>
      </c>
      <c r="G4" t="s">
        <v>48</v>
      </c>
      <c r="I4" t="s">
        <v>53</v>
      </c>
    </row>
    <row r="5" spans="1:9">
      <c r="A5" s="2" t="s">
        <v>30</v>
      </c>
      <c r="B5" s="1" t="s">
        <v>60</v>
      </c>
      <c r="C5">
        <f t="shared" ref="C5:C68" si="0">IF(B5&lt;&gt;"",LEN(B5),"")</f>
        <v>4</v>
      </c>
      <c r="D5">
        <f t="shared" ref="D5:D18" si="1">E5*F5</f>
        <v>2</v>
      </c>
      <c r="E5">
        <v>2</v>
      </c>
      <c r="F5">
        <v>1</v>
      </c>
      <c r="G5" t="s">
        <v>49</v>
      </c>
      <c r="I5" t="s">
        <v>54</v>
      </c>
    </row>
    <row r="6" spans="1:9">
      <c r="B6" s="1" t="s">
        <v>58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50</v>
      </c>
      <c r="I6" t="s">
        <v>55</v>
      </c>
    </row>
    <row r="7" spans="1:9">
      <c r="B7" s="1" t="s">
        <v>61</v>
      </c>
      <c r="C7">
        <f t="shared" si="0"/>
        <v>4</v>
      </c>
      <c r="D7">
        <f t="shared" si="1"/>
        <v>2</v>
      </c>
      <c r="E7">
        <v>2</v>
      </c>
      <c r="F7">
        <v>1</v>
      </c>
      <c r="G7" t="s">
        <v>51</v>
      </c>
      <c r="I7" t="s">
        <v>56</v>
      </c>
    </row>
    <row r="8" spans="1:9">
      <c r="B8" s="1" t="s">
        <v>59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52</v>
      </c>
    </row>
    <row r="9" spans="1:9">
      <c r="A9" s="2" t="s">
        <v>32</v>
      </c>
      <c r="B9" s="1" t="s">
        <v>62</v>
      </c>
      <c r="C9">
        <f t="shared" si="0"/>
        <v>6</v>
      </c>
      <c r="D9">
        <f t="shared" si="1"/>
        <v>3</v>
      </c>
      <c r="E9">
        <v>3</v>
      </c>
      <c r="F9">
        <v>1</v>
      </c>
      <c r="G9" t="s">
        <v>71</v>
      </c>
    </row>
    <row r="10" spans="1:9">
      <c r="B10" s="1" t="s">
        <v>63</v>
      </c>
      <c r="C10">
        <f t="shared" si="0"/>
        <v>6</v>
      </c>
      <c r="D10">
        <f t="shared" si="1"/>
        <v>3</v>
      </c>
      <c r="E10">
        <v>3</v>
      </c>
      <c r="F10">
        <v>1</v>
      </c>
      <c r="G10" t="s">
        <v>72</v>
      </c>
    </row>
    <row r="11" spans="1:9">
      <c r="A11" s="2" t="s">
        <v>33</v>
      </c>
      <c r="B11" s="1" t="s">
        <v>64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9">
      <c r="A12" s="2" t="s">
        <v>36</v>
      </c>
      <c r="B12" s="1" t="s">
        <v>65</v>
      </c>
      <c r="C12">
        <f t="shared" si="0"/>
        <v>6</v>
      </c>
      <c r="D12">
        <f t="shared" si="1"/>
        <v>3</v>
      </c>
      <c r="E12">
        <v>3</v>
      </c>
      <c r="F12">
        <v>1</v>
      </c>
    </row>
    <row r="13" spans="1:9">
      <c r="B13" s="1" t="s">
        <v>66</v>
      </c>
      <c r="C13">
        <f t="shared" si="0"/>
        <v>6</v>
      </c>
      <c r="D13">
        <f t="shared" si="1"/>
        <v>3</v>
      </c>
      <c r="E13">
        <v>3</v>
      </c>
      <c r="F13">
        <v>1</v>
      </c>
    </row>
    <row r="14" spans="1:9">
      <c r="A14" s="2" t="s">
        <v>67</v>
      </c>
      <c r="B14" s="1" t="s">
        <v>68</v>
      </c>
      <c r="C14">
        <f t="shared" si="0"/>
        <v>25</v>
      </c>
      <c r="D14">
        <f t="shared" si="1"/>
        <v>0</v>
      </c>
      <c r="E14">
        <v>5</v>
      </c>
      <c r="F14">
        <v>0</v>
      </c>
    </row>
    <row r="15" spans="1:9">
      <c r="A15" s="2" t="s">
        <v>69</v>
      </c>
      <c r="B15" s="1" t="s">
        <v>73</v>
      </c>
      <c r="C15">
        <f t="shared" si="0"/>
        <v>4</v>
      </c>
      <c r="D15">
        <f t="shared" si="1"/>
        <v>4</v>
      </c>
      <c r="E15">
        <v>4</v>
      </c>
      <c r="F15">
        <v>1</v>
      </c>
      <c r="G15" t="s">
        <v>49</v>
      </c>
    </row>
    <row r="16" spans="1:9" ht="37.5">
      <c r="B16" s="1" t="s">
        <v>75</v>
      </c>
      <c r="C16">
        <f t="shared" si="0"/>
        <v>31</v>
      </c>
      <c r="D16">
        <f t="shared" si="1"/>
        <v>5</v>
      </c>
      <c r="E16">
        <v>5</v>
      </c>
      <c r="F16">
        <v>1</v>
      </c>
    </row>
    <row r="17" spans="1:6">
      <c r="A17" s="2" t="s">
        <v>70</v>
      </c>
      <c r="B17" s="1" t="s">
        <v>74</v>
      </c>
      <c r="C17">
        <f t="shared" si="0"/>
        <v>4</v>
      </c>
      <c r="D17">
        <f t="shared" si="1"/>
        <v>4</v>
      </c>
      <c r="E17">
        <v>4</v>
      </c>
      <c r="F17">
        <v>1</v>
      </c>
    </row>
    <row r="18" spans="1:6">
      <c r="B18" s="1" t="s">
        <v>76</v>
      </c>
      <c r="C18">
        <f t="shared" si="0"/>
        <v>28</v>
      </c>
      <c r="D18">
        <f t="shared" si="1"/>
        <v>5</v>
      </c>
      <c r="E18">
        <v>5</v>
      </c>
      <c r="F18">
        <v>1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2025-03-02T00:41:35Z</dcterms:modified>
</cp:coreProperties>
</file>