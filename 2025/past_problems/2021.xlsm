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7C34152C-3450-494A-84AE-7D5AF43088A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8" i="6" l="1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C7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  <c r="D2" i="6" l="1"/>
  <c r="D2" i="5"/>
</calcChain>
</file>

<file path=xl/sharedStrings.xml><?xml version="1.0" encoding="utf-8"?>
<sst xmlns="http://schemas.openxmlformats.org/spreadsheetml/2006/main" count="122" uniqueCount="95">
  <si>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</si>
  <si>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</si>
  <si>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</si>
  <si>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</si>
  <si>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</si>
  <si>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</si>
  <si>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</si>
  <si>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</si>
  <si>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</si>
  <si>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</si>
  <si>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</si>
  <si>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</si>
  <si>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2021-春</t>
  </si>
  <si>
    <t>2021-春</t>
    <rPh sb="5" eb="6">
      <t>ハル</t>
    </rPh>
    <phoneticPr fontId="1"/>
  </si>
  <si>
    <t>クラウドアドバイザ</t>
    <phoneticPr fontId="1"/>
  </si>
  <si>
    <t>SaaS</t>
    <phoneticPr fontId="1"/>
  </si>
  <si>
    <t>PM2-2</t>
  </si>
  <si>
    <t>PM2-2</t>
    <phoneticPr fontId="1"/>
  </si>
  <si>
    <t>サービスを向上でIT活用</t>
    <rPh sb="5" eb="7">
      <t>コウジョウ</t>
    </rPh>
    <rPh sb="10" eb="12">
      <t>カツヨウ</t>
    </rPh>
    <phoneticPr fontId="1"/>
  </si>
  <si>
    <t>テレワーク整備</t>
    <rPh sb="5" eb="7">
      <t>セイビ</t>
    </rPh>
    <phoneticPr fontId="1"/>
  </si>
  <si>
    <t>UTMはセキュリティ機能</t>
    <rPh sb="10" eb="12">
      <t>キノウ</t>
    </rPh>
    <phoneticPr fontId="1"/>
  </si>
  <si>
    <t>固定IPアドレス割当</t>
    <rPh sb="0" eb="2">
      <t>コテイ</t>
    </rPh>
    <rPh sb="8" eb="10">
      <t>ワリアテ</t>
    </rPh>
    <phoneticPr fontId="1"/>
  </si>
  <si>
    <t>ドメインコントローラ</t>
    <phoneticPr fontId="1"/>
  </si>
  <si>
    <t>UTMはステートフル</t>
    <phoneticPr fontId="1"/>
  </si>
  <si>
    <t>LANセグメント</t>
    <phoneticPr fontId="1"/>
  </si>
  <si>
    <t>SSID事前共有鍵</t>
    <rPh sb="4" eb="9">
      <t>ジゼンキョウユウカギ</t>
    </rPh>
    <phoneticPr fontId="1"/>
  </si>
  <si>
    <t>WPA2を運用</t>
    <rPh sb="5" eb="7">
      <t>ウンヨウ</t>
    </rPh>
    <phoneticPr fontId="1"/>
  </si>
  <si>
    <t>C-PCローカルログイン</t>
    <phoneticPr fontId="1"/>
  </si>
  <si>
    <t>侵入社員配属</t>
    <rPh sb="0" eb="2">
      <t>シンニュウ</t>
    </rPh>
    <rPh sb="2" eb="4">
      <t>シャイン</t>
    </rPh>
    <rPh sb="4" eb="6">
      <t>ハイゾク</t>
    </rPh>
    <phoneticPr fontId="1"/>
  </si>
  <si>
    <t>C-PC個人所有機</t>
    <rPh sb="4" eb="9">
      <t>コジンショユウキ</t>
    </rPh>
    <phoneticPr fontId="1"/>
  </si>
  <si>
    <t>業務SVにアクセスできない</t>
    <rPh sb="0" eb="2">
      <t>ギョウム</t>
    </rPh>
    <phoneticPr fontId="1"/>
  </si>
  <si>
    <t>1-1</t>
    <phoneticPr fontId="1"/>
  </si>
  <si>
    <t>オ</t>
    <phoneticPr fontId="1"/>
  </si>
  <si>
    <t>1-2</t>
    <phoneticPr fontId="1"/>
  </si>
  <si>
    <t>DHCPサーバーが割り当て可能なIPアドレスを使い切ってしまった。</t>
    <rPh sb="9" eb="10">
      <t>ワ</t>
    </rPh>
    <rPh sb="11" eb="12">
      <t>ア</t>
    </rPh>
    <rPh sb="13" eb="15">
      <t>カノウ</t>
    </rPh>
    <rPh sb="23" eb="24">
      <t>ツカ</t>
    </rPh>
    <rPh sb="25" eb="26">
      <t>キ</t>
    </rPh>
    <phoneticPr fontId="1"/>
  </si>
  <si>
    <t>1-3</t>
    <phoneticPr fontId="1"/>
  </si>
  <si>
    <t>L2SWにミラーポートを設定し、そのポートにLANモニタを接続してDHCP OFFERの数を確認する。</t>
    <rPh sb="12" eb="14">
      <t>セッテイ</t>
    </rPh>
    <rPh sb="29" eb="31">
      <t>セツゾク</t>
    </rPh>
    <rPh sb="44" eb="45">
      <t>カズ</t>
    </rPh>
    <rPh sb="46" eb="48">
      <t>カクニン</t>
    </rPh>
    <phoneticPr fontId="1"/>
  </si>
  <si>
    <t>RとSaaS</t>
    <phoneticPr fontId="1"/>
  </si>
  <si>
    <t>サービスW</t>
    <phoneticPr fontId="1"/>
  </si>
  <si>
    <t>パスw－度漏洩の事故</t>
    <rPh sb="4" eb="5">
      <t>ド</t>
    </rPh>
    <rPh sb="5" eb="7">
      <t>ロウエイ</t>
    </rPh>
    <rPh sb="8" eb="10">
      <t>ジコ</t>
    </rPh>
    <phoneticPr fontId="1"/>
  </si>
  <si>
    <t>アクセスログの調査</t>
    <rPh sb="7" eb="9">
      <t>チョウサ</t>
    </rPh>
    <phoneticPr fontId="1"/>
  </si>
  <si>
    <t>Rにセキュリティ</t>
    <phoneticPr fontId="1"/>
  </si>
  <si>
    <t>Wで漏洩</t>
    <rPh sb="2" eb="4">
      <t>ロウエイ</t>
    </rPh>
    <phoneticPr fontId="1"/>
  </si>
  <si>
    <t>2</t>
    <phoneticPr fontId="1"/>
  </si>
  <si>
    <t>企画部のメンバー間で共有されているチャットの情報</t>
    <rPh sb="0" eb="2">
      <t>キカク</t>
    </rPh>
    <rPh sb="2" eb="3">
      <t>ブ</t>
    </rPh>
    <rPh sb="8" eb="9">
      <t>アイダ</t>
    </rPh>
    <rPh sb="10" eb="12">
      <t>キョウユウ</t>
    </rPh>
    <rPh sb="22" eb="24">
      <t>ジョウホウ</t>
    </rPh>
    <phoneticPr fontId="1"/>
  </si>
  <si>
    <t>3-1</t>
    <phoneticPr fontId="1"/>
  </si>
  <si>
    <t>a: C-PC</t>
    <phoneticPr fontId="1"/>
  </si>
  <si>
    <t>b: AP</t>
    <phoneticPr fontId="1"/>
  </si>
  <si>
    <t>DHCPによるIPアドレスの配布がないことを確認する。</t>
    <rPh sb="14" eb="16">
      <t>ハイフ</t>
    </rPh>
    <rPh sb="22" eb="24">
      <t>カクニン</t>
    </rPh>
    <phoneticPr fontId="1"/>
  </si>
  <si>
    <t>3-2</t>
    <phoneticPr fontId="1"/>
  </si>
  <si>
    <t>イ</t>
    <phoneticPr fontId="1"/>
  </si>
  <si>
    <t>4-1</t>
    <phoneticPr fontId="1"/>
  </si>
  <si>
    <t>SAML</t>
    <phoneticPr fontId="1"/>
  </si>
  <si>
    <t>Qと連携できる</t>
    <rPh sb="2" eb="4">
      <t>レンケイ</t>
    </rPh>
    <phoneticPr fontId="1"/>
  </si>
  <si>
    <t>顧客への提案や立案の業務</t>
    <rPh sb="0" eb="2">
      <t>コキャク</t>
    </rPh>
    <rPh sb="4" eb="6">
      <t>テイアン</t>
    </rPh>
    <rPh sb="7" eb="9">
      <t>リツアン</t>
    </rPh>
    <rPh sb="10" eb="12">
      <t>ギョウム</t>
    </rPh>
    <phoneticPr fontId="1"/>
  </si>
  <si>
    <t>4-2</t>
    <phoneticPr fontId="1"/>
  </si>
  <si>
    <t>4-3</t>
    <phoneticPr fontId="1"/>
  </si>
  <si>
    <t>4-4</t>
    <phoneticPr fontId="1"/>
  </si>
  <si>
    <t>ア</t>
    <phoneticPr fontId="1"/>
  </si>
  <si>
    <t>5-1</t>
    <phoneticPr fontId="1"/>
  </si>
  <si>
    <t>ISMS認証</t>
    <rPh sb="4" eb="6">
      <t>ニンショウ</t>
    </rPh>
    <phoneticPr fontId="1"/>
  </si>
  <si>
    <t>5-2</t>
    <phoneticPr fontId="1"/>
  </si>
  <si>
    <t>6-1</t>
    <phoneticPr fontId="1"/>
  </si>
  <si>
    <t>秘密鍵をコピーして持ち出せないようにする</t>
    <rPh sb="0" eb="3">
      <t>ヒミツカギ</t>
    </rPh>
    <rPh sb="9" eb="10">
      <t>モ</t>
    </rPh>
    <rPh sb="11" eb="12">
      <t>ダ</t>
    </rPh>
    <phoneticPr fontId="1"/>
  </si>
  <si>
    <t>6-2</t>
    <phoneticPr fontId="1"/>
  </si>
  <si>
    <t>Pソフト</t>
    <phoneticPr fontId="1"/>
  </si>
  <si>
    <t>一般利用者権限ではPソフトの設定を変更できないようにする</t>
    <rPh sb="0" eb="2">
      <t>イッパン</t>
    </rPh>
    <rPh sb="2" eb="5">
      <t>リヨウシャ</t>
    </rPh>
    <rPh sb="5" eb="7">
      <t>ケンゲン</t>
    </rPh>
    <rPh sb="14" eb="16">
      <t>セッテイ</t>
    </rPh>
    <rPh sb="17" eb="19">
      <t>ヘンコウ</t>
    </rPh>
    <phoneticPr fontId="1"/>
  </si>
  <si>
    <t>S社</t>
    <rPh sb="1" eb="2">
      <t>シャ</t>
    </rPh>
    <phoneticPr fontId="1"/>
  </si>
  <si>
    <t>ファイル共有サービス</t>
    <rPh sb="4" eb="6">
      <t>キョウユウ</t>
    </rPh>
    <phoneticPr fontId="1"/>
  </si>
  <si>
    <t>S認証モジュール</t>
    <rPh sb="1" eb="3">
      <t>ニンショウ</t>
    </rPh>
    <phoneticPr fontId="1"/>
  </si>
  <si>
    <t>多要素認証</t>
    <rPh sb="0" eb="3">
      <t>タヨウソ</t>
    </rPh>
    <rPh sb="3" eb="5">
      <t>ニンショウ</t>
    </rPh>
    <phoneticPr fontId="1"/>
  </si>
  <si>
    <t>SNS</t>
    <phoneticPr fontId="1"/>
  </si>
  <si>
    <t>ID連携の改修</t>
    <rPh sb="2" eb="4">
      <t>レンケイ</t>
    </rPh>
    <rPh sb="5" eb="7">
      <t>カイシュウ</t>
    </rPh>
    <phoneticPr fontId="1"/>
  </si>
  <si>
    <t>TサービスとのID連携</t>
    <rPh sb="9" eb="11">
      <t>レンケイ</t>
    </rPh>
    <phoneticPr fontId="1"/>
  </si>
  <si>
    <t>Oauth</t>
    <phoneticPr fontId="1"/>
  </si>
  <si>
    <t>多要素認証の機能をSサービスに用意しなくてよい</t>
    <rPh sb="0" eb="5">
      <t>タヨウソニンショウ</t>
    </rPh>
    <rPh sb="6" eb="8">
      <t>キノウ</t>
    </rPh>
    <rPh sb="15" eb="17">
      <t>ヨウイ</t>
    </rPh>
    <phoneticPr fontId="1"/>
  </si>
  <si>
    <t>Tサービスに障害があるとSサービスで認証が出来なくなる</t>
    <rPh sb="6" eb="8">
      <t>ショウガイ</t>
    </rPh>
    <rPh sb="18" eb="20">
      <t>ニンショウ</t>
    </rPh>
    <rPh sb="21" eb="23">
      <t>デキ</t>
    </rPh>
    <phoneticPr fontId="1"/>
  </si>
  <si>
    <t>SNSと認可を送出</t>
    <rPh sb="4" eb="6">
      <t>ニンカ</t>
    </rPh>
    <rPh sb="7" eb="9">
      <t>ソウシュツ</t>
    </rPh>
    <phoneticPr fontId="1"/>
  </si>
  <si>
    <t>c:ウ</t>
    <phoneticPr fontId="1"/>
  </si>
  <si>
    <t>a:ア</t>
    <phoneticPr fontId="1"/>
  </si>
  <si>
    <t>b:イ</t>
    <phoneticPr fontId="1"/>
  </si>
  <si>
    <t>1-4</t>
    <phoneticPr fontId="1"/>
  </si>
  <si>
    <t>え</t>
    <phoneticPr fontId="1"/>
  </si>
  <si>
    <t>2-1</t>
    <phoneticPr fontId="1"/>
  </si>
  <si>
    <t>d:ウ</t>
    <phoneticPr fontId="1"/>
  </si>
  <si>
    <t>e:ア</t>
    <phoneticPr fontId="1"/>
  </si>
  <si>
    <t>2-2</t>
    <phoneticPr fontId="1"/>
  </si>
  <si>
    <t>アップロード：攻撃者</t>
    <rPh sb="7" eb="10">
      <t>コウゲキシャ</t>
    </rPh>
    <phoneticPr fontId="1"/>
  </si>
  <si>
    <t>ダウンロード：攻撃者</t>
    <rPh sb="7" eb="10">
      <t>コウゲキシャ</t>
    </rPh>
    <phoneticPr fontId="1"/>
  </si>
  <si>
    <t>2-3</t>
    <phoneticPr fontId="1"/>
  </si>
  <si>
    <t>β：い</t>
    <phoneticPr fontId="1"/>
  </si>
  <si>
    <t>γ：か</t>
    <phoneticPr fontId="1"/>
  </si>
  <si>
    <t>S認証モジュールに会員情報が未登録の会員</t>
    <rPh sb="1" eb="3">
      <t>ニンショウ</t>
    </rPh>
    <rPh sb="9" eb="11">
      <t>カイイン</t>
    </rPh>
    <rPh sb="11" eb="13">
      <t>ジョウホウ</t>
    </rPh>
    <rPh sb="14" eb="17">
      <t>ミトウロク</t>
    </rPh>
    <rPh sb="18" eb="20">
      <t>カイイン</t>
    </rPh>
    <phoneticPr fontId="1"/>
  </si>
  <si>
    <t>4</t>
    <phoneticPr fontId="1"/>
  </si>
  <si>
    <t>Tサービスで認証されたS会員のT-IDが、Sサービス内に登録されていることを確認する</t>
    <rPh sb="6" eb="8">
      <t>ニンショウ</t>
    </rPh>
    <rPh sb="12" eb="14">
      <t>カイイン</t>
    </rPh>
    <rPh sb="26" eb="27">
      <t>ナイ</t>
    </rPh>
    <rPh sb="28" eb="30">
      <t>トウロク</t>
    </rPh>
    <rPh sb="38" eb="40">
      <t>カクニン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</si>
</sst>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17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3"/>
  <sheetViews>
    <sheetView tabSelected="1" workbookViewId="0">
      <selection activeCell="H5" sqref="H5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16</v>
      </c>
      <c r="D2">
        <v>92</v>
      </c>
      <c r="E2">
        <v>100</v>
      </c>
    </row>
    <row r="3" spans="1:6">
      <c r="A3">
        <v>2</v>
      </c>
      <c r="B3" s="2" t="s">
        <v>12</v>
      </c>
      <c r="C3" s="2" t="s">
        <v>16</v>
      </c>
      <c r="D3">
        <v>48</v>
      </c>
      <c r="E3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E31EC-8DB5-4706-984F-8951194B66EF}">
  <sheetPr codeName="Sheet4"/>
  <dimension ref="A1:M168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47.125" style="1" customWidth="1"/>
    <col min="3" max="3" width="9.75" customWidth="1"/>
  </cols>
  <sheetData>
    <row r="1" spans="1:13">
      <c r="A1" s="2" t="s">
        <v>0</v>
      </c>
      <c r="B1" s="4" t="s">
        <v>13</v>
      </c>
      <c r="H1" t="s">
        <v>22</v>
      </c>
    </row>
    <row r="2" spans="1:13">
      <c r="A2" s="2" t="s">
        <v>2</v>
      </c>
      <c r="B2" s="3" t="s">
        <v>17</v>
      </c>
      <c r="D2">
        <f>SUM(D4:D1001)</f>
        <v>92</v>
      </c>
      <c r="E2">
        <f>SUM(E4:E1001)</f>
        <v>100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31</v>
      </c>
      <c r="B4" s="1" t="s">
        <v>32</v>
      </c>
      <c r="C4">
        <f>IF(B4&lt;&gt;"",LEN(B4),"")</f>
        <v>1</v>
      </c>
      <c r="D4">
        <f>E4*F4</f>
        <v>4</v>
      </c>
      <c r="E4">
        <v>4</v>
      </c>
      <c r="F4">
        <v>1</v>
      </c>
      <c r="G4" t="s">
        <v>14</v>
      </c>
      <c r="I4" t="s">
        <v>22</v>
      </c>
      <c r="K4" t="s">
        <v>28</v>
      </c>
      <c r="M4" t="s">
        <v>40</v>
      </c>
    </row>
    <row r="5" spans="1:13" ht="37.5">
      <c r="A5" s="2" t="s">
        <v>33</v>
      </c>
      <c r="B5" s="1" t="s">
        <v>34</v>
      </c>
      <c r="C5">
        <f t="shared" ref="C5:C69" si="0">IF(B5&lt;&gt;"",LEN(B5),"")</f>
        <v>33</v>
      </c>
      <c r="D5">
        <f t="shared" ref="D5:D20" si="1">E5*F5</f>
        <v>8</v>
      </c>
      <c r="E5">
        <v>8</v>
      </c>
      <c r="F5">
        <v>1</v>
      </c>
      <c r="G5" t="s">
        <v>15</v>
      </c>
      <c r="I5" t="s">
        <v>23</v>
      </c>
      <c r="K5" t="s">
        <v>29</v>
      </c>
      <c r="M5" t="s">
        <v>41</v>
      </c>
    </row>
    <row r="6" spans="1:13" ht="37.5">
      <c r="A6" s="2" t="s">
        <v>35</v>
      </c>
      <c r="B6" s="1" t="s">
        <v>36</v>
      </c>
      <c r="C6">
        <f t="shared" si="0"/>
        <v>51</v>
      </c>
      <c r="D6">
        <f t="shared" si="1"/>
        <v>10</v>
      </c>
      <c r="E6">
        <v>10</v>
      </c>
      <c r="F6">
        <v>1</v>
      </c>
      <c r="G6" t="s">
        <v>18</v>
      </c>
      <c r="I6" t="s">
        <v>24</v>
      </c>
      <c r="K6" t="s">
        <v>30</v>
      </c>
      <c r="M6" t="s">
        <v>42</v>
      </c>
    </row>
    <row r="7" spans="1:13">
      <c r="B7" s="1" t="s">
        <v>48</v>
      </c>
      <c r="C7">
        <f t="shared" si="0"/>
        <v>27</v>
      </c>
      <c r="D7">
        <f t="shared" si="1"/>
        <v>8</v>
      </c>
      <c r="E7">
        <v>8</v>
      </c>
      <c r="F7">
        <v>1</v>
      </c>
      <c r="M7" t="s">
        <v>52</v>
      </c>
    </row>
    <row r="8" spans="1:13">
      <c r="A8" s="2" t="s">
        <v>43</v>
      </c>
      <c r="B8" s="1" t="s">
        <v>44</v>
      </c>
      <c r="C8">
        <f t="shared" si="0"/>
        <v>24</v>
      </c>
      <c r="D8">
        <f t="shared" si="1"/>
        <v>8</v>
      </c>
      <c r="E8">
        <v>8</v>
      </c>
      <c r="F8">
        <v>1</v>
      </c>
      <c r="G8" t="s">
        <v>19</v>
      </c>
      <c r="I8" t="s">
        <v>25</v>
      </c>
      <c r="K8" t="s">
        <v>37</v>
      </c>
      <c r="M8" t="s">
        <v>53</v>
      </c>
    </row>
    <row r="9" spans="1:13">
      <c r="A9" s="2" t="s">
        <v>45</v>
      </c>
      <c r="B9" s="1" t="s">
        <v>46</v>
      </c>
      <c r="C9">
        <f t="shared" si="0"/>
        <v>7</v>
      </c>
      <c r="D9">
        <f t="shared" si="1"/>
        <v>6</v>
      </c>
      <c r="E9">
        <v>6</v>
      </c>
      <c r="F9">
        <v>1</v>
      </c>
      <c r="G9" t="s">
        <v>20</v>
      </c>
      <c r="I9" t="s">
        <v>26</v>
      </c>
      <c r="K9" t="s">
        <v>38</v>
      </c>
    </row>
    <row r="10" spans="1:13">
      <c r="B10" s="1" t="s">
        <v>47</v>
      </c>
      <c r="C10">
        <f t="shared" si="0"/>
        <v>5</v>
      </c>
      <c r="D10">
        <f t="shared" si="1"/>
        <v>6</v>
      </c>
      <c r="E10">
        <v>6</v>
      </c>
      <c r="F10">
        <v>1</v>
      </c>
      <c r="G10" t="s">
        <v>21</v>
      </c>
      <c r="I10" t="s">
        <v>27</v>
      </c>
      <c r="K10" t="s">
        <v>39</v>
      </c>
    </row>
    <row r="11" spans="1:13">
      <c r="A11" s="2" t="s">
        <v>49</v>
      </c>
      <c r="B11" s="1" t="s">
        <v>50</v>
      </c>
      <c r="C11">
        <f t="shared" si="0"/>
        <v>1</v>
      </c>
      <c r="D11">
        <f t="shared" si="1"/>
        <v>0</v>
      </c>
      <c r="E11">
        <v>4</v>
      </c>
      <c r="F11">
        <v>0</v>
      </c>
    </row>
    <row r="12" spans="1:13">
      <c r="A12" s="2" t="s">
        <v>51</v>
      </c>
      <c r="B12" s="1" t="s">
        <v>54</v>
      </c>
      <c r="C12">
        <f t="shared" si="0"/>
        <v>12</v>
      </c>
      <c r="D12">
        <f t="shared" si="1"/>
        <v>6</v>
      </c>
      <c r="E12">
        <v>6</v>
      </c>
      <c r="F12">
        <v>1</v>
      </c>
    </row>
    <row r="13" spans="1:13">
      <c r="A13" s="2" t="s">
        <v>55</v>
      </c>
      <c r="B13" s="1">
        <v>2</v>
      </c>
      <c r="C13">
        <f t="shared" si="0"/>
        <v>1</v>
      </c>
      <c r="D13">
        <f t="shared" si="1"/>
        <v>4</v>
      </c>
      <c r="E13">
        <v>4</v>
      </c>
      <c r="F13">
        <v>1</v>
      </c>
    </row>
    <row r="14" spans="1:13">
      <c r="A14" s="2" t="s">
        <v>56</v>
      </c>
      <c r="B14" s="1">
        <v>1</v>
      </c>
      <c r="C14">
        <f t="shared" si="0"/>
        <v>1</v>
      </c>
      <c r="D14">
        <f t="shared" si="1"/>
        <v>4</v>
      </c>
      <c r="E14">
        <v>4</v>
      </c>
      <c r="F14">
        <v>1</v>
      </c>
    </row>
    <row r="15" spans="1:13">
      <c r="A15" s="2" t="s">
        <v>57</v>
      </c>
      <c r="B15" s="1" t="s">
        <v>58</v>
      </c>
      <c r="C15">
        <f t="shared" si="0"/>
        <v>1</v>
      </c>
      <c r="D15">
        <f t="shared" si="1"/>
        <v>0</v>
      </c>
      <c r="E15">
        <v>4</v>
      </c>
      <c r="F15">
        <v>0</v>
      </c>
    </row>
    <row r="16" spans="1:13">
      <c r="A16" s="2" t="s">
        <v>59</v>
      </c>
      <c r="B16" s="1" t="s">
        <v>60</v>
      </c>
      <c r="C16">
        <f t="shared" si="0"/>
        <v>6</v>
      </c>
      <c r="D16">
        <f t="shared" si="1"/>
        <v>6</v>
      </c>
      <c r="E16">
        <v>6</v>
      </c>
      <c r="F16">
        <v>1</v>
      </c>
    </row>
    <row r="17" spans="1:6">
      <c r="A17" s="2" t="s">
        <v>61</v>
      </c>
      <c r="B17" s="1">
        <v>4</v>
      </c>
      <c r="C17">
        <f t="shared" si="0"/>
        <v>1</v>
      </c>
      <c r="D17">
        <f t="shared" si="1"/>
        <v>4</v>
      </c>
      <c r="E17">
        <v>4</v>
      </c>
      <c r="F17">
        <v>1</v>
      </c>
    </row>
    <row r="18" spans="1:6">
      <c r="A18" s="2" t="s">
        <v>62</v>
      </c>
      <c r="B18" s="1" t="s">
        <v>63</v>
      </c>
      <c r="C18">
        <f t="shared" si="0"/>
        <v>20</v>
      </c>
      <c r="D18">
        <f t="shared" si="1"/>
        <v>8</v>
      </c>
      <c r="E18">
        <v>8</v>
      </c>
      <c r="F18">
        <v>1</v>
      </c>
    </row>
    <row r="19" spans="1:6">
      <c r="A19" s="2" t="s">
        <v>64</v>
      </c>
      <c r="B19" s="1" t="s">
        <v>65</v>
      </c>
      <c r="C19">
        <f t="shared" si="0"/>
        <v>4</v>
      </c>
      <c r="D19">
        <f t="shared" si="1"/>
        <v>0</v>
      </c>
    </row>
    <row r="20" spans="1:6" ht="37.5">
      <c r="B20" s="1" t="s">
        <v>66</v>
      </c>
      <c r="C20">
        <f t="shared" si="0"/>
        <v>28</v>
      </c>
      <c r="D20">
        <f t="shared" si="1"/>
        <v>10</v>
      </c>
      <c r="E20">
        <v>10</v>
      </c>
      <c r="F20">
        <v>1</v>
      </c>
    </row>
    <row r="21" spans="1:6">
      <c r="C21" t="str">
        <f t="shared" si="0"/>
        <v/>
      </c>
    </row>
    <row r="22" spans="1:6">
      <c r="C22" t="str">
        <f t="shared" si="0"/>
        <v/>
      </c>
    </row>
    <row r="23" spans="1:6">
      <c r="C23" t="str">
        <f t="shared" si="0"/>
        <v/>
      </c>
    </row>
    <row r="24" spans="1:6">
      <c r="C24" t="str">
        <f t="shared" si="0"/>
        <v/>
      </c>
    </row>
    <row r="25" spans="1:6">
      <c r="C25" t="str">
        <f t="shared" si="0"/>
        <v/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si="0"/>
        <v/>
      </c>
    </row>
    <row r="70" spans="3:3">
      <c r="C70" t="str">
        <f t="shared" ref="C70:C133" si="2">IF(B70&lt;&gt;"",LEN(B70),"")</f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si="2"/>
        <v/>
      </c>
    </row>
    <row r="134" spans="3:3">
      <c r="C134" t="str">
        <f t="shared" ref="C134:C168" si="3">IF(B134&lt;&gt;"",LEN(B134),"")</f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  <row r="168" spans="3:3">
      <c r="C168" t="str">
        <f t="shared" si="3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800E7-8028-43A8-A995-08DECAFAA5DB}">
  <sheetPr codeName="Sheet5"/>
  <dimension ref="A1:I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4" sqref="D4:D18"/>
    </sheetView>
  </sheetViews>
  <sheetFormatPr defaultRowHeight="18.75"/>
  <cols>
    <col min="1" max="1" width="9" style="2"/>
    <col min="2" max="2" width="48.25" style="1" customWidth="1"/>
    <col min="3" max="3" width="9.75" customWidth="1"/>
  </cols>
  <sheetData>
    <row r="1" spans="1:9">
      <c r="A1" s="2" t="s">
        <v>0</v>
      </c>
      <c r="B1" s="4" t="s">
        <v>13</v>
      </c>
    </row>
    <row r="2" spans="1:9">
      <c r="A2" s="2" t="s">
        <v>2</v>
      </c>
      <c r="B2" s="3" t="s">
        <v>17</v>
      </c>
      <c r="D2">
        <f>SUM(D4:D1000)</f>
        <v>48</v>
      </c>
      <c r="E2">
        <f>SUM(E4:E1000)</f>
        <v>50</v>
      </c>
    </row>
    <row r="3" spans="1:9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9">
      <c r="A4" s="2" t="s">
        <v>31</v>
      </c>
      <c r="B4" s="1" t="s">
        <v>75</v>
      </c>
      <c r="C4">
        <f>IF(B4&lt;&gt;"",LEN(B4),"")</f>
        <v>23</v>
      </c>
      <c r="D4">
        <f>E4*F4</f>
        <v>4</v>
      </c>
      <c r="E4">
        <v>4</v>
      </c>
      <c r="F4">
        <v>1</v>
      </c>
      <c r="G4" t="s">
        <v>67</v>
      </c>
      <c r="I4" t="s">
        <v>74</v>
      </c>
    </row>
    <row r="5" spans="1:9" ht="37.5">
      <c r="A5" s="2" t="s">
        <v>33</v>
      </c>
      <c r="B5" s="1" t="s">
        <v>76</v>
      </c>
      <c r="C5">
        <f t="shared" ref="C5:C68" si="0">IF(B5&lt;&gt;"",LEN(B5),"")</f>
        <v>27</v>
      </c>
      <c r="D5">
        <f t="shared" ref="D5:D18" si="1">E5*F5</f>
        <v>2</v>
      </c>
      <c r="E5">
        <v>4</v>
      </c>
      <c r="F5">
        <v>0.5</v>
      </c>
      <c r="G5" t="s">
        <v>68</v>
      </c>
      <c r="I5" t="s">
        <v>77</v>
      </c>
    </row>
    <row r="6" spans="1:9">
      <c r="A6" s="2" t="s">
        <v>35</v>
      </c>
      <c r="B6" s="1" t="s">
        <v>79</v>
      </c>
      <c r="C6">
        <f t="shared" si="0"/>
        <v>3</v>
      </c>
      <c r="D6">
        <f t="shared" si="1"/>
        <v>2</v>
      </c>
      <c r="E6">
        <v>2</v>
      </c>
      <c r="F6">
        <v>1</v>
      </c>
      <c r="G6" t="s">
        <v>69</v>
      </c>
    </row>
    <row r="7" spans="1:9">
      <c r="B7" s="1" t="s">
        <v>80</v>
      </c>
      <c r="C7">
        <f t="shared" si="0"/>
        <v>3</v>
      </c>
      <c r="D7">
        <f t="shared" si="1"/>
        <v>2</v>
      </c>
      <c r="E7">
        <v>2</v>
      </c>
      <c r="F7">
        <v>1</v>
      </c>
      <c r="G7" t="s">
        <v>70</v>
      </c>
    </row>
    <row r="8" spans="1:9">
      <c r="B8" s="1" t="s">
        <v>78</v>
      </c>
      <c r="C8">
        <f t="shared" si="0"/>
        <v>3</v>
      </c>
      <c r="D8">
        <f t="shared" si="1"/>
        <v>2</v>
      </c>
      <c r="E8">
        <v>2</v>
      </c>
      <c r="F8">
        <v>1</v>
      </c>
      <c r="G8" t="s">
        <v>71</v>
      </c>
    </row>
    <row r="9" spans="1:9">
      <c r="A9" s="2" t="s">
        <v>81</v>
      </c>
      <c r="B9" s="1" t="s">
        <v>82</v>
      </c>
      <c r="C9">
        <f t="shared" si="0"/>
        <v>1</v>
      </c>
      <c r="D9">
        <f t="shared" si="1"/>
        <v>3</v>
      </c>
      <c r="E9">
        <v>3</v>
      </c>
      <c r="F9">
        <v>1</v>
      </c>
      <c r="G9" t="s">
        <v>72</v>
      </c>
    </row>
    <row r="10" spans="1:9">
      <c r="A10" s="2" t="s">
        <v>83</v>
      </c>
      <c r="B10" s="1" t="s">
        <v>84</v>
      </c>
      <c r="C10">
        <f t="shared" si="0"/>
        <v>3</v>
      </c>
      <c r="D10">
        <f t="shared" si="1"/>
        <v>3</v>
      </c>
      <c r="E10">
        <v>3</v>
      </c>
      <c r="F10">
        <v>1</v>
      </c>
      <c r="G10" t="s">
        <v>73</v>
      </c>
    </row>
    <row r="11" spans="1:9">
      <c r="B11" s="1" t="s">
        <v>85</v>
      </c>
      <c r="C11">
        <f t="shared" si="0"/>
        <v>3</v>
      </c>
      <c r="D11">
        <f t="shared" si="1"/>
        <v>3</v>
      </c>
      <c r="E11">
        <v>3</v>
      </c>
      <c r="F11">
        <v>1</v>
      </c>
      <c r="G11" t="s">
        <v>74</v>
      </c>
    </row>
    <row r="12" spans="1:9">
      <c r="A12" s="2" t="s">
        <v>86</v>
      </c>
      <c r="B12" s="1" t="s">
        <v>87</v>
      </c>
      <c r="C12">
        <f t="shared" si="0"/>
        <v>10</v>
      </c>
      <c r="D12">
        <f t="shared" si="1"/>
        <v>3</v>
      </c>
      <c r="E12">
        <v>3</v>
      </c>
      <c r="F12">
        <v>1</v>
      </c>
    </row>
    <row r="13" spans="1:9">
      <c r="B13" s="1" t="s">
        <v>88</v>
      </c>
      <c r="C13">
        <f t="shared" si="0"/>
        <v>10</v>
      </c>
      <c r="D13">
        <f t="shared" si="1"/>
        <v>3</v>
      </c>
      <c r="E13">
        <v>3</v>
      </c>
      <c r="F13">
        <v>1</v>
      </c>
    </row>
    <row r="14" spans="1:9">
      <c r="A14" s="2" t="s">
        <v>89</v>
      </c>
      <c r="B14" s="1" t="s">
        <v>90</v>
      </c>
      <c r="C14">
        <f t="shared" si="0"/>
        <v>3</v>
      </c>
      <c r="D14">
        <f t="shared" si="1"/>
        <v>3</v>
      </c>
      <c r="E14">
        <v>3</v>
      </c>
      <c r="F14">
        <v>1</v>
      </c>
    </row>
    <row r="15" spans="1:9">
      <c r="B15" s="1" t="s">
        <v>91</v>
      </c>
      <c r="C15">
        <f t="shared" si="0"/>
        <v>3</v>
      </c>
      <c r="D15">
        <f t="shared" si="1"/>
        <v>3</v>
      </c>
      <c r="E15">
        <v>3</v>
      </c>
      <c r="F15">
        <v>1</v>
      </c>
    </row>
    <row r="16" spans="1:9">
      <c r="A16" s="2" t="s">
        <v>45</v>
      </c>
      <c r="B16" s="1" t="s">
        <v>82</v>
      </c>
      <c r="C16">
        <f t="shared" si="0"/>
        <v>1</v>
      </c>
      <c r="D16">
        <f t="shared" si="1"/>
        <v>3</v>
      </c>
      <c r="E16">
        <v>3</v>
      </c>
      <c r="F16">
        <v>1</v>
      </c>
    </row>
    <row r="17" spans="1:6">
      <c r="A17" s="2" t="s">
        <v>49</v>
      </c>
      <c r="B17" s="1" t="s">
        <v>92</v>
      </c>
      <c r="C17">
        <f t="shared" si="0"/>
        <v>20</v>
      </c>
      <c r="D17">
        <f t="shared" si="1"/>
        <v>6</v>
      </c>
      <c r="E17">
        <v>6</v>
      </c>
      <c r="F17">
        <v>1</v>
      </c>
    </row>
    <row r="18" spans="1:6" ht="37.5">
      <c r="A18" s="2" t="s">
        <v>93</v>
      </c>
      <c r="B18" s="1" t="s">
        <v>94</v>
      </c>
      <c r="C18">
        <f t="shared" si="0"/>
        <v>42</v>
      </c>
      <c r="D18">
        <f t="shared" si="1"/>
        <v>6</v>
      </c>
      <c r="E18">
        <v>6</v>
      </c>
      <c r="F18">
        <v>1</v>
      </c>
    </row>
    <row r="19" spans="1:6">
      <c r="C19" t="str">
        <f t="shared" si="0"/>
        <v/>
      </c>
    </row>
    <row r="20" spans="1:6">
      <c r="C20" t="str">
        <f t="shared" si="0"/>
        <v/>
      </c>
    </row>
    <row r="21" spans="1:6">
      <c r="C21" t="str">
        <f t="shared" si="0"/>
        <v/>
      </c>
    </row>
    <row r="22" spans="1:6">
      <c r="C22" t="str">
        <f t="shared" si="0"/>
        <v/>
      </c>
    </row>
    <row r="23" spans="1:6">
      <c r="C23" t="str">
        <f t="shared" si="0"/>
        <v/>
      </c>
    </row>
    <row r="24" spans="1:6">
      <c r="C24" t="str">
        <f t="shared" si="0"/>
        <v/>
      </c>
    </row>
    <row r="25" spans="1:6">
      <c r="C25" t="str">
        <f t="shared" si="0"/>
        <v/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レビュー</vt:lpstr>
      <vt:lpstr>format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2025-03-16T04:25:43Z</dcterms:modified>
</cp:coreProperties>
</file>