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6F586354-D05D-4154-9DB1-53D27144D84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7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<sst xmlns="http://schemas.openxmlformats.org/spreadsheetml/2006/main" count="85" uniqueCount="67">
  <si>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</si>
  <si>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</si>
  <si>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</si>
  <si>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</si>
  <si>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</si>
  <si>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</si>
  <si>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</si>
  <si>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</si>
  <si>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</si>
  <si>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</si>
  <si>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</si>
  <si>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</si>
  <si>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2021-春</t>
  </si>
  <si>
    <t>2021-春</t>
    <rPh sb="5" eb="6">
      <t>ハル</t>
    </rPh>
    <phoneticPr fontId="1"/>
  </si>
  <si>
    <t>クラウドアドバイザ</t>
    <phoneticPr fontId="1"/>
  </si>
  <si>
    <t>SaaS</t>
    <phoneticPr fontId="1"/>
  </si>
  <si>
    <t>PM2-2</t>
  </si>
  <si>
    <t>PM2-2</t>
    <phoneticPr fontId="1"/>
  </si>
  <si>
    <t>サービスを向上でIT活用</t>
    <rPh sb="5" eb="7">
      <t>コウジョウ</t>
    </rPh>
    <rPh sb="10" eb="12">
      <t>カツヨウ</t>
    </rPh>
    <phoneticPr fontId="1"/>
  </si>
  <si>
    <t>テレワーク整備</t>
    <rPh sb="5" eb="7">
      <t>セイビ</t>
    </rPh>
    <phoneticPr fontId="1"/>
  </si>
  <si>
    <t>UTMはセキュリティ機能</t>
    <rPh sb="10" eb="12">
      <t>キノウ</t>
    </rPh>
    <phoneticPr fontId="1"/>
  </si>
  <si>
    <t>固定IPアドレス割当</t>
    <rPh sb="0" eb="2">
      <t>コテイ</t>
    </rPh>
    <rPh sb="8" eb="10">
      <t>ワリアテ</t>
    </rPh>
    <phoneticPr fontId="1"/>
  </si>
  <si>
    <t>ドメインコントローラ</t>
    <phoneticPr fontId="1"/>
  </si>
  <si>
    <t>UTMはステートフル</t>
    <phoneticPr fontId="1"/>
  </si>
  <si>
    <t>LANセグメント</t>
    <phoneticPr fontId="1"/>
  </si>
  <si>
    <t>SSID事前共有鍵</t>
    <rPh sb="4" eb="9">
      <t>ジゼンキョウユウカギ</t>
    </rPh>
    <phoneticPr fontId="1"/>
  </si>
  <si>
    <t>WPA2を運用</t>
    <rPh sb="5" eb="7">
      <t>ウンヨウ</t>
    </rPh>
    <phoneticPr fontId="1"/>
  </si>
  <si>
    <t>C-PCローカルログイン</t>
    <phoneticPr fontId="1"/>
  </si>
  <si>
    <t>侵入社員配属</t>
    <rPh sb="0" eb="2">
      <t>シンニュウ</t>
    </rPh>
    <rPh sb="2" eb="4">
      <t>シャイン</t>
    </rPh>
    <rPh sb="4" eb="6">
      <t>ハイゾク</t>
    </rPh>
    <phoneticPr fontId="1"/>
  </si>
  <si>
    <t>C-PC個人所有機</t>
    <rPh sb="4" eb="9">
      <t>コジンショユウキ</t>
    </rPh>
    <phoneticPr fontId="1"/>
  </si>
  <si>
    <t>業務SVにアクセスできない</t>
    <rPh sb="0" eb="2">
      <t>ギョウム</t>
    </rPh>
    <phoneticPr fontId="1"/>
  </si>
  <si>
    <t>1-1</t>
    <phoneticPr fontId="1"/>
  </si>
  <si>
    <t>オ</t>
    <phoneticPr fontId="1"/>
  </si>
  <si>
    <t>1-2</t>
    <phoneticPr fontId="1"/>
  </si>
  <si>
    <t>DHCPサーバーが割り当て可能なIPアドレスを使い切ってしまった。</t>
    <rPh sb="9" eb="10">
      <t>ワ</t>
    </rPh>
    <rPh sb="11" eb="12">
      <t>ア</t>
    </rPh>
    <rPh sb="13" eb="15">
      <t>カノウ</t>
    </rPh>
    <rPh sb="23" eb="24">
      <t>ツカ</t>
    </rPh>
    <rPh sb="25" eb="26">
      <t>キ</t>
    </rPh>
    <phoneticPr fontId="1"/>
  </si>
  <si>
    <t>1-3</t>
    <phoneticPr fontId="1"/>
  </si>
  <si>
    <t>L2SWにミラーポートを設定し、そのポートにLANモニタを接続してDHCP OFFERの数を確認する。</t>
    <rPh sb="12" eb="14">
      <t>セッテイ</t>
    </rPh>
    <rPh sb="29" eb="31">
      <t>セツゾク</t>
    </rPh>
    <rPh sb="44" eb="45">
      <t>カズ</t>
    </rPh>
    <rPh sb="46" eb="48">
      <t>カクニン</t>
    </rPh>
    <phoneticPr fontId="1"/>
  </si>
  <si>
    <t>RとSaaS</t>
    <phoneticPr fontId="1"/>
  </si>
  <si>
    <t>サービスW</t>
    <phoneticPr fontId="1"/>
  </si>
  <si>
    <t>パスw－度漏洩の事故</t>
    <rPh sb="4" eb="5">
      <t>ド</t>
    </rPh>
    <rPh sb="5" eb="7">
      <t>ロウエイ</t>
    </rPh>
    <rPh sb="8" eb="10">
      <t>ジコ</t>
    </rPh>
    <phoneticPr fontId="1"/>
  </si>
  <si>
    <t>アクセスログの調査</t>
    <rPh sb="7" eb="9">
      <t>チョウサ</t>
    </rPh>
    <phoneticPr fontId="1"/>
  </si>
  <si>
    <t>Rにセキュリティ</t>
    <phoneticPr fontId="1"/>
  </si>
  <si>
    <t>Wで漏洩</t>
    <rPh sb="2" eb="4">
      <t>ロウエイ</t>
    </rPh>
    <phoneticPr fontId="1"/>
  </si>
  <si>
    <t>2</t>
    <phoneticPr fontId="1"/>
  </si>
  <si>
    <t>企画部のメンバー間で共有されているチャットの情報</t>
    <rPh sb="0" eb="2">
      <t>キカク</t>
    </rPh>
    <rPh sb="2" eb="3">
      <t>ブ</t>
    </rPh>
    <rPh sb="8" eb="9">
      <t>アイダ</t>
    </rPh>
    <rPh sb="10" eb="12">
      <t>キョウユウ</t>
    </rPh>
    <rPh sb="22" eb="24">
      <t>ジョウホウ</t>
    </rPh>
    <phoneticPr fontId="1"/>
  </si>
  <si>
    <t>3-1</t>
    <phoneticPr fontId="1"/>
  </si>
  <si>
    <t>a: C-PC</t>
    <phoneticPr fontId="1"/>
  </si>
  <si>
    <t>b: AP</t>
    <phoneticPr fontId="1"/>
  </si>
  <si>
    <t>DHCPによるIPアドレスの配布がないことを確認する。</t>
    <rPh sb="14" eb="16">
      <t>ハイフ</t>
    </rPh>
    <rPh sb="22" eb="24">
      <t>カクニン</t>
    </rPh>
    <phoneticPr fontId="1"/>
  </si>
  <si>
    <t>3-2</t>
    <phoneticPr fontId="1"/>
  </si>
  <si>
    <t>イ</t>
    <phoneticPr fontId="1"/>
  </si>
  <si>
    <t>4-1</t>
    <phoneticPr fontId="1"/>
  </si>
  <si>
    <t>SAML</t>
    <phoneticPr fontId="1"/>
  </si>
  <si>
    <t>Qと連携できる</t>
    <rPh sb="2" eb="4">
      <t>レンケイ</t>
    </rPh>
    <phoneticPr fontId="1"/>
  </si>
  <si>
    <t>顧客への提案や立案の業務</t>
    <rPh sb="0" eb="2">
      <t>コキャク</t>
    </rPh>
    <rPh sb="4" eb="6">
      <t>テイアン</t>
    </rPh>
    <rPh sb="7" eb="9">
      <t>リツアン</t>
    </rPh>
    <rPh sb="10" eb="12">
      <t>ギョウム</t>
    </rPh>
    <phoneticPr fontId="1"/>
  </si>
  <si>
    <t>4-2</t>
    <phoneticPr fontId="1"/>
  </si>
  <si>
    <t>4-3</t>
    <phoneticPr fontId="1"/>
  </si>
  <si>
    <t>4-4</t>
    <phoneticPr fontId="1"/>
  </si>
  <si>
    <t>ア</t>
    <phoneticPr fontId="1"/>
  </si>
  <si>
    <t>5-1</t>
    <phoneticPr fontId="1"/>
  </si>
  <si>
    <t>ISMS認証</t>
    <rPh sb="4" eb="6">
      <t>ニンショウ</t>
    </rPh>
    <phoneticPr fontId="1"/>
  </si>
  <si>
    <t>5-2</t>
    <phoneticPr fontId="1"/>
  </si>
  <si>
    <t>6-1</t>
    <phoneticPr fontId="1"/>
  </si>
  <si>
    <t>秘密鍵をコピーして持ち出せないようにする</t>
    <rPh sb="0" eb="3">
      <t>ヒミツカギ</t>
    </rPh>
    <rPh sb="9" eb="10">
      <t>モ</t>
    </rPh>
    <rPh sb="11" eb="12">
      <t>ダ</t>
    </rPh>
    <phoneticPr fontId="1"/>
  </si>
  <si>
    <t>6-2</t>
    <phoneticPr fontId="1"/>
  </si>
  <si>
    <t>Pソフト</t>
    <phoneticPr fontId="1"/>
  </si>
  <si>
    <t>一般利用者権限ではPソフトの設定を変更できないようにする</t>
    <rPh sb="0" eb="2">
      <t>イッパン</t>
    </rPh>
    <rPh sb="2" eb="5">
      <t>リヨウシャ</t>
    </rPh>
    <rPh sb="5" eb="7">
      <t>ケンゲン</t>
    </rPh>
    <rPh sb="14" eb="16">
      <t>セッテイ</t>
    </rPh>
    <rPh sb="17" eb="19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</si>
</sst>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17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workbookViewId="0">
      <selection activeCell="H6" sqref="H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16</v>
      </c>
      <c r="D2">
        <v>92</v>
      </c>
      <c r="E2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31EC-8DB5-4706-984F-8951194B66EF}">
  <sheetPr codeName="Sheet4"/>
  <dimension ref="A1:M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47.125" style="1" customWidth="1"/>
    <col min="3" max="3" width="9.75" customWidth="1"/>
  </cols>
  <sheetData>
    <row r="1" spans="1:13">
      <c r="A1" s="2" t="s">
        <v>0</v>
      </c>
      <c r="B1" s="4" t="s">
        <v>13</v>
      </c>
      <c r="H1" t="s">
        <v>22</v>
      </c>
    </row>
    <row r="2" spans="1:13">
      <c r="A2" s="2" t="s">
        <v>2</v>
      </c>
      <c r="B2" s="3" t="s">
        <v>17</v>
      </c>
      <c r="D2">
        <f>SUM(D4:D1001)</f>
        <v>92</v>
      </c>
      <c r="E2">
        <f>SUM(E4:E1001)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31</v>
      </c>
      <c r="B4" s="1" t="s">
        <v>32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14</v>
      </c>
      <c r="I4" t="s">
        <v>22</v>
      </c>
      <c r="K4" t="s">
        <v>28</v>
      </c>
      <c r="M4" t="s">
        <v>40</v>
      </c>
    </row>
    <row r="5" spans="1:13" ht="37.5">
      <c r="A5" s="2" t="s">
        <v>33</v>
      </c>
      <c r="B5" s="1" t="s">
        <v>34</v>
      </c>
      <c r="C5">
        <f t="shared" ref="C5:C69" si="0">IF(B5&lt;&gt;"",LEN(B5),"")</f>
        <v>33</v>
      </c>
      <c r="D5">
        <f t="shared" ref="D5:D20" si="1">E5*F5</f>
        <v>8</v>
      </c>
      <c r="E5">
        <v>8</v>
      </c>
      <c r="F5">
        <v>1</v>
      </c>
      <c r="G5" t="s">
        <v>15</v>
      </c>
      <c r="I5" t="s">
        <v>23</v>
      </c>
      <c r="K5" t="s">
        <v>29</v>
      </c>
      <c r="M5" t="s">
        <v>41</v>
      </c>
    </row>
    <row r="6" spans="1:13" ht="37.5">
      <c r="A6" s="2" t="s">
        <v>35</v>
      </c>
      <c r="B6" s="1" t="s">
        <v>36</v>
      </c>
      <c r="C6">
        <f t="shared" si="0"/>
        <v>51</v>
      </c>
      <c r="D6">
        <f t="shared" si="1"/>
        <v>10</v>
      </c>
      <c r="E6">
        <v>10</v>
      </c>
      <c r="F6">
        <v>1</v>
      </c>
      <c r="G6" t="s">
        <v>18</v>
      </c>
      <c r="I6" t="s">
        <v>24</v>
      </c>
      <c r="K6" t="s">
        <v>30</v>
      </c>
      <c r="M6" t="s">
        <v>42</v>
      </c>
    </row>
    <row r="7" spans="1:13">
      <c r="B7" s="1" t="s">
        <v>48</v>
      </c>
      <c r="C7">
        <f t="shared" si="0"/>
        <v>27</v>
      </c>
      <c r="D7">
        <f t="shared" si="1"/>
        <v>8</v>
      </c>
      <c r="E7">
        <v>8</v>
      </c>
      <c r="F7">
        <v>1</v>
      </c>
      <c r="M7" t="s">
        <v>52</v>
      </c>
    </row>
    <row r="8" spans="1:13">
      <c r="A8" s="2" t="s">
        <v>43</v>
      </c>
      <c r="B8" s="1" t="s">
        <v>44</v>
      </c>
      <c r="C8">
        <f t="shared" si="0"/>
        <v>24</v>
      </c>
      <c r="D8">
        <f t="shared" si="1"/>
        <v>8</v>
      </c>
      <c r="E8">
        <v>8</v>
      </c>
      <c r="F8">
        <v>1</v>
      </c>
      <c r="G8" t="s">
        <v>19</v>
      </c>
      <c r="I8" t="s">
        <v>25</v>
      </c>
      <c r="K8" t="s">
        <v>37</v>
      </c>
      <c r="M8" t="s">
        <v>53</v>
      </c>
    </row>
    <row r="9" spans="1:13">
      <c r="A9" s="2" t="s">
        <v>45</v>
      </c>
      <c r="B9" s="1" t="s">
        <v>46</v>
      </c>
      <c r="C9">
        <f t="shared" si="0"/>
        <v>7</v>
      </c>
      <c r="D9">
        <f t="shared" si="1"/>
        <v>6</v>
      </c>
      <c r="E9">
        <v>6</v>
      </c>
      <c r="F9">
        <v>1</v>
      </c>
      <c r="G9" t="s">
        <v>20</v>
      </c>
      <c r="I9" t="s">
        <v>26</v>
      </c>
      <c r="K9" t="s">
        <v>38</v>
      </c>
    </row>
    <row r="10" spans="1:13">
      <c r="B10" s="1" t="s">
        <v>47</v>
      </c>
      <c r="C10">
        <f t="shared" si="0"/>
        <v>5</v>
      </c>
      <c r="D10">
        <f t="shared" si="1"/>
        <v>6</v>
      </c>
      <c r="E10">
        <v>6</v>
      </c>
      <c r="F10">
        <v>1</v>
      </c>
      <c r="G10" t="s">
        <v>21</v>
      </c>
      <c r="I10" t="s">
        <v>27</v>
      </c>
      <c r="K10" t="s">
        <v>39</v>
      </c>
    </row>
    <row r="11" spans="1:13">
      <c r="A11" s="2" t="s">
        <v>49</v>
      </c>
      <c r="B11" s="1" t="s">
        <v>50</v>
      </c>
      <c r="C11">
        <f t="shared" si="0"/>
        <v>1</v>
      </c>
      <c r="D11">
        <f t="shared" si="1"/>
        <v>0</v>
      </c>
      <c r="E11">
        <v>4</v>
      </c>
      <c r="F11">
        <v>0</v>
      </c>
    </row>
    <row r="12" spans="1:13">
      <c r="A12" s="2" t="s">
        <v>51</v>
      </c>
      <c r="B12" s="1" t="s">
        <v>54</v>
      </c>
      <c r="C12">
        <f t="shared" si="0"/>
        <v>12</v>
      </c>
      <c r="D12">
        <f t="shared" si="1"/>
        <v>6</v>
      </c>
      <c r="E12">
        <v>6</v>
      </c>
      <c r="F12">
        <v>1</v>
      </c>
    </row>
    <row r="13" spans="1:13">
      <c r="A13" s="2" t="s">
        <v>55</v>
      </c>
      <c r="B13" s="1">
        <v>2</v>
      </c>
      <c r="C13">
        <f t="shared" si="0"/>
        <v>1</v>
      </c>
      <c r="D13">
        <f t="shared" si="1"/>
        <v>4</v>
      </c>
      <c r="E13">
        <v>4</v>
      </c>
      <c r="F13">
        <v>1</v>
      </c>
    </row>
    <row r="14" spans="1:13">
      <c r="A14" s="2" t="s">
        <v>56</v>
      </c>
      <c r="B14" s="1">
        <v>1</v>
      </c>
      <c r="C14">
        <f t="shared" si="0"/>
        <v>1</v>
      </c>
      <c r="D14">
        <f t="shared" si="1"/>
        <v>4</v>
      </c>
      <c r="E14">
        <v>4</v>
      </c>
      <c r="F14">
        <v>1</v>
      </c>
    </row>
    <row r="15" spans="1:13">
      <c r="A15" s="2" t="s">
        <v>57</v>
      </c>
      <c r="B15" s="1" t="s">
        <v>58</v>
      </c>
      <c r="C15">
        <f t="shared" si="0"/>
        <v>1</v>
      </c>
      <c r="D15">
        <f t="shared" si="1"/>
        <v>0</v>
      </c>
      <c r="E15">
        <v>4</v>
      </c>
      <c r="F15">
        <v>0</v>
      </c>
    </row>
    <row r="16" spans="1:13">
      <c r="A16" s="2" t="s">
        <v>59</v>
      </c>
      <c r="B16" s="1" t="s">
        <v>60</v>
      </c>
      <c r="C16">
        <f t="shared" si="0"/>
        <v>6</v>
      </c>
      <c r="D16">
        <f t="shared" si="1"/>
        <v>6</v>
      </c>
      <c r="E16">
        <v>6</v>
      </c>
      <c r="F16">
        <v>1</v>
      </c>
    </row>
    <row r="17" spans="1:6">
      <c r="A17" s="2" t="s">
        <v>61</v>
      </c>
      <c r="B17" s="1">
        <v>4</v>
      </c>
      <c r="C17">
        <f t="shared" si="0"/>
        <v>1</v>
      </c>
      <c r="D17">
        <f t="shared" si="1"/>
        <v>4</v>
      </c>
      <c r="E17">
        <v>4</v>
      </c>
      <c r="F17">
        <v>1</v>
      </c>
    </row>
    <row r="18" spans="1:6">
      <c r="A18" s="2" t="s">
        <v>62</v>
      </c>
      <c r="B18" s="1" t="s">
        <v>63</v>
      </c>
      <c r="C18">
        <f t="shared" si="0"/>
        <v>20</v>
      </c>
      <c r="D18">
        <f t="shared" si="1"/>
        <v>8</v>
      </c>
      <c r="E18">
        <v>8</v>
      </c>
      <c r="F18">
        <v>1</v>
      </c>
    </row>
    <row r="19" spans="1:6">
      <c r="A19" s="2" t="s">
        <v>64</v>
      </c>
      <c r="B19" s="1" t="s">
        <v>65</v>
      </c>
      <c r="C19">
        <f t="shared" si="0"/>
        <v>4</v>
      </c>
      <c r="D19">
        <f t="shared" si="1"/>
        <v>0</v>
      </c>
    </row>
    <row r="20" spans="1:6" ht="37.5">
      <c r="B20" s="1" t="s">
        <v>66</v>
      </c>
      <c r="C20">
        <f t="shared" si="0"/>
        <v>28</v>
      </c>
      <c r="D20">
        <f t="shared" si="1"/>
        <v>10</v>
      </c>
      <c r="E20">
        <v>10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00E7-8028-43A8-A995-08DECAFAA5DB}">
  <sheetPr codeName="Sheet5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" sqref="B2"/>
    </sheetView>
  </sheetViews>
  <sheetFormatPr defaultRowHeight="18.75"/>
  <cols>
    <col min="1" max="1" width="9" style="2"/>
    <col min="2" max="2" width="48.25" style="1" customWidth="1"/>
    <col min="3" max="3" width="9.75" customWidth="1"/>
  </cols>
  <sheetData>
    <row r="1" spans="1:5">
      <c r="A1" s="2" t="s">
        <v>0</v>
      </c>
      <c r="B1" s="4" t="s">
        <v>13</v>
      </c>
    </row>
    <row r="2" spans="1:5">
      <c r="A2" s="2" t="s">
        <v>2</v>
      </c>
      <c r="B2" s="3" t="s">
        <v>17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2025-03-16T00:16:34Z</dcterms:modified>
</cp:coreProperties>
</file>