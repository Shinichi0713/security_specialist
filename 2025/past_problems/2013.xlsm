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shinaga\Documents\Python Scripts\security_specialist\2025\past_problems\"/>
    </mc:Choice>
  </mc:AlternateContent>
  <xr:revisionPtr revIDLastSave="0" documentId="13_ncr:1_{EB669208-7915-496E-816D-3B508C503351}" xr6:coauthVersionLast="47" xr6:coauthVersionMax="47" xr10:uidLastSave="{00000000-0000-0000-0000-000000000000}"/>
  <bookViews>
    <workbookView xWindow="7365" yWindow="945" windowWidth="15075" windowHeight="11295" activeTab="2" xr2:uid="{00000000-000D-0000-FFFF-FFFF00000000}"/>
  </bookViews>
  <sheets>
    <sheet name="レビュー" sheetId="2" r:id="rId1"/>
    <sheet name="format" sheetId="4" r:id="rId2"/>
    <sheet name="1" sheetId="5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67" i="5" l="1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E2" i="5"/>
  <c r="D2" i="5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E2" i="4"/>
  <c r="D2" i="4"/>
</calcChain>
</file>

<file path=xl/sharedStrings.xml><?xml version="1.0" encoding="utf-8"?>
<sst xmlns="http://schemas.openxmlformats.org/spreadsheetml/2006/main" count="62" uniqueCount="54">
  <si>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</si>
  <si>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</si>
  <si>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</si>
  <si>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</si>
  <si>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</si>
  <si>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</si>
  <si>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</si>
  <si>
    <t>問題集</t>
    <rPh sb="0" eb="3">
      <t>モンダイシュウ</t>
    </rPh>
    <phoneticPr fontId="1"/>
  </si>
  <si>
    <t>大問</t>
    <rPh sb="0" eb="2">
      <t>ダイモン</t>
    </rPh>
    <phoneticPr fontId="1"/>
  </si>
  <si>
    <t>得点</t>
    <rPh sb="0" eb="2">
      <t>トクテン</t>
    </rPh>
    <phoneticPr fontId="1"/>
  </si>
  <si>
    <t>不正解の問題</t>
    <rPh sb="0" eb="3">
      <t>フセイカイ</t>
    </rPh>
    <rPh sb="4" eb="6">
      <t>モンダイ</t>
    </rPh>
    <phoneticPr fontId="1"/>
  </si>
  <si>
    <t>シート番号</t>
    <rPh sb="3" eb="5">
      <t>バンゴウ</t>
    </rPh>
    <phoneticPr fontId="1"/>
  </si>
  <si>
    <t>U社ソフトウェア</t>
    <rPh sb="1" eb="2">
      <t>シャ</t>
    </rPh>
    <phoneticPr fontId="1"/>
  </si>
  <si>
    <t>2013-春</t>
    <rPh sb="5" eb="6">
      <t>ハル</t>
    </rPh>
    <phoneticPr fontId="1"/>
  </si>
  <si>
    <t>PM2-2</t>
    <phoneticPr fontId="1"/>
  </si>
  <si>
    <t>機械部品メーカ</t>
    <rPh sb="0" eb="4">
      <t>キカイブヒン</t>
    </rPh>
    <phoneticPr fontId="1"/>
  </si>
  <si>
    <t>８か所に営業所</t>
    <rPh sb="2" eb="3">
      <t>ショ</t>
    </rPh>
    <rPh sb="4" eb="7">
      <t>エイギョウショ</t>
    </rPh>
    <phoneticPr fontId="1"/>
  </si>
  <si>
    <t>本社システム部</t>
    <rPh sb="0" eb="2">
      <t>ホンシャ</t>
    </rPh>
    <rPh sb="6" eb="7">
      <t>ブ</t>
    </rPh>
    <phoneticPr fontId="1"/>
  </si>
  <si>
    <t>W社は特許取得</t>
    <rPh sb="1" eb="2">
      <t>シャ</t>
    </rPh>
    <rPh sb="3" eb="7">
      <t>トッキョシュトク</t>
    </rPh>
    <phoneticPr fontId="1"/>
  </si>
  <si>
    <t>特許検討</t>
    <rPh sb="0" eb="4">
      <t>トッキョケントウ</t>
    </rPh>
    <phoneticPr fontId="1"/>
  </si>
  <si>
    <t>特許庁に出願</t>
    <rPh sb="0" eb="3">
      <t>トッキョチョウ</t>
    </rPh>
    <rPh sb="4" eb="6">
      <t>シュツガン</t>
    </rPh>
    <phoneticPr fontId="1"/>
  </si>
  <si>
    <t>ノウハウといて秘匿</t>
    <rPh sb="7" eb="9">
      <t>ヒトク</t>
    </rPh>
    <phoneticPr fontId="1"/>
  </si>
  <si>
    <t>電子ファイルとして30年</t>
    <rPh sb="0" eb="2">
      <t>デンシ</t>
    </rPh>
    <rPh sb="11" eb="12">
      <t>ネン</t>
    </rPh>
    <phoneticPr fontId="1"/>
  </si>
  <si>
    <t>1</t>
    <phoneticPr fontId="1"/>
  </si>
  <si>
    <t>ノウハウとして秘匿</t>
    <rPh sb="7" eb="9">
      <t>ヒトク</t>
    </rPh>
    <phoneticPr fontId="1"/>
  </si>
  <si>
    <t>検討会の確定日付</t>
    <rPh sb="0" eb="3">
      <t>ケントウカイ</t>
    </rPh>
    <rPh sb="4" eb="8">
      <t>カクテイヒヅケ</t>
    </rPh>
    <phoneticPr fontId="1"/>
  </si>
  <si>
    <t>特許検討会</t>
    <rPh sb="0" eb="2">
      <t>トッキョ</t>
    </rPh>
    <rPh sb="2" eb="5">
      <t>ケントウカイ</t>
    </rPh>
    <phoneticPr fontId="1"/>
  </si>
  <si>
    <t>スキャン</t>
    <phoneticPr fontId="1"/>
  </si>
  <si>
    <t>公証人とハ</t>
    <rPh sb="0" eb="3">
      <t>コウショウニン</t>
    </rPh>
    <phoneticPr fontId="1"/>
  </si>
  <si>
    <t>先使用を確保</t>
    <rPh sb="0" eb="3">
      <t>サキシヨウ</t>
    </rPh>
    <rPh sb="4" eb="6">
      <t>カクホ</t>
    </rPh>
    <phoneticPr fontId="1"/>
  </si>
  <si>
    <t>授業イン検索</t>
    <rPh sb="0" eb="2">
      <t>ジュギョウ</t>
    </rPh>
    <rPh sb="4" eb="6">
      <t>ケンサク</t>
    </rPh>
    <phoneticPr fontId="1"/>
  </si>
  <si>
    <t>公開webサーバー</t>
    <rPh sb="0" eb="2">
      <t>コウカイ</t>
    </rPh>
    <phoneticPr fontId="1"/>
  </si>
  <si>
    <t>PC管理システム</t>
    <rPh sb="2" eb="4">
      <t>カンリ</t>
    </rPh>
    <phoneticPr fontId="1"/>
  </si>
  <si>
    <t>公証人の確定日付</t>
    <rPh sb="0" eb="3">
      <t>コウショウニン</t>
    </rPh>
    <rPh sb="4" eb="8">
      <t>カクテイヒヅケ</t>
    </rPh>
    <phoneticPr fontId="1"/>
  </si>
  <si>
    <t>W社の情報システム</t>
    <rPh sb="1" eb="2">
      <t>シャ</t>
    </rPh>
    <rPh sb="3" eb="5">
      <t>ジョウホウ</t>
    </rPh>
    <phoneticPr fontId="1"/>
  </si>
  <si>
    <t>a: NTP</t>
    <phoneticPr fontId="1"/>
  </si>
  <si>
    <t>b: DKIM</t>
    <phoneticPr fontId="1"/>
  </si>
  <si>
    <t>2hでDL</t>
    <phoneticPr fontId="1"/>
  </si>
  <si>
    <t>プロキシ経由でDL</t>
    <rPh sb="4" eb="6">
      <t>ケイユ</t>
    </rPh>
    <phoneticPr fontId="1"/>
  </si>
  <si>
    <t>NPCはDHCP</t>
    <phoneticPr fontId="1"/>
  </si>
  <si>
    <t>メールボックス</t>
    <phoneticPr fontId="1"/>
  </si>
  <si>
    <t>POP3使用</t>
    <rPh sb="4" eb="6">
      <t>シヨウ</t>
    </rPh>
    <phoneticPr fontId="1"/>
  </si>
  <si>
    <t>15minでDL</t>
    <phoneticPr fontId="1"/>
  </si>
  <si>
    <t>オープンリレー</t>
    <phoneticPr fontId="1"/>
  </si>
  <si>
    <t>2-(1)</t>
    <phoneticPr fontId="1"/>
  </si>
  <si>
    <t>社内から社内のメールについてもウイルススキャンを行うことが出来るため</t>
    <rPh sb="0" eb="2">
      <t>シャナイ</t>
    </rPh>
    <rPh sb="4" eb="6">
      <t>シャナイ</t>
    </rPh>
    <rPh sb="24" eb="25">
      <t>オコナ</t>
    </rPh>
    <rPh sb="29" eb="31">
      <t>デキ</t>
    </rPh>
    <phoneticPr fontId="1"/>
  </si>
  <si>
    <t>2-(2)</t>
    <phoneticPr fontId="1"/>
  </si>
  <si>
    <t>2-(3)</t>
    <phoneticPr fontId="1"/>
  </si>
  <si>
    <t>c: 社内メールサーバ</t>
    <rPh sb="3" eb="5">
      <t>シャナイ</t>
    </rPh>
    <phoneticPr fontId="1"/>
  </si>
  <si>
    <t>d: d,e,f</t>
    <phoneticPr fontId="1"/>
  </si>
  <si>
    <t>3</t>
    <phoneticPr fontId="1"/>
  </si>
  <si>
    <t>利用者認証がされない</t>
    <rPh sb="0" eb="3">
      <t>リヨウシャ</t>
    </rPh>
    <rPh sb="3" eb="5">
      <t>ニンショウ</t>
    </rPh>
    <phoneticPr fontId="1"/>
  </si>
  <si>
    <t>送信利用者認証の実現で課題</t>
    <rPh sb="0" eb="5">
      <t>ソウシンリヨウシャ</t>
    </rPh>
    <rPh sb="5" eb="7">
      <t>ニンショウ</t>
    </rPh>
    <rPh sb="8" eb="10">
      <t>ジツゲン</t>
    </rPh>
    <rPh sb="11" eb="13">
      <t>カダイ</t>
    </rPh>
    <phoneticPr fontId="1"/>
  </si>
  <si>
    <t>メール保管検索機能</t>
    <rPh sb="3" eb="5">
      <t>ホカン</t>
    </rPh>
    <rPh sb="5" eb="7">
      <t>ケンサク</t>
    </rPh>
    <rPh sb="7" eb="9">
      <t>キノウ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</si>
</sst>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142875</xdr:colOff>
          <xdr:row>1</xdr:row>
          <xdr:rowOff>38100</xdr:rowOff>
        </xdr:from>
        <xdr:to>
          <xdr:col>14</xdr:col>
          <xdr:colOff>590550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3</xdr:row>
          <xdr:rowOff>104775</xdr:rowOff>
        </xdr:from>
        <xdr:to>
          <xdr:col>14</xdr:col>
          <xdr:colOff>571500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:H2"/>
  <sheetViews>
    <sheetView zoomScale="55" zoomScaleNormal="55" workbookViewId="0">
      <selection activeCell="H3" sqref="H3"/>
    </sheetView>
  </sheetViews>
  <sheetFormatPr defaultRowHeight="18.75"/>
  <cols>
    <col min="2" max="3" width="9" style="2"/>
  </cols>
  <sheetData>
    <row r="1" spans="1:8">
      <c r="A1" t="s">
        <v>11</v>
      </c>
      <c r="B1" s="2" t="s">
        <v>7</v>
      </c>
      <c r="C1" s="2" t="s">
        <v>8</v>
      </c>
      <c r="D1" t="s">
        <v>9</v>
      </c>
      <c r="E1" t="s">
        <v>5</v>
      </c>
      <c r="F1" t="s">
        <v>10</v>
      </c>
    </row>
    <row r="2" spans="1:8">
      <c r="H2" t="s">
        <v>12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13</xdr:col>
                    <xdr:colOff>142875</xdr:colOff>
                    <xdr:row>1</xdr:row>
                    <xdr:rowOff>38100</xdr:rowOff>
                  </from>
                  <to>
                    <xdr:col>14</xdr:col>
                    <xdr:colOff>590550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InformationArchive">
                <anchor moveWithCells="1" sizeWithCells="1">
                  <from>
                    <xdr:col>13</xdr:col>
                    <xdr:colOff>200025</xdr:colOff>
                    <xdr:row>3</xdr:row>
                    <xdr:rowOff>104775</xdr:rowOff>
                  </from>
                  <to>
                    <xdr:col>14</xdr:col>
                    <xdr:colOff>571500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E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2" sqref="B12"/>
    </sheetView>
  </sheetViews>
  <sheetFormatPr defaultRowHeight="18.75"/>
  <cols>
    <col min="1" max="1" width="8.75" style="2"/>
    <col min="2" max="2" width="96.875" style="1" customWidth="1"/>
    <col min="3" max="3" width="9.75" customWidth="1"/>
  </cols>
  <sheetData>
    <row r="1" spans="1:5">
      <c r="A1" s="2" t="s">
        <v>0</v>
      </c>
    </row>
    <row r="2" spans="1:5">
      <c r="A2" s="2" t="s">
        <v>2</v>
      </c>
      <c r="B2" s="3"/>
      <c r="D2">
        <f>SUM(D4:D1000)</f>
        <v>0</v>
      </c>
      <c r="E2">
        <f>SUM(E4:E1000)</f>
        <v>0</v>
      </c>
    </row>
    <row r="3" spans="1: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5">
      <c r="C4" t="str">
        <f>IF(B4&lt;&gt;"",LEN(B4),"")</f>
        <v/>
      </c>
    </row>
    <row r="5" spans="1:5">
      <c r="C5" t="str">
        <f t="shared" ref="C5:C68" si="0">IF(B5&lt;&gt;"",LEN(B5),"")</f>
        <v/>
      </c>
    </row>
    <row r="6" spans="1:5">
      <c r="C6" t="str">
        <f t="shared" si="0"/>
        <v/>
      </c>
    </row>
    <row r="7" spans="1:5">
      <c r="C7" t="str">
        <f t="shared" si="0"/>
        <v/>
      </c>
    </row>
    <row r="8" spans="1:5">
      <c r="C8" t="str">
        <f t="shared" si="0"/>
        <v/>
      </c>
    </row>
    <row r="9" spans="1:5">
      <c r="C9" t="str">
        <f t="shared" si="0"/>
        <v/>
      </c>
    </row>
    <row r="10" spans="1:5">
      <c r="C10" t="str">
        <f t="shared" si="0"/>
        <v/>
      </c>
    </row>
    <row r="11" spans="1:5">
      <c r="C11" t="str">
        <f t="shared" si="0"/>
        <v/>
      </c>
    </row>
    <row r="12" spans="1:5">
      <c r="C12" t="str">
        <f t="shared" si="0"/>
        <v/>
      </c>
    </row>
    <row r="13" spans="1:5">
      <c r="C13" t="str">
        <f t="shared" si="0"/>
        <v/>
      </c>
    </row>
    <row r="14" spans="1:5">
      <c r="C14" t="str">
        <f t="shared" si="0"/>
        <v/>
      </c>
    </row>
    <row r="15" spans="1:5">
      <c r="C15" t="str">
        <f t="shared" si="0"/>
        <v/>
      </c>
    </row>
    <row r="16" spans="1: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A00731-0B48-4306-A650-8192985A6605}">
  <sheetPr codeName="Sheet4"/>
  <dimension ref="A1:O167"/>
  <sheetViews>
    <sheetView tabSelected="1"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9" sqref="B9"/>
    </sheetView>
  </sheetViews>
  <sheetFormatPr defaultRowHeight="18.75"/>
  <cols>
    <col min="1" max="1" width="9" style="2"/>
    <col min="2" max="2" width="59.875" style="1" customWidth="1"/>
    <col min="3" max="3" width="9.75" customWidth="1"/>
  </cols>
  <sheetData>
    <row r="1" spans="1:15">
      <c r="A1" s="2" t="s">
        <v>0</v>
      </c>
      <c r="B1" s="1" t="s">
        <v>13</v>
      </c>
    </row>
    <row r="2" spans="1:15">
      <c r="A2" s="2" t="s">
        <v>2</v>
      </c>
      <c r="B2" s="3" t="s">
        <v>14</v>
      </c>
      <c r="D2">
        <f>SUM(D4:D1000)</f>
        <v>0</v>
      </c>
      <c r="E2">
        <f>SUM(E4:E1000)</f>
        <v>0</v>
      </c>
    </row>
    <row r="3" spans="1:1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5">
      <c r="A4" s="2" t="s">
        <v>23</v>
      </c>
      <c r="B4" s="1" t="s">
        <v>35</v>
      </c>
      <c r="C4">
        <f>IF(B4&lt;&gt;"",LEN(B4),"")</f>
        <v>6</v>
      </c>
      <c r="F4">
        <v>1</v>
      </c>
      <c r="G4" t="s">
        <v>15</v>
      </c>
      <c r="I4" t="s">
        <v>24</v>
      </c>
      <c r="K4" t="s">
        <v>31</v>
      </c>
      <c r="M4" t="s">
        <v>40</v>
      </c>
      <c r="O4" t="s">
        <v>51</v>
      </c>
    </row>
    <row r="5" spans="1:15">
      <c r="B5" s="1" t="s">
        <v>36</v>
      </c>
      <c r="C5">
        <f t="shared" ref="C5:C68" si="0">IF(B5&lt;&gt;"",LEN(B5),"")</f>
        <v>7</v>
      </c>
      <c r="F5">
        <v>1</v>
      </c>
      <c r="G5" t="s">
        <v>16</v>
      </c>
      <c r="I5" t="s">
        <v>25</v>
      </c>
      <c r="K5" t="s">
        <v>32</v>
      </c>
      <c r="M5" t="s">
        <v>41</v>
      </c>
      <c r="O5" t="s">
        <v>52</v>
      </c>
    </row>
    <row r="6" spans="1:15" ht="37.5">
      <c r="A6" s="2" t="s">
        <v>44</v>
      </c>
      <c r="B6" s="1" t="s">
        <v>45</v>
      </c>
      <c r="C6">
        <f t="shared" si="0"/>
        <v>34</v>
      </c>
      <c r="F6">
        <v>1</v>
      </c>
      <c r="G6" t="s">
        <v>17</v>
      </c>
      <c r="I6" t="s">
        <v>26</v>
      </c>
      <c r="K6" t="s">
        <v>33</v>
      </c>
      <c r="M6" t="s">
        <v>42</v>
      </c>
      <c r="O6" t="s">
        <v>53</v>
      </c>
    </row>
    <row r="7" spans="1:15">
      <c r="A7" s="2" t="s">
        <v>46</v>
      </c>
      <c r="B7" s="1" t="s">
        <v>48</v>
      </c>
      <c r="C7">
        <f t="shared" si="0"/>
        <v>11</v>
      </c>
      <c r="F7">
        <v>1</v>
      </c>
      <c r="G7" t="s">
        <v>18</v>
      </c>
      <c r="I7" t="s">
        <v>27</v>
      </c>
      <c r="K7" t="s">
        <v>34</v>
      </c>
      <c r="M7" t="s">
        <v>43</v>
      </c>
    </row>
    <row r="8" spans="1:15">
      <c r="A8" s="2" t="s">
        <v>47</v>
      </c>
      <c r="B8" s="1" t="s">
        <v>49</v>
      </c>
      <c r="C8">
        <f t="shared" si="0"/>
        <v>8</v>
      </c>
      <c r="F8">
        <v>1</v>
      </c>
      <c r="G8" t="s">
        <v>19</v>
      </c>
      <c r="I8" t="s">
        <v>28</v>
      </c>
      <c r="K8" t="s">
        <v>37</v>
      </c>
    </row>
    <row r="9" spans="1:15">
      <c r="A9" s="2" t="s">
        <v>50</v>
      </c>
      <c r="C9" t="str">
        <f t="shared" si="0"/>
        <v/>
      </c>
      <c r="G9" t="s">
        <v>20</v>
      </c>
      <c r="I9" t="s">
        <v>29</v>
      </c>
      <c r="K9" t="s">
        <v>38</v>
      </c>
    </row>
    <row r="10" spans="1:15">
      <c r="C10" t="str">
        <f t="shared" si="0"/>
        <v/>
      </c>
      <c r="G10" t="s">
        <v>21</v>
      </c>
      <c r="I10" t="s">
        <v>30</v>
      </c>
      <c r="K10" t="s">
        <v>39</v>
      </c>
    </row>
    <row r="11" spans="1:15">
      <c r="C11" t="str">
        <f t="shared" si="0"/>
        <v/>
      </c>
      <c r="G11" t="s">
        <v>22</v>
      </c>
    </row>
    <row r="12" spans="1:15">
      <c r="C12" t="str">
        <f t="shared" si="0"/>
        <v/>
      </c>
    </row>
    <row r="13" spans="1:15">
      <c r="C13" t="str">
        <f t="shared" si="0"/>
        <v/>
      </c>
    </row>
    <row r="14" spans="1:15">
      <c r="C14" t="str">
        <f t="shared" si="0"/>
        <v/>
      </c>
    </row>
    <row r="15" spans="1:15">
      <c r="C15" t="str">
        <f t="shared" si="0"/>
        <v/>
      </c>
    </row>
    <row r="16" spans="1:1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レビュー</vt:lpstr>
      <vt:lpstr>format</vt:lpstr>
      <vt:lpstr>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信一 吉永</cp:lastModifiedBy>
  <dcterms:created xsi:type="dcterms:W3CDTF">2015-06-05T18:19:34Z</dcterms:created>
  <dcterms:modified xsi:type="dcterms:W3CDTF">2025-02-22T10:36:35Z</dcterms:modified>
</cp:coreProperties>
</file>