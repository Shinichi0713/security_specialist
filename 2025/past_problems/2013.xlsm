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DC05BD20-4804-7139-695A-D245BE01A294}"/>
  <workbookPr codeName="ThisWorkbook"/>
  <mc:AlternateContent xmlns:mc="http://schemas.openxmlformats.org/markup-compatibility/2006">
    <mc:Choice Requires="x15">
      <x15ac:absPath xmlns:x15ac="http://schemas.microsoft.com/office/spreadsheetml/2010/11/ac" url="C:\Users\yoshinsh\Documents\python project\personal-trials\security_specialist\2025\past_problems\"/>
    </mc:Choice>
  </mc:AlternateContent>
  <xr:revisionPtr revIDLastSave="0" documentId="13_ncr:1_{B7BD1999-5BC3-42B4-B626-8DDC0B7A6C36}" xr6:coauthVersionLast="47" xr6:coauthVersionMax="47" xr10:uidLastSave="{00000000-0000-0000-0000-000000000000}"/>
  <bookViews>
    <workbookView xWindow="-108" yWindow="-108" windowWidth="23256" windowHeight="14856" xr2:uid="{00000000-000D-0000-FFFF-FFFF00000000}"/>
  </bookViews>
  <sheets>
    <sheet name="レビュー" sheetId="2" r:id="rId1"/>
    <sheet name="format" sheetId="4" r:id="rId2"/>
    <sheet name="1" sheetId="5" r:id="rId3"/>
    <sheet name="2" sheetId="6"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3" i="6" l="1"/>
  <c r="D12" i="6"/>
  <c r="D11" i="6"/>
  <c r="D10" i="6"/>
  <c r="D9" i="6"/>
  <c r="D8" i="6"/>
  <c r="D7" i="6"/>
  <c r="D6" i="6"/>
  <c r="D5" i="6"/>
  <c r="D4" i="6"/>
  <c r="D2" i="6" s="1"/>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C6" i="6"/>
  <c r="C5" i="6"/>
  <c r="C4" i="6"/>
  <c r="E2" i="6"/>
  <c r="D18" i="5"/>
  <c r="D17" i="5"/>
  <c r="D16" i="5"/>
  <c r="D15" i="5"/>
  <c r="D14" i="5"/>
  <c r="D13" i="5"/>
  <c r="D12" i="5"/>
  <c r="D11" i="5"/>
  <c r="D10" i="5"/>
  <c r="D9" i="5"/>
  <c r="D8" i="5"/>
  <c r="D7" i="5"/>
  <c r="D6" i="5"/>
  <c r="D5" i="5"/>
  <c r="D4"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 r="D2" i="5" l="1"/>
</calcChain>
</file>

<file path=xl/sharedStrings.xml><?xml version="1.0" encoding="utf-8"?>
<sst xmlns="http://schemas.openxmlformats.org/spreadsheetml/2006/main" count="114" uniqueCount="97">
  <si>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</si>
  <si>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</si>
  <si>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</si>
  <si>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</si>
  <si>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</si>
  <si>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</si>
  <si>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</si>
  <si>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</si>
  <si>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</si>
  <si>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</si>
  <si>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</si>
  <si>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</si>
  <si>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U社ソフトウェア</t>
    <rPh sb="1" eb="2">
      <t>シャ</t>
    </rPh>
    <phoneticPr fontId="1"/>
  </si>
  <si>
    <t>2013-春</t>
    <rPh sb="5" eb="6">
      <t>ハル</t>
    </rPh>
    <phoneticPr fontId="1"/>
  </si>
  <si>
    <t>PM2-2</t>
    <phoneticPr fontId="1"/>
  </si>
  <si>
    <t>機械部品メーカ</t>
    <rPh sb="0" eb="4">
      <t>キカイブヒン</t>
    </rPh>
    <phoneticPr fontId="1"/>
  </si>
  <si>
    <t>８か所に営業所</t>
    <rPh sb="2" eb="3">
      <t>ショ</t>
    </rPh>
    <rPh sb="4" eb="7">
      <t>エイギョウショ</t>
    </rPh>
    <phoneticPr fontId="1"/>
  </si>
  <si>
    <t>本社システム部</t>
    <rPh sb="0" eb="2">
      <t>ホンシャ</t>
    </rPh>
    <rPh sb="6" eb="7">
      <t>ブ</t>
    </rPh>
    <phoneticPr fontId="1"/>
  </si>
  <si>
    <t>W社は特許取得</t>
    <rPh sb="1" eb="2">
      <t>シャ</t>
    </rPh>
    <rPh sb="3" eb="7">
      <t>トッキョシュトク</t>
    </rPh>
    <phoneticPr fontId="1"/>
  </si>
  <si>
    <t>特許検討</t>
    <rPh sb="0" eb="4">
      <t>トッキョケントウ</t>
    </rPh>
    <phoneticPr fontId="1"/>
  </si>
  <si>
    <t>特許庁に出願</t>
    <rPh sb="0" eb="3">
      <t>トッキョチョウ</t>
    </rPh>
    <rPh sb="4" eb="6">
      <t>シュツガン</t>
    </rPh>
    <phoneticPr fontId="1"/>
  </si>
  <si>
    <t>ノウハウといて秘匿</t>
    <rPh sb="7" eb="9">
      <t>ヒトク</t>
    </rPh>
    <phoneticPr fontId="1"/>
  </si>
  <si>
    <t>電子ファイルとして30年</t>
    <rPh sb="0" eb="2">
      <t>デンシ</t>
    </rPh>
    <rPh sb="11" eb="12">
      <t>ネン</t>
    </rPh>
    <phoneticPr fontId="1"/>
  </si>
  <si>
    <t>1</t>
    <phoneticPr fontId="1"/>
  </si>
  <si>
    <t>ノウハウとして秘匿</t>
    <rPh sb="7" eb="9">
      <t>ヒトク</t>
    </rPh>
    <phoneticPr fontId="1"/>
  </si>
  <si>
    <t>検討会の確定日付</t>
    <rPh sb="0" eb="3">
      <t>ケントウカイ</t>
    </rPh>
    <rPh sb="4" eb="8">
      <t>カクテイヒヅケ</t>
    </rPh>
    <phoneticPr fontId="1"/>
  </si>
  <si>
    <t>特許検討会</t>
    <rPh sb="0" eb="2">
      <t>トッキョ</t>
    </rPh>
    <rPh sb="2" eb="5">
      <t>ケントウカイ</t>
    </rPh>
    <phoneticPr fontId="1"/>
  </si>
  <si>
    <t>スキャン</t>
    <phoneticPr fontId="1"/>
  </si>
  <si>
    <t>公証人とハ</t>
    <rPh sb="0" eb="3">
      <t>コウショウニン</t>
    </rPh>
    <phoneticPr fontId="1"/>
  </si>
  <si>
    <t>先使用を確保</t>
    <rPh sb="0" eb="3">
      <t>サキシヨウ</t>
    </rPh>
    <rPh sb="4" eb="6">
      <t>カクホ</t>
    </rPh>
    <phoneticPr fontId="1"/>
  </si>
  <si>
    <t>授業イン検索</t>
    <rPh sb="0" eb="2">
      <t>ジュギョウ</t>
    </rPh>
    <rPh sb="4" eb="6">
      <t>ケンサク</t>
    </rPh>
    <phoneticPr fontId="1"/>
  </si>
  <si>
    <t>公開webサーバー</t>
    <rPh sb="0" eb="2">
      <t>コウカイ</t>
    </rPh>
    <phoneticPr fontId="1"/>
  </si>
  <si>
    <t>PC管理システム</t>
    <rPh sb="2" eb="4">
      <t>カンリ</t>
    </rPh>
    <phoneticPr fontId="1"/>
  </si>
  <si>
    <t>公証人の確定日付</t>
    <rPh sb="0" eb="3">
      <t>コウショウニン</t>
    </rPh>
    <rPh sb="4" eb="8">
      <t>カクテイヒヅケ</t>
    </rPh>
    <phoneticPr fontId="1"/>
  </si>
  <si>
    <t>W社の情報システム</t>
    <rPh sb="1" eb="2">
      <t>シャ</t>
    </rPh>
    <rPh sb="3" eb="5">
      <t>ジョウホウ</t>
    </rPh>
    <phoneticPr fontId="1"/>
  </si>
  <si>
    <t>a: NTP</t>
    <phoneticPr fontId="1"/>
  </si>
  <si>
    <t>b: DKIM</t>
    <phoneticPr fontId="1"/>
  </si>
  <si>
    <t>2hでDL</t>
    <phoneticPr fontId="1"/>
  </si>
  <si>
    <t>プロキシ経由でDL</t>
    <rPh sb="4" eb="6">
      <t>ケイユ</t>
    </rPh>
    <phoneticPr fontId="1"/>
  </si>
  <si>
    <t>NPCはDHCP</t>
    <phoneticPr fontId="1"/>
  </si>
  <si>
    <t>メールボックス</t>
    <phoneticPr fontId="1"/>
  </si>
  <si>
    <t>POP3使用</t>
    <rPh sb="4" eb="6">
      <t>シヨウ</t>
    </rPh>
    <phoneticPr fontId="1"/>
  </si>
  <si>
    <t>15minでDL</t>
    <phoneticPr fontId="1"/>
  </si>
  <si>
    <t>オープンリレー</t>
    <phoneticPr fontId="1"/>
  </si>
  <si>
    <t>2-(1)</t>
    <phoneticPr fontId="1"/>
  </si>
  <si>
    <t>社内から社内のメールについてもウイルススキャンを行うことが出来るため</t>
    <rPh sb="0" eb="2">
      <t>シャナイ</t>
    </rPh>
    <rPh sb="4" eb="6">
      <t>シャナイ</t>
    </rPh>
    <rPh sb="24" eb="25">
      <t>オコナ</t>
    </rPh>
    <rPh sb="29" eb="31">
      <t>デキ</t>
    </rPh>
    <phoneticPr fontId="1"/>
  </si>
  <si>
    <t>2-(2)</t>
    <phoneticPr fontId="1"/>
  </si>
  <si>
    <t>2-(3)</t>
    <phoneticPr fontId="1"/>
  </si>
  <si>
    <t>c: 社内メールサーバ</t>
    <rPh sb="3" eb="5">
      <t>シャナイ</t>
    </rPh>
    <phoneticPr fontId="1"/>
  </si>
  <si>
    <t>d: d,e,f</t>
    <phoneticPr fontId="1"/>
  </si>
  <si>
    <t>3</t>
    <phoneticPr fontId="1"/>
  </si>
  <si>
    <t>利用者認証がされない</t>
    <rPh sb="0" eb="3">
      <t>リヨウシャ</t>
    </rPh>
    <rPh sb="3" eb="5">
      <t>ニンショウ</t>
    </rPh>
    <phoneticPr fontId="1"/>
  </si>
  <si>
    <t>送信利用者認証の実現で課題</t>
    <rPh sb="0" eb="5">
      <t>ソウシンリヨウシャ</t>
    </rPh>
    <rPh sb="5" eb="7">
      <t>ニンショウ</t>
    </rPh>
    <rPh sb="8" eb="10">
      <t>ジツゲン</t>
    </rPh>
    <rPh sb="11" eb="13">
      <t>カダイ</t>
    </rPh>
    <phoneticPr fontId="1"/>
  </si>
  <si>
    <t>メール保管検索機能</t>
    <rPh sb="3" eb="5">
      <t>ホカン</t>
    </rPh>
    <rPh sb="5" eb="7">
      <t>ケンサク</t>
    </rPh>
    <rPh sb="7" eb="9">
      <t>キノウ</t>
    </rPh>
    <phoneticPr fontId="1"/>
  </si>
  <si>
    <t>POP3認証を行ったNPCのIPアドレスが、認証後の一定時間以内にほかのPCに割り当てられた場合</t>
    <rPh sb="4" eb="6">
      <t>ニンショウ</t>
    </rPh>
    <rPh sb="7" eb="8">
      <t>オコナ</t>
    </rPh>
    <rPh sb="22" eb="25">
      <t>ニンショウゴ</t>
    </rPh>
    <rPh sb="26" eb="28">
      <t>イッテイ</t>
    </rPh>
    <rPh sb="28" eb="30">
      <t>ジカン</t>
    </rPh>
    <rPh sb="30" eb="32">
      <t>イナイ</t>
    </rPh>
    <rPh sb="39" eb="40">
      <t>ワ</t>
    </rPh>
    <rPh sb="41" eb="42">
      <t>ア</t>
    </rPh>
    <rPh sb="46" eb="48">
      <t>バアイ</t>
    </rPh>
    <phoneticPr fontId="1"/>
  </si>
  <si>
    <t>4-1</t>
    <phoneticPr fontId="1"/>
  </si>
  <si>
    <t>暗号化されてウィルススキャンできなかった添付ファイルが復号されてウィルススキャンされるため</t>
    <rPh sb="0" eb="3">
      <t>アンゴウカ</t>
    </rPh>
    <rPh sb="20" eb="22">
      <t>テンプ</t>
    </rPh>
    <rPh sb="27" eb="29">
      <t>フクゴウ</t>
    </rPh>
    <phoneticPr fontId="1"/>
  </si>
  <si>
    <t>4-2</t>
    <phoneticPr fontId="1"/>
  </si>
  <si>
    <t>BCCに指定されたメール</t>
    <rPh sb="4" eb="6">
      <t>シテイ</t>
    </rPh>
    <phoneticPr fontId="1"/>
  </si>
  <si>
    <t>メールエンベロープのメールアドレスと、検索対象のメールアドレスを比較する</t>
    <rPh sb="19" eb="23">
      <t>ケンサクタイショウ</t>
    </rPh>
    <rPh sb="32" eb="34">
      <t>ヒカク</t>
    </rPh>
    <phoneticPr fontId="1"/>
  </si>
  <si>
    <t>4-3</t>
    <phoneticPr fontId="1"/>
  </si>
  <si>
    <t>外部メールサーバ０の受信者メールアドレスの拒否リストに専用メールアドレスを登録する</t>
    <rPh sb="0" eb="2">
      <t>ガイブ</t>
    </rPh>
    <rPh sb="10" eb="13">
      <t>ジュシンシャ</t>
    </rPh>
    <rPh sb="21" eb="23">
      <t>キョヒ</t>
    </rPh>
    <rPh sb="27" eb="29">
      <t>センヨウ</t>
    </rPh>
    <rPh sb="37" eb="39">
      <t>トウロク</t>
    </rPh>
    <phoneticPr fontId="1"/>
  </si>
  <si>
    <t>4-4</t>
    <phoneticPr fontId="1"/>
  </si>
  <si>
    <t>技術情報を含むメールを社外に送信する行為</t>
    <rPh sb="0" eb="4">
      <t>ギジュツジョウホウ</t>
    </rPh>
    <rPh sb="5" eb="6">
      <t>フク</t>
    </rPh>
    <rPh sb="11" eb="13">
      <t>シャガイ</t>
    </rPh>
    <rPh sb="14" eb="16">
      <t>ソウシン</t>
    </rPh>
    <rPh sb="18" eb="20">
      <t>コウイ</t>
    </rPh>
    <phoneticPr fontId="1"/>
  </si>
  <si>
    <t>5-1</t>
    <phoneticPr fontId="1"/>
  </si>
  <si>
    <t>e:時刻にメールがそんぁいしたこと</t>
    <rPh sb="2" eb="4">
      <t>ジコク</t>
    </rPh>
    <phoneticPr fontId="1"/>
  </si>
  <si>
    <t>f:メールの内容が改ざんされてないこと</t>
    <rPh sb="6" eb="8">
      <t>ナイヨウ</t>
    </rPh>
    <rPh sb="9" eb="10">
      <t>カイ</t>
    </rPh>
    <phoneticPr fontId="1"/>
  </si>
  <si>
    <t>5-2</t>
    <phoneticPr fontId="1"/>
  </si>
  <si>
    <t>DVD-Rを安全性が確保された手段で運送し、保管する</t>
    <rPh sb="6" eb="9">
      <t>アンゼンセイ</t>
    </rPh>
    <rPh sb="10" eb="12">
      <t>カクホ</t>
    </rPh>
    <rPh sb="15" eb="17">
      <t>シュダン</t>
    </rPh>
    <rPh sb="18" eb="20">
      <t>ウンソウ</t>
    </rPh>
    <rPh sb="22" eb="24">
      <t>ホカン</t>
    </rPh>
    <phoneticPr fontId="1"/>
  </si>
  <si>
    <t>5-3</t>
    <phoneticPr fontId="1"/>
  </si>
  <si>
    <t>タイムスタンプが偽造されない強度があること</t>
    <rPh sb="8" eb="10">
      <t>ギゾウ</t>
    </rPh>
    <rPh sb="14" eb="16">
      <t>キョウド</t>
    </rPh>
    <phoneticPr fontId="1"/>
  </si>
  <si>
    <t>2013-春</t>
  </si>
  <si>
    <t>PM2-2</t>
  </si>
  <si>
    <t>PM1-1</t>
  </si>
  <si>
    <t>PM1-1</t>
    <phoneticPr fontId="1"/>
  </si>
  <si>
    <t>RD-^LAN</t>
    <phoneticPr fontId="1"/>
  </si>
  <si>
    <t>DMZ</t>
    <phoneticPr fontId="1"/>
  </si>
  <si>
    <t>OA=LAN</t>
    <phoneticPr fontId="1"/>
  </si>
  <si>
    <t>Zブラウザ</t>
    <phoneticPr fontId="1"/>
  </si>
  <si>
    <t>1-(1)</t>
    <phoneticPr fontId="1"/>
  </si>
  <si>
    <t>ML2</t>
    <phoneticPr fontId="1"/>
  </si>
  <si>
    <t>1-(2)</t>
    <phoneticPr fontId="1"/>
  </si>
  <si>
    <t>FW</t>
    <phoneticPr fontId="1"/>
  </si>
  <si>
    <t>PCから攻撃者のサーバーへのHTTP通信ログ</t>
    <rPh sb="4" eb="7">
      <t>コウゲキシャ</t>
    </rPh>
    <rPh sb="18" eb="20">
      <t>ツウシン</t>
    </rPh>
    <phoneticPr fontId="1"/>
  </si>
  <si>
    <t>2-(1)</t>
    <phoneticPr fontId="1"/>
  </si>
  <si>
    <t>USBメモリ</t>
    <phoneticPr fontId="1"/>
  </si>
  <si>
    <t>2-(2)</t>
    <phoneticPr fontId="1"/>
  </si>
  <si>
    <t>プロキシサーバーのブラックリストに攻撃者サーバーのURLを登録する</t>
    <rPh sb="17" eb="20">
      <t>コウゲキシャ</t>
    </rPh>
    <rPh sb="29" eb="31">
      <t>トウロク</t>
    </rPh>
    <phoneticPr fontId="1"/>
  </si>
  <si>
    <t>2-(3)</t>
    <phoneticPr fontId="1"/>
  </si>
  <si>
    <t>Zブラウザのバージョンを3に更新する</t>
    <rPh sb="14" eb="16">
      <t>コウシン</t>
    </rPh>
    <phoneticPr fontId="1"/>
  </si>
  <si>
    <t>3-(1)</t>
    <phoneticPr fontId="1"/>
  </si>
  <si>
    <t>パック処理されている</t>
    <rPh sb="3" eb="5">
      <t>ショリ</t>
    </rPh>
    <phoneticPr fontId="1"/>
  </si>
  <si>
    <t>タイムスタンプを特定のシステムファイルと同じものに書き換える</t>
    <rPh sb="8" eb="10">
      <t>トクテイ</t>
    </rPh>
    <rPh sb="20" eb="21">
      <t>オナ</t>
    </rPh>
    <rPh sb="25" eb="26">
      <t>カ</t>
    </rPh>
    <rPh sb="27" eb="28">
      <t>カ</t>
    </rPh>
    <phoneticPr fontId="1"/>
  </si>
  <si>
    <t>3-(2)</t>
    <phoneticPr fontId="1"/>
  </si>
  <si>
    <t>RD-LANとほかのネットワークとの物理的な隔離</t>
    <rPh sb="18" eb="21">
      <t>ブツリテキ</t>
    </rPh>
    <rPh sb="22" eb="24">
      <t>カクリ</t>
    </rPh>
    <phoneticPr fontId="1"/>
  </si>
  <si>
    <t>3-(3)</t>
    <phoneticPr fontId="1"/>
  </si>
  <si>
    <t>新薬の研究報告書を摂取</t>
    <rPh sb="0" eb="2">
      <t>シンヤク</t>
    </rPh>
    <rPh sb="3" eb="8">
      <t>ケンキュウホウコクショ</t>
    </rPh>
    <rPh sb="9" eb="11">
      <t>セッシュ</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</si>
</sst>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144780</xdr:colOff>
          <xdr:row>1</xdr:row>
          <xdr:rowOff>38100</xdr:rowOff>
        </xdr:from>
        <xdr:to>
          <xdr:col>14</xdr:col>
          <xdr:colOff>594360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198120</xdr:colOff>
          <xdr:row>3</xdr:row>
          <xdr:rowOff>106680</xdr:rowOff>
        </xdr:from>
        <xdr:to>
          <xdr:col>14</xdr:col>
          <xdr:colOff>571500</xdr:colOff>
          <xdr:row>4</xdr:row>
          <xdr:rowOff>175260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H3"/>
  <sheetViews>
    <sheetView tabSelected="1" zoomScale="85" zoomScaleNormal="85" workbookViewId="0">
      <selection activeCell="H6" sqref="H6"/>
    </sheetView>
  </sheetViews>
  <sheetFormatPr defaultRowHeight="18"/>
  <cols>
    <col min="2" max="3" width="9" style="2"/>
  </cols>
  <sheetData>
    <row r="1" spans="1:8">
      <c r="A1" t="s">
        <v>11</v>
      </c>
      <c r="B1" s="2" t="s">
        <v>7</v>
      </c>
      <c r="C1" s="2" t="s">
        <v>8</v>
      </c>
      <c r="D1" t="s">
        <v>9</v>
      </c>
      <c r="E1" t="s">
        <v>5</v>
      </c>
      <c r="F1" t="s">
        <v>10</v>
      </c>
    </row>
    <row r="2" spans="1:8">
      <c r="A2">
        <v>1</v>
      </c>
      <c r="B2" s="2" t="s">
        <v>71</v>
      </c>
      <c r="C2" s="2" t="s">
        <v>72</v>
      </c>
      <c r="D2">
        <v>68</v>
      </c>
      <c r="E2">
        <v>100</v>
      </c>
      <c r="H2" t="s">
        <v>12</v>
      </c>
    </row>
    <row r="3" spans="1:8">
      <c r="A3">
        <v>2</v>
      </c>
      <c r="B3" s="2" t="s">
        <v>71</v>
      </c>
      <c r="C3" s="2" t="s">
        <v>73</v>
      </c>
      <c r="D3">
        <v>50</v>
      </c>
      <c r="E3">
        <v>50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144780</xdr:colOff>
                    <xdr:row>1</xdr:row>
                    <xdr:rowOff>38100</xdr:rowOff>
                  </from>
                  <to>
                    <xdr:col>14</xdr:col>
                    <xdr:colOff>594360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198120</xdr:colOff>
                    <xdr:row>3</xdr:row>
                    <xdr:rowOff>106680</xdr:rowOff>
                  </from>
                  <to>
                    <xdr:col>14</xdr:col>
                    <xdr:colOff>571500</xdr:colOff>
                    <xdr:row>4</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
  <cols>
    <col min="1" max="1" width="8.69921875" style="2"/>
    <col min="2" max="2" width="96.8984375" style="1" customWidth="1"/>
    <col min="3" max="3" width="9.699218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A00731-0B48-4306-A650-8192985A6605}">
  <sheetPr codeName="Sheet4"/>
  <dimension ref="A1:O167"/>
  <sheetViews>
    <sheetView zoomScale="85" zoomScaleNormal="85" workbookViewId="0">
      <pane xSplit="1" ySplit="3" topLeftCell="B4" activePane="bottomRight" state="frozen"/>
      <selection pane="topRight" activeCell="B1" sqref="B1"/>
      <selection pane="bottomLeft" activeCell="A4" sqref="A4"/>
      <selection pane="bottomRight" activeCell="B29" sqref="B29"/>
    </sheetView>
  </sheetViews>
  <sheetFormatPr defaultRowHeight="18"/>
  <cols>
    <col min="1" max="1" width="9" style="2"/>
    <col min="2" max="2" width="59.8984375" style="1" customWidth="1"/>
    <col min="3" max="3" width="9.69921875" customWidth="1"/>
  </cols>
  <sheetData>
    <row r="1" spans="1:15">
      <c r="A1" s="2" t="s">
        <v>0</v>
      </c>
      <c r="B1" s="1" t="s">
        <v>13</v>
      </c>
    </row>
    <row r="2" spans="1:15">
      <c r="A2" s="2" t="s">
        <v>2</v>
      </c>
      <c r="B2" s="3" t="s">
        <v>14</v>
      </c>
      <c r="D2">
        <f>SUM(D4:D1000)</f>
        <v>68</v>
      </c>
      <c r="E2">
        <f>SUM(E4:E1000)</f>
        <v>100</v>
      </c>
    </row>
    <row r="3" spans="1:15">
      <c r="A3" s="2" t="s">
        <v>1</v>
      </c>
      <c r="B3" s="1" t="s">
        <v>3</v>
      </c>
      <c r="C3" t="s">
        <v>6</v>
      </c>
      <c r="D3" t="s">
        <v>4</v>
      </c>
      <c r="E3" t="s">
        <v>5</v>
      </c>
    </row>
    <row r="4" spans="1:15">
      <c r="A4" s="2" t="s">
        <v>23</v>
      </c>
      <c r="B4" s="1" t="s">
        <v>35</v>
      </c>
      <c r="C4">
        <f>IF(B4&lt;&gt;"",LEN(B4),"")</f>
        <v>6</v>
      </c>
      <c r="D4">
        <f>E4*F4</f>
        <v>4</v>
      </c>
      <c r="E4">
        <v>4</v>
      </c>
      <c r="F4">
        <v>1</v>
      </c>
      <c r="G4" t="s">
        <v>15</v>
      </c>
      <c r="I4" t="s">
        <v>24</v>
      </c>
      <c r="K4" t="s">
        <v>31</v>
      </c>
      <c r="M4" t="s">
        <v>40</v>
      </c>
      <c r="O4" t="s">
        <v>51</v>
      </c>
    </row>
    <row r="5" spans="1:15">
      <c r="B5" s="1" t="s">
        <v>36</v>
      </c>
      <c r="C5">
        <f t="shared" ref="C5:C68" si="0">IF(B5&lt;&gt;"",LEN(B5),"")</f>
        <v>7</v>
      </c>
      <c r="D5">
        <f t="shared" ref="D5:D18" si="1">E5*F5</f>
        <v>4</v>
      </c>
      <c r="E5">
        <v>4</v>
      </c>
      <c r="F5">
        <v>1</v>
      </c>
      <c r="G5" t="s">
        <v>16</v>
      </c>
      <c r="I5" t="s">
        <v>25</v>
      </c>
      <c r="K5" t="s">
        <v>32</v>
      </c>
      <c r="M5" t="s">
        <v>41</v>
      </c>
      <c r="O5" t="s">
        <v>52</v>
      </c>
    </row>
    <row r="6" spans="1:15" ht="36">
      <c r="A6" s="2" t="s">
        <v>44</v>
      </c>
      <c r="B6" s="1" t="s">
        <v>45</v>
      </c>
      <c r="C6">
        <f t="shared" si="0"/>
        <v>34</v>
      </c>
      <c r="D6">
        <f t="shared" si="1"/>
        <v>6</v>
      </c>
      <c r="E6">
        <v>6</v>
      </c>
      <c r="F6">
        <v>1</v>
      </c>
      <c r="G6" t="s">
        <v>17</v>
      </c>
      <c r="I6" t="s">
        <v>26</v>
      </c>
      <c r="K6" t="s">
        <v>33</v>
      </c>
      <c r="M6" t="s">
        <v>42</v>
      </c>
      <c r="O6" t="s">
        <v>53</v>
      </c>
    </row>
    <row r="7" spans="1:15">
      <c r="A7" s="2" t="s">
        <v>46</v>
      </c>
      <c r="B7" s="1" t="s">
        <v>48</v>
      </c>
      <c r="C7">
        <f t="shared" si="0"/>
        <v>11</v>
      </c>
      <c r="D7">
        <f t="shared" si="1"/>
        <v>6</v>
      </c>
      <c r="E7">
        <v>6</v>
      </c>
      <c r="F7">
        <v>1</v>
      </c>
      <c r="G7" t="s">
        <v>18</v>
      </c>
      <c r="I7" t="s">
        <v>27</v>
      </c>
      <c r="K7" t="s">
        <v>34</v>
      </c>
      <c r="M7" t="s">
        <v>43</v>
      </c>
    </row>
    <row r="8" spans="1:15">
      <c r="A8" s="2" t="s">
        <v>47</v>
      </c>
      <c r="B8" s="1" t="s">
        <v>49</v>
      </c>
      <c r="C8">
        <f t="shared" si="0"/>
        <v>8</v>
      </c>
      <c r="D8">
        <f t="shared" si="1"/>
        <v>6</v>
      </c>
      <c r="E8">
        <v>6</v>
      </c>
      <c r="F8">
        <v>1</v>
      </c>
      <c r="G8" t="s">
        <v>19</v>
      </c>
      <c r="I8" t="s">
        <v>28</v>
      </c>
      <c r="K8" t="s">
        <v>37</v>
      </c>
    </row>
    <row r="9" spans="1:15" ht="36">
      <c r="A9" s="2" t="s">
        <v>50</v>
      </c>
      <c r="B9" s="1" t="s">
        <v>54</v>
      </c>
      <c r="C9">
        <f t="shared" si="0"/>
        <v>48</v>
      </c>
      <c r="D9">
        <f t="shared" si="1"/>
        <v>0</v>
      </c>
      <c r="E9">
        <v>6</v>
      </c>
      <c r="F9">
        <v>0</v>
      </c>
      <c r="G9" t="s">
        <v>20</v>
      </c>
      <c r="I9" t="s">
        <v>29</v>
      </c>
      <c r="K9" t="s">
        <v>38</v>
      </c>
    </row>
    <row r="10" spans="1:15" ht="36">
      <c r="A10" s="2" t="s">
        <v>55</v>
      </c>
      <c r="B10" s="1" t="s">
        <v>56</v>
      </c>
      <c r="C10">
        <f t="shared" si="0"/>
        <v>45</v>
      </c>
      <c r="D10">
        <f t="shared" si="1"/>
        <v>0</v>
      </c>
      <c r="E10">
        <v>8</v>
      </c>
      <c r="F10">
        <v>0</v>
      </c>
      <c r="G10" t="s">
        <v>21</v>
      </c>
      <c r="I10" t="s">
        <v>30</v>
      </c>
      <c r="K10" t="s">
        <v>39</v>
      </c>
    </row>
    <row r="11" spans="1:15">
      <c r="A11" s="2" t="s">
        <v>57</v>
      </c>
      <c r="B11" s="1" t="s">
        <v>58</v>
      </c>
      <c r="C11">
        <f t="shared" si="0"/>
        <v>12</v>
      </c>
      <c r="D11">
        <f t="shared" si="1"/>
        <v>8</v>
      </c>
      <c r="E11">
        <v>8</v>
      </c>
      <c r="F11">
        <v>1</v>
      </c>
      <c r="G11" t="s">
        <v>22</v>
      </c>
    </row>
    <row r="12" spans="1:15" ht="36">
      <c r="B12" s="1" t="s">
        <v>59</v>
      </c>
      <c r="C12">
        <f t="shared" si="0"/>
        <v>36</v>
      </c>
      <c r="D12">
        <f t="shared" si="1"/>
        <v>0</v>
      </c>
      <c r="E12">
        <v>8</v>
      </c>
      <c r="F12">
        <v>0</v>
      </c>
    </row>
    <row r="13" spans="1:15" ht="36">
      <c r="A13" s="2" t="s">
        <v>60</v>
      </c>
      <c r="B13" s="1" t="s">
        <v>61</v>
      </c>
      <c r="C13">
        <f t="shared" si="0"/>
        <v>41</v>
      </c>
      <c r="D13">
        <f t="shared" si="1"/>
        <v>0</v>
      </c>
      <c r="E13">
        <v>10</v>
      </c>
      <c r="F13">
        <v>0</v>
      </c>
    </row>
    <row r="14" spans="1:15">
      <c r="A14" s="2" t="s">
        <v>62</v>
      </c>
      <c r="B14" s="1" t="s">
        <v>63</v>
      </c>
      <c r="C14">
        <f t="shared" si="0"/>
        <v>20</v>
      </c>
      <c r="D14">
        <f t="shared" si="1"/>
        <v>6</v>
      </c>
      <c r="E14">
        <v>6</v>
      </c>
      <c r="F14">
        <v>1</v>
      </c>
    </row>
    <row r="15" spans="1:15">
      <c r="A15" s="2" t="s">
        <v>64</v>
      </c>
      <c r="B15" s="1" t="s">
        <v>65</v>
      </c>
      <c r="C15">
        <f t="shared" si="0"/>
        <v>17</v>
      </c>
      <c r="D15">
        <f t="shared" si="1"/>
        <v>6</v>
      </c>
      <c r="E15">
        <v>6</v>
      </c>
      <c r="F15">
        <v>1</v>
      </c>
    </row>
    <row r="16" spans="1:15">
      <c r="B16" s="1" t="s">
        <v>66</v>
      </c>
      <c r="C16">
        <f t="shared" si="0"/>
        <v>19</v>
      </c>
      <c r="D16">
        <f t="shared" si="1"/>
        <v>6</v>
      </c>
      <c r="E16">
        <v>6</v>
      </c>
      <c r="F16">
        <v>1</v>
      </c>
    </row>
    <row r="17" spans="1:6">
      <c r="A17" s="2" t="s">
        <v>67</v>
      </c>
      <c r="B17" s="1" t="s">
        <v>68</v>
      </c>
      <c r="C17">
        <f t="shared" si="0"/>
        <v>26</v>
      </c>
      <c r="D17">
        <f t="shared" si="1"/>
        <v>8</v>
      </c>
      <c r="E17">
        <v>8</v>
      </c>
      <c r="F17">
        <v>1</v>
      </c>
    </row>
    <row r="18" spans="1:6">
      <c r="A18" s="2" t="s">
        <v>69</v>
      </c>
      <c r="B18" s="1" t="s">
        <v>70</v>
      </c>
      <c r="C18">
        <f t="shared" si="0"/>
        <v>21</v>
      </c>
      <c r="D18">
        <f t="shared" si="1"/>
        <v>8</v>
      </c>
      <c r="E18">
        <v>8</v>
      </c>
      <c r="F18">
        <v>1</v>
      </c>
    </row>
    <row r="19" spans="1:6">
      <c r="C19" t="str">
        <f t="shared" si="0"/>
        <v/>
      </c>
    </row>
    <row r="20" spans="1:6">
      <c r="C20" t="str">
        <f t="shared" si="0"/>
        <v/>
      </c>
    </row>
    <row r="21" spans="1:6">
      <c r="C21" t="str">
        <f t="shared" si="0"/>
        <v/>
      </c>
    </row>
    <row r="22" spans="1:6">
      <c r="C22" t="str">
        <f t="shared" si="0"/>
        <v/>
      </c>
    </row>
    <row r="23" spans="1:6">
      <c r="C23" t="str">
        <f t="shared" si="0"/>
        <v/>
      </c>
    </row>
    <row r="24" spans="1:6">
      <c r="C24" t="str">
        <f t="shared" si="0"/>
        <v/>
      </c>
    </row>
    <row r="25" spans="1:6">
      <c r="C25" t="str">
        <f t="shared" si="0"/>
        <v/>
      </c>
    </row>
    <row r="26" spans="1:6">
      <c r="C26" t="str">
        <f t="shared" si="0"/>
        <v/>
      </c>
    </row>
    <row r="27" spans="1:6">
      <c r="C27" t="str">
        <f t="shared" si="0"/>
        <v/>
      </c>
    </row>
    <row r="28" spans="1:6">
      <c r="C28" t="str">
        <f t="shared" si="0"/>
        <v/>
      </c>
    </row>
    <row r="29" spans="1:6">
      <c r="C29" t="str">
        <f t="shared" si="0"/>
        <v/>
      </c>
    </row>
    <row r="30" spans="1:6">
      <c r="C30" t="str">
        <f t="shared" si="0"/>
        <v/>
      </c>
    </row>
    <row r="31" spans="1:6">
      <c r="C31" t="str">
        <f t="shared" si="0"/>
        <v/>
      </c>
    </row>
    <row r="32" spans="1:6">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B0FF2-12BD-44AF-8467-A5F88613FDDC}">
  <sheetPr codeName="Sheet5"/>
  <dimension ref="A1:G167"/>
  <sheetViews>
    <sheetView zoomScale="85" zoomScaleNormal="85" workbookViewId="0">
      <pane xSplit="1" ySplit="3" topLeftCell="B4" activePane="bottomRight" state="frozen"/>
      <selection pane="topRight" activeCell="B1" sqref="B1"/>
      <selection pane="bottomLeft" activeCell="A4" sqref="A4"/>
      <selection pane="bottomRight" activeCell="D13" sqref="D4:D13"/>
    </sheetView>
  </sheetViews>
  <sheetFormatPr defaultRowHeight="18"/>
  <cols>
    <col min="1" max="1" width="8.796875" style="2"/>
    <col min="2" max="2" width="47.296875" style="1" customWidth="1"/>
    <col min="3" max="3" width="9.69921875" customWidth="1"/>
  </cols>
  <sheetData>
    <row r="1" spans="1:7">
      <c r="A1" s="2" t="s">
        <v>0</v>
      </c>
      <c r="B1" s="1" t="s">
        <v>13</v>
      </c>
    </row>
    <row r="2" spans="1:7">
      <c r="A2" s="2" t="s">
        <v>2</v>
      </c>
      <c r="B2" s="3" t="s">
        <v>74</v>
      </c>
      <c r="D2">
        <f>SUM(D4:D1000)</f>
        <v>50</v>
      </c>
      <c r="E2">
        <f>SUM(E4:E1000)</f>
        <v>50</v>
      </c>
    </row>
    <row r="3" spans="1:7">
      <c r="A3" s="2" t="s">
        <v>1</v>
      </c>
      <c r="B3" s="1" t="s">
        <v>3</v>
      </c>
      <c r="C3" t="s">
        <v>6</v>
      </c>
      <c r="D3" t="s">
        <v>4</v>
      </c>
      <c r="E3" t="s">
        <v>5</v>
      </c>
    </row>
    <row r="4" spans="1:7">
      <c r="A4" s="2" t="s">
        <v>79</v>
      </c>
      <c r="B4" s="1" t="s">
        <v>80</v>
      </c>
      <c r="C4">
        <f>IF(B4&lt;&gt;"",LEN(B4),"")</f>
        <v>3</v>
      </c>
      <c r="D4">
        <f>E4*F4</f>
        <v>4</v>
      </c>
      <c r="E4">
        <v>4</v>
      </c>
      <c r="F4">
        <v>1</v>
      </c>
      <c r="G4" t="s">
        <v>75</v>
      </c>
    </row>
    <row r="5" spans="1:7">
      <c r="A5" s="2" t="s">
        <v>81</v>
      </c>
      <c r="B5" s="1" t="s">
        <v>82</v>
      </c>
      <c r="C5">
        <f t="shared" ref="C5:C68" si="0">IF(B5&lt;&gt;"",LEN(B5),"")</f>
        <v>2</v>
      </c>
      <c r="D5">
        <f t="shared" ref="D5:D13" si="1">E5*F5</f>
        <v>4</v>
      </c>
      <c r="E5">
        <v>4</v>
      </c>
      <c r="F5">
        <v>1</v>
      </c>
      <c r="G5" t="s">
        <v>76</v>
      </c>
    </row>
    <row r="6" spans="1:7">
      <c r="B6" s="1" t="s">
        <v>83</v>
      </c>
      <c r="C6">
        <f t="shared" si="0"/>
        <v>22</v>
      </c>
      <c r="D6">
        <f t="shared" si="1"/>
        <v>6</v>
      </c>
      <c r="E6">
        <v>6</v>
      </c>
      <c r="F6">
        <v>1</v>
      </c>
      <c r="G6" t="s">
        <v>77</v>
      </c>
    </row>
    <row r="7" spans="1:7">
      <c r="A7" s="2" t="s">
        <v>84</v>
      </c>
      <c r="B7" s="1" t="s">
        <v>85</v>
      </c>
      <c r="C7">
        <f t="shared" si="0"/>
        <v>6</v>
      </c>
      <c r="D7">
        <f t="shared" si="1"/>
        <v>4</v>
      </c>
      <c r="E7">
        <v>4</v>
      </c>
      <c r="F7">
        <v>1</v>
      </c>
      <c r="G7" t="s">
        <v>78</v>
      </c>
    </row>
    <row r="8" spans="1:7" ht="36">
      <c r="A8" s="2" t="s">
        <v>86</v>
      </c>
      <c r="B8" s="1" t="s">
        <v>87</v>
      </c>
      <c r="C8">
        <f t="shared" si="0"/>
        <v>33</v>
      </c>
      <c r="D8">
        <f t="shared" si="1"/>
        <v>6</v>
      </c>
      <c r="E8">
        <v>6</v>
      </c>
      <c r="F8">
        <v>1</v>
      </c>
    </row>
    <row r="9" spans="1:7">
      <c r="A9" s="2" t="s">
        <v>88</v>
      </c>
      <c r="B9" s="1" t="s">
        <v>89</v>
      </c>
      <c r="C9">
        <f t="shared" si="0"/>
        <v>18</v>
      </c>
      <c r="D9">
        <f t="shared" si="1"/>
        <v>6</v>
      </c>
      <c r="E9">
        <v>6</v>
      </c>
      <c r="F9">
        <v>1</v>
      </c>
    </row>
    <row r="10" spans="1:7">
      <c r="A10" s="2" t="s">
        <v>90</v>
      </c>
      <c r="B10" s="1" t="s">
        <v>91</v>
      </c>
      <c r="C10">
        <f t="shared" si="0"/>
        <v>10</v>
      </c>
      <c r="D10">
        <f t="shared" si="1"/>
        <v>4</v>
      </c>
      <c r="E10">
        <v>4</v>
      </c>
      <c r="F10">
        <v>1</v>
      </c>
    </row>
    <row r="11" spans="1:7" ht="36">
      <c r="B11" s="1" t="s">
        <v>92</v>
      </c>
      <c r="C11">
        <f t="shared" si="0"/>
        <v>30</v>
      </c>
      <c r="D11">
        <f t="shared" si="1"/>
        <v>4</v>
      </c>
      <c r="E11">
        <v>4</v>
      </c>
      <c r="F11">
        <v>1</v>
      </c>
    </row>
    <row r="12" spans="1:7">
      <c r="A12" s="2" t="s">
        <v>93</v>
      </c>
      <c r="B12" s="1" t="s">
        <v>94</v>
      </c>
      <c r="C12">
        <f t="shared" si="0"/>
        <v>24</v>
      </c>
      <c r="D12">
        <f t="shared" si="1"/>
        <v>6</v>
      </c>
      <c r="E12">
        <v>6</v>
      </c>
      <c r="F12">
        <v>1</v>
      </c>
    </row>
    <row r="13" spans="1:7">
      <c r="A13" s="2" t="s">
        <v>95</v>
      </c>
      <c r="B13" s="1" t="s">
        <v>96</v>
      </c>
      <c r="C13">
        <f t="shared" si="0"/>
        <v>11</v>
      </c>
      <c r="D13">
        <f t="shared" si="1"/>
        <v>6</v>
      </c>
      <c r="E13">
        <v>6</v>
      </c>
      <c r="F13">
        <v>1</v>
      </c>
    </row>
    <row r="14" spans="1:7">
      <c r="C14" t="str">
        <f t="shared" si="0"/>
        <v/>
      </c>
    </row>
    <row r="15" spans="1:7">
      <c r="C15" t="str">
        <f t="shared" si="0"/>
        <v/>
      </c>
    </row>
    <row r="16" spans="1:7">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レビュー</vt:lpstr>
      <vt:lpstr>format</vt:lpstr>
      <vt:lpstr>1</vt:lpstr>
      <vt:lpstr>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Yoshinaga, Shinichi (BIL-NBS) 吉永 信一</cp:lastModifiedBy>
  <dcterms:created xsi:type="dcterms:W3CDTF">2015-06-05T18:19:34Z</dcterms:created>
  <dcterms:modified xsi:type="dcterms:W3CDTF">2025-02-22T13:00:47Z</dcterms:modified>
</cp:coreProperties>
</file>