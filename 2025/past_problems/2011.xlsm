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5584C51F-E603-4A14-A80C-6AB8C3FCD334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7" l="1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2" i="6" s="1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<sst xmlns="http://schemas.openxmlformats.org/spreadsheetml/2006/main" count="178" uniqueCount="150">
  <si>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</si>
  <si>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</si>
  <si>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</si>
  <si>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</si>
  <si>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</si>
  <si>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</si>
  <si>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</si>
  <si>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</si>
  <si>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</si>
  <si>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</si>
  <si>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</si>
  <si>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</si>
  <si>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PM2-2</t>
    <phoneticPr fontId="1"/>
  </si>
  <si>
    <t>2011-秋</t>
    <rPh sb="5" eb="6">
      <t>アキ</t>
    </rPh>
    <phoneticPr fontId="1"/>
  </si>
  <si>
    <t>内部統制強化</t>
    <rPh sb="0" eb="4">
      <t>ナイブトウセイ</t>
    </rPh>
    <rPh sb="4" eb="6">
      <t>キョウカ</t>
    </rPh>
    <phoneticPr fontId="1"/>
  </si>
  <si>
    <t>OSの操作に対する監視</t>
    <rPh sb="3" eb="5">
      <t>ソウサ</t>
    </rPh>
    <rPh sb="6" eb="7">
      <t>タイ</t>
    </rPh>
    <rPh sb="9" eb="11">
      <t>カンシ</t>
    </rPh>
    <phoneticPr fontId="1"/>
  </si>
  <si>
    <t>特権操作のログ</t>
    <rPh sb="0" eb="2">
      <t>トッケン</t>
    </rPh>
    <rPh sb="2" eb="4">
      <t>ソウサ</t>
    </rPh>
    <phoneticPr fontId="1"/>
  </si>
  <si>
    <t>ログ管理</t>
    <rPh sb="2" eb="4">
      <t>カンリ</t>
    </rPh>
    <phoneticPr fontId="1"/>
  </si>
  <si>
    <t>システムログ管理</t>
    <rPh sb="6" eb="8">
      <t>カンリ</t>
    </rPh>
    <phoneticPr fontId="1"/>
  </si>
  <si>
    <t>DC</t>
    <phoneticPr fontId="1"/>
  </si>
  <si>
    <t>UNIX</t>
    <phoneticPr fontId="1"/>
  </si>
  <si>
    <t>PC</t>
    <phoneticPr fontId="1"/>
  </si>
  <si>
    <t>1</t>
    <phoneticPr fontId="1"/>
  </si>
  <si>
    <t>a:DHCP</t>
    <phoneticPr fontId="1"/>
  </si>
  <si>
    <t>OSやミドルウェア</t>
    <phoneticPr fontId="1"/>
  </si>
  <si>
    <t>業務アプリ</t>
    <rPh sb="0" eb="2">
      <t>ギョウム</t>
    </rPh>
    <phoneticPr fontId="1"/>
  </si>
  <si>
    <t>管理端末</t>
    <rPh sb="0" eb="4">
      <t>カンリタンマツ</t>
    </rPh>
    <phoneticPr fontId="1"/>
  </si>
  <si>
    <t>インフラ管理者</t>
    <rPh sb="4" eb="7">
      <t>カンリシャ</t>
    </rPh>
    <phoneticPr fontId="1"/>
  </si>
  <si>
    <t>オペレータ</t>
    <phoneticPr fontId="1"/>
  </si>
  <si>
    <t>OS管理</t>
    <rPh sb="2" eb="4">
      <t>カンリ</t>
    </rPh>
    <phoneticPr fontId="1"/>
  </si>
  <si>
    <t>利用者ID</t>
    <rPh sb="0" eb="3">
      <t>リヨウシャ</t>
    </rPh>
    <phoneticPr fontId="1"/>
  </si>
  <si>
    <t>アプリケーション</t>
    <phoneticPr fontId="1"/>
  </si>
  <si>
    <t>ネットワーク機器</t>
    <rPh sb="6" eb="8">
      <t>キキ</t>
    </rPh>
    <phoneticPr fontId="1"/>
  </si>
  <si>
    <t>2-1</t>
    <phoneticPr fontId="1"/>
  </si>
  <si>
    <t>b: NTP</t>
    <phoneticPr fontId="1"/>
  </si>
  <si>
    <t>業務データの管理</t>
    <rPh sb="0" eb="2">
      <t>ギョウム</t>
    </rPh>
    <rPh sb="6" eb="8">
      <t>カンリ</t>
    </rPh>
    <phoneticPr fontId="1"/>
  </si>
  <si>
    <t>インフラ</t>
    <phoneticPr fontId="1"/>
  </si>
  <si>
    <t>アプリ管理者</t>
    <rPh sb="3" eb="6">
      <t>カンリシャ</t>
    </rPh>
    <phoneticPr fontId="1"/>
  </si>
  <si>
    <t>SIベンダ</t>
    <phoneticPr fontId="1"/>
  </si>
  <si>
    <t>ログ取得</t>
    <rPh sb="2" eb="4">
      <t>シュトク</t>
    </rPh>
    <phoneticPr fontId="1"/>
  </si>
  <si>
    <t>ログ収集</t>
    <rPh sb="2" eb="4">
      <t>シュウシュウ</t>
    </rPh>
    <phoneticPr fontId="1"/>
  </si>
  <si>
    <t>ログ分析</t>
    <rPh sb="2" eb="4">
      <t>ブンセキ</t>
    </rPh>
    <phoneticPr fontId="1"/>
  </si>
  <si>
    <t>Sサーバ</t>
    <phoneticPr fontId="1"/>
  </si>
  <si>
    <t>通信内容が暗号化されていて、ログの内容が分析できないため</t>
    <rPh sb="0" eb="2">
      <t>ツウシン</t>
    </rPh>
    <rPh sb="2" eb="4">
      <t>ナイヨウ</t>
    </rPh>
    <rPh sb="5" eb="8">
      <t>アンゴウカ</t>
    </rPh>
    <rPh sb="17" eb="19">
      <t>ナイヨウ</t>
    </rPh>
    <rPh sb="20" eb="22">
      <t>ブンセキ</t>
    </rPh>
    <phoneticPr fontId="1"/>
  </si>
  <si>
    <t>2-2</t>
    <phoneticPr fontId="1"/>
  </si>
  <si>
    <t>製品R</t>
    <rPh sb="0" eb="2">
      <t>セイヒン</t>
    </rPh>
    <phoneticPr fontId="1"/>
  </si>
  <si>
    <t>ホスト名</t>
    <rPh sb="3" eb="4">
      <t>メイ</t>
    </rPh>
    <phoneticPr fontId="1"/>
  </si>
  <si>
    <t>管理端末でログ取得</t>
    <rPh sb="0" eb="4">
      <t>カンリタンマツ</t>
    </rPh>
    <rPh sb="7" eb="9">
      <t>シュトク</t>
    </rPh>
    <phoneticPr fontId="1"/>
  </si>
  <si>
    <t>Rエージェント</t>
    <phoneticPr fontId="1"/>
  </si>
  <si>
    <t>kiキーボードなどのデータ</t>
    <phoneticPr fontId="1"/>
  </si>
  <si>
    <t>エージェントは取得ログを転送</t>
    <rPh sb="7" eb="9">
      <t>シュトク</t>
    </rPh>
    <rPh sb="12" eb="14">
      <t>テンソウ</t>
    </rPh>
    <phoneticPr fontId="1"/>
  </si>
  <si>
    <t>Rサーバー利用者検索画面</t>
    <rPh sb="5" eb="8">
      <t>リヨウシャ</t>
    </rPh>
    <rPh sb="8" eb="10">
      <t>ケンサク</t>
    </rPh>
    <rPh sb="10" eb="12">
      <t>ガメン</t>
    </rPh>
    <phoneticPr fontId="1"/>
  </si>
  <si>
    <t>Sエージェント</t>
    <phoneticPr fontId="1"/>
  </si>
  <si>
    <t>レコードを転送</t>
    <rPh sb="5" eb="7">
      <t>テンソウ</t>
    </rPh>
    <phoneticPr fontId="1"/>
  </si>
  <si>
    <t>サーバホスト又はサーバのIPアドレス</t>
    <rPh sb="6" eb="7">
      <t>マタ</t>
    </rPh>
    <phoneticPr fontId="1"/>
  </si>
  <si>
    <t>１つのウィンドウだけを使って特権操作を行った場合</t>
    <rPh sb="11" eb="12">
      <t>ツカ</t>
    </rPh>
    <rPh sb="14" eb="16">
      <t>トッケン</t>
    </rPh>
    <rPh sb="16" eb="18">
      <t>ソウサ</t>
    </rPh>
    <rPh sb="19" eb="20">
      <t>オコナ</t>
    </rPh>
    <rPh sb="22" eb="24">
      <t>バアイ</t>
    </rPh>
    <phoneticPr fontId="1"/>
  </si>
  <si>
    <t>DBMSの標準機能</t>
    <rPh sb="5" eb="9">
      <t>ヒョウジュンキノウ</t>
    </rPh>
    <phoneticPr fontId="1"/>
  </si>
  <si>
    <t>影響が大きい</t>
    <rPh sb="0" eb="2">
      <t>エイキョウ</t>
    </rPh>
    <rPh sb="3" eb="4">
      <t>オオ</t>
    </rPh>
    <phoneticPr fontId="1"/>
  </si>
  <si>
    <t>特権操作2ログ取得</t>
    <rPh sb="0" eb="2">
      <t>トッケン</t>
    </rPh>
    <rPh sb="2" eb="4">
      <t>ソウサ</t>
    </rPh>
    <rPh sb="7" eb="9">
      <t>シュトク</t>
    </rPh>
    <phoneticPr fontId="1"/>
  </si>
  <si>
    <t>DBMSが稼働</t>
    <rPh sb="5" eb="7">
      <t>カドウ</t>
    </rPh>
    <phoneticPr fontId="1"/>
  </si>
  <si>
    <t>業務処理の影響が多き</t>
    <rPh sb="0" eb="4">
      <t>ギョウムショリ</t>
    </rPh>
    <rPh sb="5" eb="7">
      <t>エイキョウ</t>
    </rPh>
    <rPh sb="8" eb="9">
      <t>オオ</t>
    </rPh>
    <phoneticPr fontId="1"/>
  </si>
  <si>
    <t>2-3</t>
    <phoneticPr fontId="1"/>
  </si>
  <si>
    <t>DBMSの炉府取得機能がサーバー資源を大量に消費するから</t>
    <rPh sb="5" eb="7">
      <t>ロフ</t>
    </rPh>
    <rPh sb="7" eb="9">
      <t>シュトク</t>
    </rPh>
    <rPh sb="9" eb="11">
      <t>キノウ</t>
    </rPh>
    <rPh sb="16" eb="18">
      <t>シゲン</t>
    </rPh>
    <rPh sb="19" eb="21">
      <t>タイリョウ</t>
    </rPh>
    <rPh sb="22" eb="24">
      <t>ショウヒ</t>
    </rPh>
    <phoneticPr fontId="1"/>
  </si>
  <si>
    <t>2-4</t>
    <phoneticPr fontId="1"/>
  </si>
  <si>
    <t>1, 2</t>
    <phoneticPr fontId="1"/>
  </si>
  <si>
    <t>2-5</t>
    <phoneticPr fontId="1"/>
  </si>
  <si>
    <t>記録すべき内容３と４</t>
    <rPh sb="0" eb="2">
      <t>キロク</t>
    </rPh>
    <rPh sb="5" eb="7">
      <t>ナイヨウ</t>
    </rPh>
    <phoneticPr fontId="1"/>
  </si>
  <si>
    <t>OSとMWの標準</t>
    <rPh sb="6" eb="8">
      <t>ヒョウジュン</t>
    </rPh>
    <phoneticPr fontId="1"/>
  </si>
  <si>
    <t>F, G</t>
    <phoneticPr fontId="1"/>
  </si>
  <si>
    <t>3-1</t>
    <phoneticPr fontId="1"/>
  </si>
  <si>
    <t>特権操作1のログ</t>
    <rPh sb="0" eb="2">
      <t>トッケン</t>
    </rPh>
    <rPh sb="2" eb="4">
      <t>ソウサ</t>
    </rPh>
    <phoneticPr fontId="1"/>
  </si>
  <si>
    <t>収集保存</t>
    <rPh sb="0" eb="4">
      <t>シュウシュウホゾン</t>
    </rPh>
    <phoneticPr fontId="1"/>
  </si>
  <si>
    <t>Rで取得ログを対称</t>
    <rPh sb="2" eb="4">
      <t>シュトク</t>
    </rPh>
    <rPh sb="7" eb="9">
      <t>タイショウ</t>
    </rPh>
    <phoneticPr fontId="1"/>
  </si>
  <si>
    <t>収集保存機能</t>
    <rPh sb="0" eb="4">
      <t>シュウシュウホゾン</t>
    </rPh>
    <rPh sb="4" eb="6">
      <t>キノウ</t>
    </rPh>
    <phoneticPr fontId="1"/>
  </si>
  <si>
    <t>Rログを対象</t>
    <rPh sb="4" eb="6">
      <t>タイショウ</t>
    </rPh>
    <phoneticPr fontId="1"/>
  </si>
  <si>
    <t>Sは運用管理</t>
    <rPh sb="2" eb="4">
      <t>ウンヨウ</t>
    </rPh>
    <rPh sb="4" eb="6">
      <t>カンリ</t>
    </rPh>
    <phoneticPr fontId="1"/>
  </si>
  <si>
    <t>ログデータの領域がいっぱい</t>
    <rPh sb="6" eb="8">
      <t>リョウイキ</t>
    </rPh>
    <phoneticPr fontId="1"/>
  </si>
  <si>
    <t>先頭から上書き</t>
    <rPh sb="0" eb="2">
      <t>セントウ</t>
    </rPh>
    <rPh sb="4" eb="6">
      <t>ウワガ</t>
    </rPh>
    <phoneticPr fontId="1"/>
  </si>
  <si>
    <t>特権1と特権3</t>
    <rPh sb="0" eb="2">
      <t>トッケン</t>
    </rPh>
    <rPh sb="4" eb="6">
      <t>トッケン</t>
    </rPh>
    <phoneticPr fontId="1"/>
  </si>
  <si>
    <t>障害以外で取得できない</t>
    <rPh sb="0" eb="2">
      <t>ショウガイ</t>
    </rPh>
    <rPh sb="2" eb="4">
      <t>イガイ</t>
    </rPh>
    <rPh sb="5" eb="7">
      <t>シュトク</t>
    </rPh>
    <phoneticPr fontId="1"/>
  </si>
  <si>
    <t>2011-春</t>
    <rPh sb="5" eb="6">
      <t>ハル</t>
    </rPh>
    <phoneticPr fontId="1"/>
  </si>
  <si>
    <t>PM2-1</t>
    <phoneticPr fontId="1"/>
  </si>
  <si>
    <t>ソフト会社</t>
    <rPh sb="3" eb="5">
      <t>カイシャ</t>
    </rPh>
    <phoneticPr fontId="1"/>
  </si>
  <si>
    <t>DHCPで実施</t>
    <rPh sb="5" eb="7">
      <t>ジッシ</t>
    </rPh>
    <phoneticPr fontId="1"/>
  </si>
  <si>
    <t>MLサーバー</t>
    <phoneticPr fontId="1"/>
  </si>
  <si>
    <t>DHCPリレー</t>
    <phoneticPr fontId="1"/>
  </si>
  <si>
    <t>P社</t>
    <rPh sb="1" eb="2">
      <t>シャ</t>
    </rPh>
    <phoneticPr fontId="1"/>
  </si>
  <si>
    <t>FWのフィルタリング</t>
    <phoneticPr fontId="1"/>
  </si>
  <si>
    <t>通信の送信元</t>
    <rPh sb="0" eb="2">
      <t>ツウシン</t>
    </rPh>
    <rPh sb="3" eb="5">
      <t>ソウシン</t>
    </rPh>
    <rPh sb="5" eb="6">
      <t>モト</t>
    </rPh>
    <phoneticPr fontId="1"/>
  </si>
  <si>
    <t>サービス組み合わせ</t>
    <rPh sb="4" eb="5">
      <t>ク</t>
    </rPh>
    <rPh sb="6" eb="7">
      <t>ア</t>
    </rPh>
    <phoneticPr fontId="1"/>
  </si>
  <si>
    <t>通信の許可、否定を指定</t>
    <rPh sb="0" eb="2">
      <t>ツウシン</t>
    </rPh>
    <rPh sb="3" eb="5">
      <t>キョカ</t>
    </rPh>
    <rPh sb="6" eb="8">
      <t>ヒテイ</t>
    </rPh>
    <rPh sb="9" eb="11">
      <t>シテイ</t>
    </rPh>
    <phoneticPr fontId="1"/>
  </si>
  <si>
    <t>P社MSBでのML</t>
    <rPh sb="1" eb="2">
      <t>シャ</t>
    </rPh>
    <phoneticPr fontId="1"/>
  </si>
  <si>
    <t>サブドメイン</t>
    <phoneticPr fontId="1"/>
  </si>
  <si>
    <t>ローカル部としてドメイン</t>
    <rPh sb="4" eb="5">
      <t>ブ</t>
    </rPh>
    <phoneticPr fontId="1"/>
  </si>
  <si>
    <t>SVでログ</t>
    <phoneticPr fontId="1"/>
  </si>
  <si>
    <t>外部MSV社内MSV</t>
    <rPh sb="0" eb="2">
      <t>ガイブ</t>
    </rPh>
    <rPh sb="5" eb="7">
      <t>シャナイ</t>
    </rPh>
    <phoneticPr fontId="1"/>
  </si>
  <si>
    <t>ドメインとサブドメイン</t>
    <phoneticPr fontId="1"/>
  </si>
  <si>
    <t>IPアドレスブロック</t>
    <phoneticPr fontId="1"/>
  </si>
  <si>
    <t>a: ウ</t>
    <phoneticPr fontId="1"/>
  </si>
  <si>
    <t>b: ア</t>
    <phoneticPr fontId="1"/>
  </si>
  <si>
    <t>c: エ</t>
    <phoneticPr fontId="1"/>
  </si>
  <si>
    <t>d: ア</t>
    <phoneticPr fontId="1"/>
  </si>
  <si>
    <t>MRA</t>
    <phoneticPr fontId="1"/>
  </si>
  <si>
    <t>ウイルススキャン</t>
    <phoneticPr fontId="1"/>
  </si>
  <si>
    <t>プロジェクトごと</t>
    <phoneticPr fontId="1"/>
  </si>
  <si>
    <t>MLアドレス割り当て</t>
    <rPh sb="6" eb="7">
      <t>ワ</t>
    </rPh>
    <rPh sb="8" eb="9">
      <t>ア</t>
    </rPh>
    <phoneticPr fontId="1"/>
  </si>
  <si>
    <t>終了時にML削除</t>
    <rPh sb="0" eb="3">
      <t>シュウリョウジ</t>
    </rPh>
    <rPh sb="6" eb="8">
      <t>サクジョ</t>
    </rPh>
    <phoneticPr fontId="1"/>
  </si>
  <si>
    <t>MLサーバにメール</t>
    <phoneticPr fontId="1"/>
  </si>
  <si>
    <t>同報プログラム</t>
    <rPh sb="0" eb="2">
      <t>ドウホウ</t>
    </rPh>
    <phoneticPr fontId="1"/>
  </si>
  <si>
    <t>2-(1)</t>
    <phoneticPr fontId="1"/>
  </si>
  <si>
    <t>送信者メールアドレスは、送信の許可と拒否の判定には使用していないから</t>
    <rPh sb="0" eb="3">
      <t>ソウシンシャ</t>
    </rPh>
    <rPh sb="12" eb="14">
      <t>ソウシン</t>
    </rPh>
    <rPh sb="15" eb="17">
      <t>キョカ</t>
    </rPh>
    <rPh sb="18" eb="20">
      <t>キョヒ</t>
    </rPh>
    <rPh sb="21" eb="23">
      <t>ハンテイ</t>
    </rPh>
    <rPh sb="25" eb="27">
      <t>シヨウ</t>
    </rPh>
    <phoneticPr fontId="1"/>
  </si>
  <si>
    <t>2-(2)</t>
    <phoneticPr fontId="1"/>
  </si>
  <si>
    <t>社内メールサーバー</t>
    <rPh sb="0" eb="2">
      <t>シャナイ</t>
    </rPh>
    <phoneticPr fontId="1"/>
  </si>
  <si>
    <t>SさんのPCのＩＰアドレスから、送信者メールアドレスがＡさん用であるメールを送信したこと</t>
    <rPh sb="16" eb="19">
      <t>ソウシンシャ</t>
    </rPh>
    <rPh sb="30" eb="31">
      <t>ヨウ</t>
    </rPh>
    <rPh sb="38" eb="40">
      <t>ソウシン</t>
    </rPh>
    <phoneticPr fontId="1"/>
  </si>
  <si>
    <t>ウイルス感染</t>
    <rPh sb="4" eb="6">
      <t>カンセン</t>
    </rPh>
    <phoneticPr fontId="1"/>
  </si>
  <si>
    <t>営業用IP</t>
    <rPh sb="0" eb="3">
      <t>エイギョウヨウ</t>
    </rPh>
    <phoneticPr fontId="1"/>
  </si>
  <si>
    <t>メール受信</t>
    <rPh sb="3" eb="5">
      <t>ジュシン</t>
    </rPh>
    <phoneticPr fontId="1"/>
  </si>
  <si>
    <t>IPのリクエスト</t>
    <phoneticPr fontId="1"/>
  </si>
  <si>
    <t>3-(1)</t>
    <phoneticPr fontId="1"/>
  </si>
  <si>
    <t>プロキシサーバー</t>
    <phoneticPr fontId="1"/>
  </si>
  <si>
    <t>添付ウイルス</t>
    <rPh sb="0" eb="2">
      <t>テンプ</t>
    </rPh>
    <phoneticPr fontId="1"/>
  </si>
  <si>
    <t>駆除と修復</t>
    <rPh sb="0" eb="2">
      <t>クジョ</t>
    </rPh>
    <rPh sb="3" eb="5">
      <t>シュウフク</t>
    </rPh>
    <phoneticPr fontId="1"/>
  </si>
  <si>
    <t>3-(2)</t>
    <phoneticPr fontId="1"/>
  </si>
  <si>
    <t>社内メールサーバーのPOPスキャンを行う</t>
    <rPh sb="0" eb="2">
      <t>シャナイ</t>
    </rPh>
    <rPh sb="18" eb="19">
      <t>オコナ</t>
    </rPh>
    <phoneticPr fontId="1"/>
  </si>
  <si>
    <t>4-(1)</t>
    <phoneticPr fontId="1"/>
  </si>
  <si>
    <t>ドキュメントのファイルを暗号化</t>
    <rPh sb="12" eb="15">
      <t>アンゴウカ</t>
    </rPh>
    <phoneticPr fontId="1"/>
  </si>
  <si>
    <t>ML検討</t>
    <rPh sb="2" eb="4">
      <t>ケントウ</t>
    </rPh>
    <phoneticPr fontId="1"/>
  </si>
  <si>
    <t>社外メンバ登録MLのドメイン名として、新たなP社サブドメイン名を使用する。</t>
    <rPh sb="0" eb="2">
      <t>シャガイ</t>
    </rPh>
    <rPh sb="5" eb="7">
      <t>トウロク</t>
    </rPh>
    <rPh sb="14" eb="15">
      <t>メイ</t>
    </rPh>
    <rPh sb="19" eb="20">
      <t>アラ</t>
    </rPh>
    <rPh sb="23" eb="24">
      <t>シャ</t>
    </rPh>
    <rPh sb="30" eb="31">
      <t>メイ</t>
    </rPh>
    <rPh sb="32" eb="34">
      <t>シヨウ</t>
    </rPh>
    <phoneticPr fontId="1"/>
  </si>
  <si>
    <t>社外メンバ登録MLのドメイン名を許可済みドメイン名に含める</t>
    <rPh sb="0" eb="2">
      <t>シャガイ</t>
    </rPh>
    <rPh sb="5" eb="7">
      <t>トウロク</t>
    </rPh>
    <rPh sb="14" eb="15">
      <t>メイ</t>
    </rPh>
    <rPh sb="16" eb="19">
      <t>キョカズ</t>
    </rPh>
    <rPh sb="24" eb="25">
      <t>メイ</t>
    </rPh>
    <rPh sb="26" eb="27">
      <t>フク</t>
    </rPh>
    <phoneticPr fontId="1"/>
  </si>
  <si>
    <t>4-(2)</t>
    <phoneticPr fontId="1"/>
  </si>
  <si>
    <t>MSの受信者ドメインごとの処理変更案がダメ</t>
    <rPh sb="3" eb="6">
      <t>ジュシンシャ</t>
    </rPh>
    <rPh sb="13" eb="18">
      <t>ショリヘンコウアン</t>
    </rPh>
    <phoneticPr fontId="1"/>
  </si>
  <si>
    <t>2: 社内メールサーバーに転送する</t>
    <rPh sb="3" eb="5">
      <t>シャナイ</t>
    </rPh>
    <rPh sb="13" eb="15">
      <t>テンソウ</t>
    </rPh>
    <phoneticPr fontId="1"/>
  </si>
  <si>
    <t>11:社内メールサーバーに転送する</t>
    <rPh sb="3" eb="5">
      <t>シャナイ</t>
    </rPh>
    <rPh sb="13" eb="15">
      <t>テンソウ</t>
    </rPh>
    <phoneticPr fontId="1"/>
  </si>
  <si>
    <t>4-(3)</t>
    <phoneticPr fontId="1"/>
  </si>
  <si>
    <t>協力会社のメンバーのIPアドレス</t>
    <rPh sb="0" eb="4">
      <t>キョウリョクカイシャ</t>
    </rPh>
    <phoneticPr fontId="1"/>
  </si>
  <si>
    <t>4-(4)</t>
    <phoneticPr fontId="1"/>
  </si>
  <si>
    <t>メールからウィルスが広まった場合、連絡手段としてつかえなくなるから</t>
    <rPh sb="10" eb="11">
      <t>ヒロ</t>
    </rPh>
    <rPh sb="14" eb="16">
      <t>バアイ</t>
    </rPh>
    <rPh sb="17" eb="21">
      <t>レンラクシュダン</t>
    </rPh>
    <phoneticPr fontId="1"/>
  </si>
  <si>
    <t>4-(5)</t>
    <phoneticPr fontId="1"/>
  </si>
  <si>
    <t>エンベロープの送信者メールアドレスに、MLアドレス管理者のメールアドレスを設定する</t>
    <rPh sb="7" eb="10">
      <t>ソウシンシャ</t>
    </rPh>
    <rPh sb="25" eb="28">
      <t>カンリシャ</t>
    </rPh>
    <rPh sb="37" eb="39">
      <t>セッテイ</t>
    </rPh>
    <phoneticPr fontId="1"/>
  </si>
  <si>
    <t>社外MLアドレスは連絡手段</t>
    <rPh sb="0" eb="2">
      <t>シャガイ</t>
    </rPh>
    <rPh sb="9" eb="11">
      <t>レンラク</t>
    </rPh>
    <rPh sb="11" eb="13">
      <t>シュダン</t>
    </rPh>
    <phoneticPr fontId="1"/>
  </si>
  <si>
    <t>ファイル添付NG</t>
    <rPh sb="4" eb="6">
      <t>テンプ</t>
    </rPh>
    <phoneticPr fontId="1"/>
  </si>
  <si>
    <t>利用者認証</t>
    <rPh sb="0" eb="3">
      <t>リヨウシャ</t>
    </rPh>
    <rPh sb="3" eb="5">
      <t>ニンショウ</t>
    </rPh>
    <phoneticPr fontId="1"/>
  </si>
  <si>
    <t>情報こうk何を実現</t>
    <rPh sb="0" eb="2">
      <t>ジョウホウ</t>
    </rPh>
    <rPh sb="5" eb="6">
      <t>ナン</t>
    </rPh>
    <rPh sb="7" eb="9">
      <t>ジツゲン</t>
    </rPh>
    <phoneticPr fontId="1"/>
  </si>
  <si>
    <t>アクセス状況をログとして記録</t>
    <rPh sb="4" eb="6">
      <t>ジョウキョウ</t>
    </rPh>
    <rPh sb="12" eb="14">
      <t>キロク</t>
    </rPh>
    <phoneticPr fontId="1"/>
  </si>
  <si>
    <t>アップロード時に情報の間違い確認を促す表示を行う機能</t>
    <rPh sb="6" eb="7">
      <t>ジ</t>
    </rPh>
    <rPh sb="8" eb="10">
      <t>ジョウホウ</t>
    </rPh>
    <rPh sb="11" eb="13">
      <t>マチガ</t>
    </rPh>
    <rPh sb="14" eb="16">
      <t>カクニン</t>
    </rPh>
    <rPh sb="17" eb="18">
      <t>ウナガ</t>
    </rPh>
    <rPh sb="19" eb="21">
      <t>ヒョウジ</t>
    </rPh>
    <rPh sb="22" eb="23">
      <t>オコナ</t>
    </rPh>
    <rPh sb="24" eb="26">
      <t>キノウ</t>
    </rPh>
    <phoneticPr fontId="1"/>
  </si>
  <si>
    <t>プロジェクト、利用者ごとのアクセス権限を設定する機能</t>
    <rPh sb="7" eb="10">
      <t>リヨウシャ</t>
    </rPh>
    <rPh sb="17" eb="19">
      <t>ケンゲン</t>
    </rPh>
    <rPh sb="20" eb="22">
      <t>セッテイ</t>
    </rPh>
    <rPh sb="24" eb="26">
      <t>キノウ</t>
    </rPh>
    <phoneticPr fontId="1"/>
  </si>
  <si>
    <t>5-(1)</t>
    <phoneticPr fontId="1"/>
  </si>
  <si>
    <t>5-(2)</t>
    <phoneticPr fontId="1"/>
  </si>
  <si>
    <t>プロジェクト管理者に確認を行う</t>
    <rPh sb="6" eb="9">
      <t>カンリシャ</t>
    </rPh>
    <rPh sb="10" eb="12">
      <t>カクニン</t>
    </rPh>
    <rPh sb="13" eb="14">
      <t>オコナ</t>
    </rPh>
    <phoneticPr fontId="1"/>
  </si>
  <si>
    <t>2011-春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</si>
</sst>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topLeftCell="C1" workbookViewId="0">
      <selection activeCell="H8" sqref="H8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2</v>
      </c>
      <c r="B2" s="2" t="s">
        <v>149</v>
      </c>
      <c r="C2" s="2" t="s">
        <v>81</v>
      </c>
      <c r="D2">
        <v>55</v>
      </c>
      <c r="E2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65C00-34A1-453A-B54E-4A258757D779}">
  <sheetPr codeName="Sheet4"/>
  <dimension ref="A1:Q167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RowHeight="18.75"/>
  <cols>
    <col min="1" max="1" width="9" style="2"/>
    <col min="2" max="2" width="54.375" style="1" customWidth="1"/>
    <col min="3" max="3" width="9.75" customWidth="1"/>
  </cols>
  <sheetData>
    <row r="1" spans="1:17">
      <c r="A1" s="2" t="s">
        <v>0</v>
      </c>
      <c r="B1" s="1" t="s">
        <v>13</v>
      </c>
    </row>
    <row r="2" spans="1:17">
      <c r="A2" s="2" t="s">
        <v>2</v>
      </c>
      <c r="B2" s="3" t="s">
        <v>12</v>
      </c>
      <c r="D2">
        <f>SUM(D4:D1000)</f>
        <v>0</v>
      </c>
      <c r="E2">
        <f>SUM(E4:E1000)</f>
        <v>0</v>
      </c>
    </row>
    <row r="3" spans="1:1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7">
      <c r="A4" s="2" t="s">
        <v>22</v>
      </c>
      <c r="B4" s="1" t="s">
        <v>23</v>
      </c>
      <c r="C4">
        <f>IF(B4&lt;&gt;"",LEN(B4),"")</f>
        <v>6</v>
      </c>
      <c r="F4">
        <v>1</v>
      </c>
      <c r="G4" t="s">
        <v>14</v>
      </c>
      <c r="I4" t="s">
        <v>24</v>
      </c>
      <c r="K4" t="s">
        <v>31</v>
      </c>
      <c r="M4" t="s">
        <v>39</v>
      </c>
      <c r="O4" t="s">
        <v>45</v>
      </c>
    </row>
    <row r="5" spans="1:17">
      <c r="B5" s="1" t="s">
        <v>34</v>
      </c>
      <c r="C5">
        <f t="shared" ref="C5:C68" si="0">IF(B5&lt;&gt;"",LEN(B5),"")</f>
        <v>6</v>
      </c>
      <c r="F5">
        <v>1</v>
      </c>
      <c r="G5" t="s">
        <v>15</v>
      </c>
      <c r="I5" t="s">
        <v>25</v>
      </c>
      <c r="K5" t="s">
        <v>27</v>
      </c>
      <c r="M5" t="s">
        <v>40</v>
      </c>
      <c r="O5" t="s">
        <v>30</v>
      </c>
    </row>
    <row r="6" spans="1:17">
      <c r="A6" s="2" t="s">
        <v>33</v>
      </c>
      <c r="B6" s="1" t="s">
        <v>43</v>
      </c>
      <c r="C6">
        <f t="shared" si="0"/>
        <v>28</v>
      </c>
      <c r="F6">
        <v>1</v>
      </c>
      <c r="G6" t="s">
        <v>16</v>
      </c>
      <c r="I6" t="s">
        <v>26</v>
      </c>
      <c r="K6" t="s">
        <v>32</v>
      </c>
      <c r="M6" t="s">
        <v>41</v>
      </c>
      <c r="O6" t="s">
        <v>46</v>
      </c>
    </row>
    <row r="7" spans="1:17">
      <c r="A7" s="2" t="s">
        <v>44</v>
      </c>
      <c r="B7" s="1" t="s">
        <v>54</v>
      </c>
      <c r="C7">
        <f t="shared" si="0"/>
        <v>18</v>
      </c>
      <c r="F7">
        <v>1</v>
      </c>
      <c r="G7" t="s">
        <v>17</v>
      </c>
      <c r="I7" t="s">
        <v>27</v>
      </c>
      <c r="K7" t="s">
        <v>35</v>
      </c>
      <c r="M7" t="s">
        <v>42</v>
      </c>
      <c r="O7" t="s">
        <v>47</v>
      </c>
    </row>
    <row r="8" spans="1:17">
      <c r="B8" s="1" t="s">
        <v>55</v>
      </c>
      <c r="C8">
        <f t="shared" si="0"/>
        <v>24</v>
      </c>
      <c r="F8">
        <v>1</v>
      </c>
      <c r="G8" t="s">
        <v>18</v>
      </c>
      <c r="I8" t="s">
        <v>28</v>
      </c>
      <c r="K8" t="s">
        <v>36</v>
      </c>
      <c r="M8" t="s">
        <v>48</v>
      </c>
      <c r="O8" t="s">
        <v>52</v>
      </c>
    </row>
    <row r="9" spans="1:17">
      <c r="A9" s="2" t="s">
        <v>61</v>
      </c>
      <c r="B9" s="1" t="s">
        <v>62</v>
      </c>
      <c r="C9">
        <f t="shared" si="0"/>
        <v>28</v>
      </c>
      <c r="F9">
        <v>1</v>
      </c>
      <c r="G9" t="s">
        <v>19</v>
      </c>
      <c r="I9" t="s">
        <v>29</v>
      </c>
      <c r="K9" t="s">
        <v>28</v>
      </c>
      <c r="M9" t="s">
        <v>49</v>
      </c>
      <c r="O9" t="s">
        <v>40</v>
      </c>
    </row>
    <row r="10" spans="1:17">
      <c r="A10" s="2" t="s">
        <v>63</v>
      </c>
      <c r="B10" s="1" t="s">
        <v>64</v>
      </c>
      <c r="C10">
        <f t="shared" si="0"/>
        <v>4</v>
      </c>
      <c r="F10">
        <v>1</v>
      </c>
      <c r="G10" t="s">
        <v>20</v>
      </c>
      <c r="I10" t="s">
        <v>30</v>
      </c>
      <c r="K10" t="s">
        <v>37</v>
      </c>
      <c r="M10" t="s">
        <v>50</v>
      </c>
      <c r="O10" t="s">
        <v>53</v>
      </c>
    </row>
    <row r="11" spans="1:17">
      <c r="A11" s="2" t="s">
        <v>65</v>
      </c>
      <c r="B11" s="1" t="s">
        <v>68</v>
      </c>
      <c r="C11">
        <f t="shared" si="0"/>
        <v>4</v>
      </c>
      <c r="F11">
        <v>0</v>
      </c>
      <c r="G11" t="s">
        <v>21</v>
      </c>
      <c r="K11" t="s">
        <v>38</v>
      </c>
      <c r="M11" t="s">
        <v>51</v>
      </c>
    </row>
    <row r="12" spans="1:17">
      <c r="A12" s="2" t="s">
        <v>69</v>
      </c>
      <c r="C12" t="str">
        <f t="shared" si="0"/>
        <v/>
      </c>
    </row>
    <row r="13" spans="1:17">
      <c r="C13" t="str">
        <f t="shared" si="0"/>
        <v/>
      </c>
      <c r="G13" t="s">
        <v>56</v>
      </c>
      <c r="I13" t="s">
        <v>60</v>
      </c>
      <c r="K13" t="s">
        <v>70</v>
      </c>
      <c r="M13" t="s">
        <v>73</v>
      </c>
      <c r="O13" t="s">
        <v>76</v>
      </c>
      <c r="Q13" t="s">
        <v>78</v>
      </c>
    </row>
    <row r="14" spans="1:17">
      <c r="C14" t="str">
        <f t="shared" si="0"/>
        <v/>
      </c>
      <c r="G14" t="s">
        <v>57</v>
      </c>
      <c r="I14" t="s">
        <v>66</v>
      </c>
      <c r="K14" t="s">
        <v>71</v>
      </c>
      <c r="M14" t="s">
        <v>74</v>
      </c>
      <c r="O14" t="s">
        <v>77</v>
      </c>
    </row>
    <row r="15" spans="1:17">
      <c r="C15" t="str">
        <f t="shared" si="0"/>
        <v/>
      </c>
      <c r="G15" t="s">
        <v>58</v>
      </c>
      <c r="I15" t="s">
        <v>67</v>
      </c>
      <c r="K15" t="s">
        <v>72</v>
      </c>
      <c r="M15" t="s">
        <v>75</v>
      </c>
      <c r="O15" t="s">
        <v>79</v>
      </c>
    </row>
    <row r="16" spans="1:17">
      <c r="C16" t="str">
        <f t="shared" si="0"/>
        <v/>
      </c>
      <c r="G16" t="s">
        <v>59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DD859-FBF7-40E2-B0D0-EB79053AE898}">
  <sheetPr codeName="Sheet5"/>
  <dimension ref="A1:O167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8" sqref="F18"/>
    </sheetView>
  </sheetViews>
  <sheetFormatPr defaultRowHeight="18.75"/>
  <cols>
    <col min="1" max="1" width="9" style="2"/>
    <col min="2" max="2" width="61" style="1" customWidth="1"/>
    <col min="3" max="3" width="9.75" customWidth="1"/>
  </cols>
  <sheetData>
    <row r="1" spans="1:15">
      <c r="A1" s="2" t="s">
        <v>0</v>
      </c>
      <c r="B1" s="1" t="s">
        <v>80</v>
      </c>
    </row>
    <row r="2" spans="1:15">
      <c r="A2" s="2" t="s">
        <v>2</v>
      </c>
      <c r="B2" s="3" t="s">
        <v>81</v>
      </c>
      <c r="D2">
        <f>SUM(D4:D1000)</f>
        <v>55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22</v>
      </c>
      <c r="B4" s="1" t="s">
        <v>98</v>
      </c>
      <c r="C4">
        <f>IF(B4&lt;&gt;"",LEN(B4),"")</f>
        <v>4</v>
      </c>
      <c r="D4">
        <f>E4*F4</f>
        <v>3</v>
      </c>
      <c r="E4">
        <v>3</v>
      </c>
      <c r="F4">
        <v>1</v>
      </c>
    </row>
    <row r="5" spans="1:15">
      <c r="B5" s="1" t="s">
        <v>99</v>
      </c>
      <c r="C5">
        <f t="shared" ref="C5:C68" si="0">IF(B5&lt;&gt;"",LEN(B5),"")</f>
        <v>4</v>
      </c>
      <c r="D5">
        <f t="shared" ref="D5:D22" si="1">E5*F5</f>
        <v>3</v>
      </c>
      <c r="E5">
        <v>3</v>
      </c>
      <c r="F5">
        <v>1</v>
      </c>
      <c r="G5" t="s">
        <v>86</v>
      </c>
      <c r="I5" t="s">
        <v>87</v>
      </c>
      <c r="K5" t="s">
        <v>92</v>
      </c>
      <c r="M5" t="s">
        <v>95</v>
      </c>
      <c r="O5" t="s">
        <v>102</v>
      </c>
    </row>
    <row r="6" spans="1:15">
      <c r="B6" s="1" t="s">
        <v>100</v>
      </c>
      <c r="C6">
        <f t="shared" si="0"/>
        <v>4</v>
      </c>
      <c r="D6">
        <f t="shared" si="1"/>
        <v>3</v>
      </c>
      <c r="E6">
        <v>3</v>
      </c>
      <c r="F6">
        <v>1</v>
      </c>
      <c r="G6" t="s">
        <v>82</v>
      </c>
      <c r="I6" t="s">
        <v>88</v>
      </c>
      <c r="K6" t="s">
        <v>93</v>
      </c>
      <c r="M6" t="s">
        <v>96</v>
      </c>
      <c r="O6" t="s">
        <v>103</v>
      </c>
    </row>
    <row r="7" spans="1:15">
      <c r="B7" s="1" t="s">
        <v>101</v>
      </c>
      <c r="C7">
        <f t="shared" si="0"/>
        <v>4</v>
      </c>
      <c r="D7">
        <f t="shared" si="1"/>
        <v>0</v>
      </c>
      <c r="E7">
        <v>3</v>
      </c>
      <c r="F7">
        <v>0</v>
      </c>
      <c r="G7" t="s">
        <v>83</v>
      </c>
      <c r="I7" t="s">
        <v>89</v>
      </c>
      <c r="K7" t="s">
        <v>94</v>
      </c>
      <c r="M7" t="s">
        <v>97</v>
      </c>
      <c r="O7" t="s">
        <v>108</v>
      </c>
    </row>
    <row r="8" spans="1:15" ht="37.5">
      <c r="A8" s="2" t="s">
        <v>109</v>
      </c>
      <c r="B8" s="1" t="s">
        <v>110</v>
      </c>
      <c r="C8">
        <f t="shared" si="0"/>
        <v>34</v>
      </c>
      <c r="D8">
        <f t="shared" si="1"/>
        <v>6</v>
      </c>
      <c r="E8">
        <v>6</v>
      </c>
      <c r="F8">
        <v>1</v>
      </c>
      <c r="G8" t="s">
        <v>84</v>
      </c>
      <c r="I8" t="s">
        <v>90</v>
      </c>
      <c r="K8" t="s">
        <v>104</v>
      </c>
      <c r="M8" t="s">
        <v>106</v>
      </c>
    </row>
    <row r="9" spans="1:15">
      <c r="A9" s="2" t="s">
        <v>111</v>
      </c>
      <c r="B9" s="1" t="s">
        <v>112</v>
      </c>
      <c r="C9">
        <f t="shared" si="0"/>
        <v>9</v>
      </c>
      <c r="D9">
        <f t="shared" si="1"/>
        <v>4</v>
      </c>
      <c r="E9">
        <v>4</v>
      </c>
      <c r="F9">
        <v>1</v>
      </c>
      <c r="G9" t="s">
        <v>85</v>
      </c>
      <c r="I9" t="s">
        <v>91</v>
      </c>
      <c r="K9" t="s">
        <v>105</v>
      </c>
      <c r="M9" t="s">
        <v>107</v>
      </c>
    </row>
    <row r="10" spans="1:15" ht="37.5">
      <c r="B10" s="1" t="s">
        <v>113</v>
      </c>
      <c r="C10">
        <f t="shared" si="0"/>
        <v>44</v>
      </c>
      <c r="D10">
        <f t="shared" si="1"/>
        <v>6</v>
      </c>
      <c r="E10">
        <v>6</v>
      </c>
      <c r="F10">
        <v>1</v>
      </c>
      <c r="G10" t="s">
        <v>114</v>
      </c>
      <c r="I10" t="s">
        <v>115</v>
      </c>
      <c r="K10" t="s">
        <v>120</v>
      </c>
      <c r="M10" t="s">
        <v>125</v>
      </c>
    </row>
    <row r="11" spans="1:15">
      <c r="A11" s="2" t="s">
        <v>118</v>
      </c>
      <c r="B11" s="1" t="s">
        <v>119</v>
      </c>
      <c r="C11">
        <f t="shared" si="0"/>
        <v>8</v>
      </c>
      <c r="D11">
        <f t="shared" si="1"/>
        <v>6</v>
      </c>
      <c r="E11">
        <v>6</v>
      </c>
      <c r="F11">
        <v>1</v>
      </c>
      <c r="G11" t="s">
        <v>141</v>
      </c>
      <c r="I11" t="s">
        <v>116</v>
      </c>
      <c r="K11" t="s">
        <v>121</v>
      </c>
      <c r="M11" t="s">
        <v>126</v>
      </c>
    </row>
    <row r="12" spans="1:15">
      <c r="A12" s="2" t="s">
        <v>122</v>
      </c>
      <c r="B12" s="1" t="s">
        <v>123</v>
      </c>
      <c r="C12">
        <f t="shared" si="0"/>
        <v>20</v>
      </c>
      <c r="D12">
        <f t="shared" si="1"/>
        <v>0</v>
      </c>
      <c r="E12">
        <v>6</v>
      </c>
      <c r="F12">
        <v>0</v>
      </c>
      <c r="G12" t="s">
        <v>142</v>
      </c>
      <c r="I12" t="s">
        <v>117</v>
      </c>
    </row>
    <row r="13" spans="1:15" ht="37.5">
      <c r="A13" s="2" t="s">
        <v>124</v>
      </c>
      <c r="B13" s="1" t="s">
        <v>127</v>
      </c>
      <c r="C13">
        <f t="shared" si="0"/>
        <v>37</v>
      </c>
      <c r="D13">
        <f t="shared" si="1"/>
        <v>6</v>
      </c>
      <c r="E13">
        <v>6</v>
      </c>
      <c r="F13">
        <v>1</v>
      </c>
      <c r="G13" t="s">
        <v>143</v>
      </c>
      <c r="I13" t="s">
        <v>130</v>
      </c>
    </row>
    <row r="14" spans="1:15">
      <c r="B14" s="1" t="s">
        <v>128</v>
      </c>
      <c r="C14">
        <f t="shared" si="0"/>
        <v>29</v>
      </c>
      <c r="D14">
        <f t="shared" si="1"/>
        <v>0</v>
      </c>
      <c r="E14">
        <v>6</v>
      </c>
      <c r="F14">
        <v>0</v>
      </c>
      <c r="I14" t="s">
        <v>139</v>
      </c>
    </row>
    <row r="15" spans="1:15">
      <c r="A15" s="2" t="s">
        <v>129</v>
      </c>
      <c r="B15" s="1" t="s">
        <v>131</v>
      </c>
      <c r="C15">
        <f t="shared" si="0"/>
        <v>17</v>
      </c>
      <c r="D15">
        <f t="shared" si="1"/>
        <v>6</v>
      </c>
      <c r="E15">
        <v>6</v>
      </c>
      <c r="F15">
        <v>1</v>
      </c>
      <c r="I15" t="s">
        <v>140</v>
      </c>
    </row>
    <row r="16" spans="1:15">
      <c r="B16" s="1" t="s">
        <v>132</v>
      </c>
      <c r="C16">
        <f t="shared" si="0"/>
        <v>17</v>
      </c>
      <c r="D16">
        <f t="shared" si="1"/>
        <v>0</v>
      </c>
      <c r="E16">
        <v>6</v>
      </c>
      <c r="F16">
        <v>0</v>
      </c>
    </row>
    <row r="17" spans="1:6">
      <c r="A17" s="2" t="s">
        <v>133</v>
      </c>
      <c r="B17" s="1" t="s">
        <v>134</v>
      </c>
      <c r="C17">
        <f t="shared" si="0"/>
        <v>16</v>
      </c>
      <c r="D17">
        <f t="shared" si="1"/>
        <v>0</v>
      </c>
      <c r="E17">
        <v>6</v>
      </c>
      <c r="F17">
        <v>0</v>
      </c>
    </row>
    <row r="18" spans="1:6" ht="37.5">
      <c r="A18" s="2" t="s">
        <v>135</v>
      </c>
      <c r="B18" s="1" t="s">
        <v>136</v>
      </c>
      <c r="C18">
        <f t="shared" si="0"/>
        <v>33</v>
      </c>
      <c r="D18">
        <f t="shared" si="1"/>
        <v>0</v>
      </c>
      <c r="E18">
        <v>6</v>
      </c>
      <c r="F18">
        <v>0</v>
      </c>
    </row>
    <row r="19" spans="1:6" ht="37.5">
      <c r="A19" s="2" t="s">
        <v>137</v>
      </c>
      <c r="B19" s="1" t="s">
        <v>138</v>
      </c>
      <c r="C19">
        <f t="shared" si="0"/>
        <v>41</v>
      </c>
      <c r="D19">
        <f t="shared" si="1"/>
        <v>3</v>
      </c>
      <c r="E19">
        <v>6</v>
      </c>
      <c r="F19">
        <v>0.5</v>
      </c>
    </row>
    <row r="20" spans="1:6">
      <c r="A20" s="2" t="s">
        <v>146</v>
      </c>
      <c r="B20" s="1" t="s">
        <v>144</v>
      </c>
      <c r="C20">
        <f t="shared" si="0"/>
        <v>26</v>
      </c>
      <c r="D20">
        <f t="shared" si="1"/>
        <v>3</v>
      </c>
      <c r="E20">
        <v>6</v>
      </c>
      <c r="F20">
        <v>0.5</v>
      </c>
    </row>
    <row r="21" spans="1:6">
      <c r="B21" s="1" t="s">
        <v>145</v>
      </c>
      <c r="C21">
        <f t="shared" si="0"/>
        <v>26</v>
      </c>
      <c r="D21">
        <f t="shared" si="1"/>
        <v>3</v>
      </c>
      <c r="E21">
        <v>6</v>
      </c>
      <c r="F21">
        <v>0.5</v>
      </c>
    </row>
    <row r="22" spans="1:6">
      <c r="A22" s="2" t="s">
        <v>147</v>
      </c>
      <c r="B22" s="1" t="s">
        <v>148</v>
      </c>
      <c r="C22">
        <f t="shared" si="0"/>
        <v>15</v>
      </c>
      <c r="D22">
        <f t="shared" si="1"/>
        <v>3</v>
      </c>
      <c r="E22">
        <v>6</v>
      </c>
      <c r="F22">
        <v>0.5</v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C52BC-5F05-40EF-8CE4-CA935F97E41C}">
  <sheetPr codeName="Sheet6"/>
  <dimension ref="A1:E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2025-02-15T05:08:14Z</dcterms:modified>
</cp:coreProperties>
</file>