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5A136849-44FD-404C-AC19-7D3940D1682B}" xr6:coauthVersionLast="47" xr6:coauthVersionMax="47" xr10:uidLastSave="{00000000-0000-0000-0000-000000000000}"/>
  <bookViews>
    <workbookView xWindow="12810" yWindow="1590" windowWidth="14685" windowHeight="14400" activeTab="2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<sst xmlns="http://schemas.openxmlformats.org/spreadsheetml/2006/main" count="92" uniqueCount="80">
  <si>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</si>
  <si>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</si>
  <si>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</si>
  <si>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</si>
  <si>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</si>
  <si>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</si>
  <si>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</si>
  <si>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</si>
  <si>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</si>
  <si>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</si>
  <si>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</si>
  <si>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</si>
  <si>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  <phoneticPr fontId="1"/>
  </si>
  <si>
    <t>2011-秋</t>
    <rPh sb="5" eb="6">
      <t>アキ</t>
    </rPh>
    <phoneticPr fontId="1"/>
  </si>
  <si>
    <t>内部統制強化</t>
    <rPh sb="0" eb="4">
      <t>ナイブトウセイ</t>
    </rPh>
    <rPh sb="4" eb="6">
      <t>キョウカ</t>
    </rPh>
    <phoneticPr fontId="1"/>
  </si>
  <si>
    <t>OSの操作に対する監視</t>
    <rPh sb="3" eb="5">
      <t>ソウサ</t>
    </rPh>
    <rPh sb="6" eb="7">
      <t>タイ</t>
    </rPh>
    <rPh sb="9" eb="11">
      <t>カンシ</t>
    </rPh>
    <phoneticPr fontId="1"/>
  </si>
  <si>
    <t>特権操作のログ</t>
    <rPh sb="0" eb="2">
      <t>トッケン</t>
    </rPh>
    <rPh sb="2" eb="4">
      <t>ソウサ</t>
    </rPh>
    <phoneticPr fontId="1"/>
  </si>
  <si>
    <t>ログ管理</t>
    <rPh sb="2" eb="4">
      <t>カンリ</t>
    </rPh>
    <phoneticPr fontId="1"/>
  </si>
  <si>
    <t>システムログ管理</t>
    <rPh sb="6" eb="8">
      <t>カンリ</t>
    </rPh>
    <phoneticPr fontId="1"/>
  </si>
  <si>
    <t>DC</t>
    <phoneticPr fontId="1"/>
  </si>
  <si>
    <t>UNIX</t>
    <phoneticPr fontId="1"/>
  </si>
  <si>
    <t>PC</t>
    <phoneticPr fontId="1"/>
  </si>
  <si>
    <t>1</t>
    <phoneticPr fontId="1"/>
  </si>
  <si>
    <t>a:DHCP</t>
    <phoneticPr fontId="1"/>
  </si>
  <si>
    <t>OSやミドルウェア</t>
    <phoneticPr fontId="1"/>
  </si>
  <si>
    <t>業務アプリ</t>
    <rPh sb="0" eb="2">
      <t>ギョウム</t>
    </rPh>
    <phoneticPr fontId="1"/>
  </si>
  <si>
    <t>管理端末</t>
    <rPh sb="0" eb="4">
      <t>カンリタンマツ</t>
    </rPh>
    <phoneticPr fontId="1"/>
  </si>
  <si>
    <t>インフラ管理者</t>
    <rPh sb="4" eb="7">
      <t>カンリシャ</t>
    </rPh>
    <phoneticPr fontId="1"/>
  </si>
  <si>
    <t>オペレータ</t>
    <phoneticPr fontId="1"/>
  </si>
  <si>
    <t>OS管理</t>
    <rPh sb="2" eb="4">
      <t>カンリ</t>
    </rPh>
    <phoneticPr fontId="1"/>
  </si>
  <si>
    <t>利用者ID</t>
    <rPh sb="0" eb="3">
      <t>リヨウシャ</t>
    </rPh>
    <phoneticPr fontId="1"/>
  </si>
  <si>
    <t>アプリケーション</t>
    <phoneticPr fontId="1"/>
  </si>
  <si>
    <t>ネットワーク機器</t>
    <rPh sb="6" eb="8">
      <t>キキ</t>
    </rPh>
    <phoneticPr fontId="1"/>
  </si>
  <si>
    <t>2-1</t>
    <phoneticPr fontId="1"/>
  </si>
  <si>
    <t>b: NTP</t>
    <phoneticPr fontId="1"/>
  </si>
  <si>
    <t>業務データの管理</t>
    <rPh sb="0" eb="2">
      <t>ギョウム</t>
    </rPh>
    <rPh sb="6" eb="8">
      <t>カンリ</t>
    </rPh>
    <phoneticPr fontId="1"/>
  </si>
  <si>
    <t>インフラ</t>
    <phoneticPr fontId="1"/>
  </si>
  <si>
    <t>アプリ管理者</t>
    <rPh sb="3" eb="6">
      <t>カンリシャ</t>
    </rPh>
    <phoneticPr fontId="1"/>
  </si>
  <si>
    <t>SIベンダ</t>
    <phoneticPr fontId="1"/>
  </si>
  <si>
    <t>ログ取得</t>
    <rPh sb="2" eb="4">
      <t>シュトク</t>
    </rPh>
    <phoneticPr fontId="1"/>
  </si>
  <si>
    <t>ログ収集</t>
    <rPh sb="2" eb="4">
      <t>シュウシュウ</t>
    </rPh>
    <phoneticPr fontId="1"/>
  </si>
  <si>
    <t>ログ分析</t>
    <rPh sb="2" eb="4">
      <t>ブンセキ</t>
    </rPh>
    <phoneticPr fontId="1"/>
  </si>
  <si>
    <t>Sサーバ</t>
    <phoneticPr fontId="1"/>
  </si>
  <si>
    <t>通信内容が暗号化されていて、ログの内容が分析できないため</t>
    <rPh sb="0" eb="2">
      <t>ツウシン</t>
    </rPh>
    <rPh sb="2" eb="4">
      <t>ナイヨウ</t>
    </rPh>
    <rPh sb="5" eb="8">
      <t>アンゴウカ</t>
    </rPh>
    <rPh sb="17" eb="19">
      <t>ナイヨウ</t>
    </rPh>
    <rPh sb="20" eb="22">
      <t>ブンセキ</t>
    </rPh>
    <phoneticPr fontId="1"/>
  </si>
  <si>
    <t>2-2</t>
    <phoneticPr fontId="1"/>
  </si>
  <si>
    <t>製品R</t>
    <rPh sb="0" eb="2">
      <t>セイヒン</t>
    </rPh>
    <phoneticPr fontId="1"/>
  </si>
  <si>
    <t>ホスト名</t>
    <rPh sb="3" eb="4">
      <t>メイ</t>
    </rPh>
    <phoneticPr fontId="1"/>
  </si>
  <si>
    <t>管理端末でログ取得</t>
    <rPh sb="0" eb="4">
      <t>カンリタンマツ</t>
    </rPh>
    <rPh sb="7" eb="9">
      <t>シュトク</t>
    </rPh>
    <phoneticPr fontId="1"/>
  </si>
  <si>
    <t>Rエージェント</t>
    <phoneticPr fontId="1"/>
  </si>
  <si>
    <t>kiキーボードなどのデータ</t>
    <phoneticPr fontId="1"/>
  </si>
  <si>
    <t>エージェントは取得ログを転送</t>
    <rPh sb="7" eb="9">
      <t>シュトク</t>
    </rPh>
    <rPh sb="12" eb="14">
      <t>テンソウ</t>
    </rPh>
    <phoneticPr fontId="1"/>
  </si>
  <si>
    <t>Rサーバー利用者検索画面</t>
    <rPh sb="5" eb="8">
      <t>リヨウシャ</t>
    </rPh>
    <rPh sb="8" eb="10">
      <t>ケンサク</t>
    </rPh>
    <rPh sb="10" eb="12">
      <t>ガメン</t>
    </rPh>
    <phoneticPr fontId="1"/>
  </si>
  <si>
    <t>Sエージェント</t>
    <phoneticPr fontId="1"/>
  </si>
  <si>
    <t>レコードを転送</t>
    <rPh sb="5" eb="7">
      <t>テンソウ</t>
    </rPh>
    <phoneticPr fontId="1"/>
  </si>
  <si>
    <t>サーバホスト又はサーバのIPアドレス</t>
    <rPh sb="6" eb="7">
      <t>マタ</t>
    </rPh>
    <phoneticPr fontId="1"/>
  </si>
  <si>
    <t>１つのウィンドウだけを使って特権操作を行った場合</t>
    <rPh sb="11" eb="12">
      <t>ツカ</t>
    </rPh>
    <rPh sb="14" eb="16">
      <t>トッケン</t>
    </rPh>
    <rPh sb="16" eb="18">
      <t>ソウサ</t>
    </rPh>
    <rPh sb="19" eb="20">
      <t>オコナ</t>
    </rPh>
    <rPh sb="22" eb="24">
      <t>バアイ</t>
    </rPh>
    <phoneticPr fontId="1"/>
  </si>
  <si>
    <t>DBMSの標準機能</t>
    <rPh sb="5" eb="9">
      <t>ヒョウジュンキノウ</t>
    </rPh>
    <phoneticPr fontId="1"/>
  </si>
  <si>
    <t>影響が大きい</t>
    <rPh sb="0" eb="2">
      <t>エイキョウ</t>
    </rPh>
    <rPh sb="3" eb="4">
      <t>オオ</t>
    </rPh>
    <phoneticPr fontId="1"/>
  </si>
  <si>
    <t>特権操作2ログ取得</t>
    <rPh sb="0" eb="2">
      <t>トッケン</t>
    </rPh>
    <rPh sb="2" eb="4">
      <t>ソウサ</t>
    </rPh>
    <rPh sb="7" eb="9">
      <t>シュトク</t>
    </rPh>
    <phoneticPr fontId="1"/>
  </si>
  <si>
    <t>DBMSが稼働</t>
    <rPh sb="5" eb="7">
      <t>カドウ</t>
    </rPh>
    <phoneticPr fontId="1"/>
  </si>
  <si>
    <t>業務処理の影響が多き</t>
    <rPh sb="0" eb="4">
      <t>ギョウムショリ</t>
    </rPh>
    <rPh sb="5" eb="7">
      <t>エイキョウ</t>
    </rPh>
    <rPh sb="8" eb="9">
      <t>オオ</t>
    </rPh>
    <phoneticPr fontId="1"/>
  </si>
  <si>
    <t>2-3</t>
    <phoneticPr fontId="1"/>
  </si>
  <si>
    <t>DBMSの炉府取得機能がサーバー資源を大量に消費するから</t>
    <rPh sb="5" eb="7">
      <t>ロフ</t>
    </rPh>
    <rPh sb="7" eb="9">
      <t>シュトク</t>
    </rPh>
    <rPh sb="9" eb="11">
      <t>キノウ</t>
    </rPh>
    <rPh sb="16" eb="18">
      <t>シゲン</t>
    </rPh>
    <rPh sb="19" eb="21">
      <t>タイリョウ</t>
    </rPh>
    <rPh sb="22" eb="24">
      <t>ショウヒ</t>
    </rPh>
    <phoneticPr fontId="1"/>
  </si>
  <si>
    <t>2-4</t>
    <phoneticPr fontId="1"/>
  </si>
  <si>
    <t>1, 2</t>
    <phoneticPr fontId="1"/>
  </si>
  <si>
    <t>2-5</t>
    <phoneticPr fontId="1"/>
  </si>
  <si>
    <t>記録すべき内容３と４</t>
    <rPh sb="0" eb="2">
      <t>キロク</t>
    </rPh>
    <rPh sb="5" eb="7">
      <t>ナイヨウ</t>
    </rPh>
    <phoneticPr fontId="1"/>
  </si>
  <si>
    <t>OSとMWの標準</t>
    <rPh sb="6" eb="8">
      <t>ヒョウジュン</t>
    </rPh>
    <phoneticPr fontId="1"/>
  </si>
  <si>
    <t>F, G</t>
    <phoneticPr fontId="1"/>
  </si>
  <si>
    <t>3-1</t>
    <phoneticPr fontId="1"/>
  </si>
  <si>
    <t>特権操作1のログ</t>
    <rPh sb="0" eb="2">
      <t>トッケン</t>
    </rPh>
    <rPh sb="2" eb="4">
      <t>ソウサ</t>
    </rPh>
    <phoneticPr fontId="1"/>
  </si>
  <si>
    <t>収集保存</t>
    <rPh sb="0" eb="4">
      <t>シュウシュウホゾン</t>
    </rPh>
    <phoneticPr fontId="1"/>
  </si>
  <si>
    <t>Rで取得ログを対称</t>
    <rPh sb="2" eb="4">
      <t>シュトク</t>
    </rPh>
    <rPh sb="7" eb="9">
      <t>タイショウ</t>
    </rPh>
    <phoneticPr fontId="1"/>
  </si>
  <si>
    <t>収集保存機能</t>
    <rPh sb="0" eb="4">
      <t>シュウシュウホゾン</t>
    </rPh>
    <rPh sb="4" eb="6">
      <t>キノウ</t>
    </rPh>
    <phoneticPr fontId="1"/>
  </si>
  <si>
    <t>Rログを対象</t>
    <rPh sb="4" eb="6">
      <t>タイショウ</t>
    </rPh>
    <phoneticPr fontId="1"/>
  </si>
  <si>
    <t>Sは運用管理</t>
    <rPh sb="2" eb="4">
      <t>ウンヨウ</t>
    </rPh>
    <rPh sb="4" eb="6">
      <t>カンリ</t>
    </rPh>
    <phoneticPr fontId="1"/>
  </si>
  <si>
    <t>ログデータの領域がいっぱい</t>
    <rPh sb="6" eb="8">
      <t>リョウイキ</t>
    </rPh>
    <phoneticPr fontId="1"/>
  </si>
  <si>
    <t>先頭から上書き</t>
    <rPh sb="0" eb="2">
      <t>セントウ</t>
    </rPh>
    <rPh sb="4" eb="6">
      <t>ウワガ</t>
    </rPh>
    <phoneticPr fontId="1"/>
  </si>
  <si>
    <t>特権1と特権3</t>
    <rPh sb="0" eb="2">
      <t>トッケン</t>
    </rPh>
    <rPh sb="4" eb="6">
      <t>トッケン</t>
    </rPh>
    <phoneticPr fontId="1"/>
  </si>
  <si>
    <t>障害以外で取得できない</t>
    <rPh sb="0" eb="2">
      <t>ショウガイ</t>
    </rPh>
    <rPh sb="2" eb="4">
      <t>イガイ</t>
    </rPh>
    <rPh sb="5" eb="7">
      <t>シュトク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</si>
</sst>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H8" sqref="H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5C00-34A1-453A-B54E-4A258757D779}">
  <sheetPr codeName="Sheet4"/>
  <dimension ref="A1:Q167"/>
  <sheetViews>
    <sheetView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8.75"/>
  <cols>
    <col min="1" max="1" width="9" style="2"/>
    <col min="2" max="2" width="54.375" style="1" customWidth="1"/>
    <col min="3" max="3" width="9.75" customWidth="1"/>
  </cols>
  <sheetData>
    <row r="1" spans="1:17">
      <c r="A1" s="2" t="s">
        <v>0</v>
      </c>
      <c r="B1" s="1" t="s">
        <v>13</v>
      </c>
    </row>
    <row r="2" spans="1:17">
      <c r="A2" s="2" t="s">
        <v>2</v>
      </c>
      <c r="B2" s="3" t="s">
        <v>12</v>
      </c>
      <c r="D2">
        <f>SUM(D4:D1000)</f>
        <v>0</v>
      </c>
      <c r="E2">
        <f>SUM(E4:E1000)</f>
        <v>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22</v>
      </c>
      <c r="B4" s="1" t="s">
        <v>23</v>
      </c>
      <c r="C4">
        <f>IF(B4&lt;&gt;"",LEN(B4),"")</f>
        <v>6</v>
      </c>
      <c r="F4">
        <v>1</v>
      </c>
      <c r="G4" t="s">
        <v>14</v>
      </c>
      <c r="I4" t="s">
        <v>24</v>
      </c>
      <c r="K4" t="s">
        <v>31</v>
      </c>
      <c r="M4" t="s">
        <v>39</v>
      </c>
      <c r="O4" t="s">
        <v>45</v>
      </c>
    </row>
    <row r="5" spans="1:17">
      <c r="B5" s="1" t="s">
        <v>34</v>
      </c>
      <c r="C5">
        <f t="shared" ref="C5:C68" si="0">IF(B5&lt;&gt;"",LEN(B5),"")</f>
        <v>6</v>
      </c>
      <c r="F5">
        <v>1</v>
      </c>
      <c r="G5" t="s">
        <v>15</v>
      </c>
      <c r="I5" t="s">
        <v>25</v>
      </c>
      <c r="K5" t="s">
        <v>27</v>
      </c>
      <c r="M5" t="s">
        <v>40</v>
      </c>
      <c r="O5" t="s">
        <v>30</v>
      </c>
    </row>
    <row r="6" spans="1:17">
      <c r="A6" s="2" t="s">
        <v>33</v>
      </c>
      <c r="B6" s="1" t="s">
        <v>43</v>
      </c>
      <c r="C6">
        <f t="shared" si="0"/>
        <v>28</v>
      </c>
      <c r="F6">
        <v>1</v>
      </c>
      <c r="G6" t="s">
        <v>16</v>
      </c>
      <c r="I6" t="s">
        <v>26</v>
      </c>
      <c r="K6" t="s">
        <v>32</v>
      </c>
      <c r="M6" t="s">
        <v>41</v>
      </c>
      <c r="O6" t="s">
        <v>46</v>
      </c>
    </row>
    <row r="7" spans="1:17">
      <c r="A7" s="2" t="s">
        <v>44</v>
      </c>
      <c r="B7" s="1" t="s">
        <v>54</v>
      </c>
      <c r="C7">
        <f t="shared" si="0"/>
        <v>18</v>
      </c>
      <c r="F7">
        <v>1</v>
      </c>
      <c r="G7" t="s">
        <v>17</v>
      </c>
      <c r="I7" t="s">
        <v>27</v>
      </c>
      <c r="K7" t="s">
        <v>35</v>
      </c>
      <c r="M7" t="s">
        <v>42</v>
      </c>
      <c r="O7" t="s">
        <v>47</v>
      </c>
    </row>
    <row r="8" spans="1:17">
      <c r="B8" s="1" t="s">
        <v>55</v>
      </c>
      <c r="C8">
        <f t="shared" si="0"/>
        <v>24</v>
      </c>
      <c r="F8">
        <v>1</v>
      </c>
      <c r="G8" t="s">
        <v>18</v>
      </c>
      <c r="I8" t="s">
        <v>28</v>
      </c>
      <c r="K8" t="s">
        <v>36</v>
      </c>
      <c r="M8" t="s">
        <v>48</v>
      </c>
      <c r="O8" t="s">
        <v>52</v>
      </c>
    </row>
    <row r="9" spans="1:17">
      <c r="A9" s="2" t="s">
        <v>61</v>
      </c>
      <c r="B9" s="1" t="s">
        <v>62</v>
      </c>
      <c r="C9">
        <f t="shared" si="0"/>
        <v>28</v>
      </c>
      <c r="F9">
        <v>1</v>
      </c>
      <c r="G9" t="s">
        <v>19</v>
      </c>
      <c r="I9" t="s">
        <v>29</v>
      </c>
      <c r="K9" t="s">
        <v>28</v>
      </c>
      <c r="M9" t="s">
        <v>49</v>
      </c>
      <c r="O9" t="s">
        <v>40</v>
      </c>
    </row>
    <row r="10" spans="1:17">
      <c r="A10" s="2" t="s">
        <v>63</v>
      </c>
      <c r="B10" s="1" t="s">
        <v>64</v>
      </c>
      <c r="C10">
        <f t="shared" si="0"/>
        <v>4</v>
      </c>
      <c r="F10">
        <v>1</v>
      </c>
      <c r="G10" t="s">
        <v>20</v>
      </c>
      <c r="I10" t="s">
        <v>30</v>
      </c>
      <c r="K10" t="s">
        <v>37</v>
      </c>
      <c r="M10" t="s">
        <v>50</v>
      </c>
      <c r="O10" t="s">
        <v>53</v>
      </c>
    </row>
    <row r="11" spans="1:17">
      <c r="A11" s="2" t="s">
        <v>65</v>
      </c>
      <c r="B11" s="1" t="s">
        <v>68</v>
      </c>
      <c r="C11">
        <f t="shared" si="0"/>
        <v>4</v>
      </c>
      <c r="F11">
        <v>0</v>
      </c>
      <c r="G11" t="s">
        <v>21</v>
      </c>
      <c r="K11" t="s">
        <v>38</v>
      </c>
      <c r="M11" t="s">
        <v>51</v>
      </c>
    </row>
    <row r="12" spans="1:17">
      <c r="A12" s="2" t="s">
        <v>69</v>
      </c>
      <c r="C12" t="str">
        <f t="shared" si="0"/>
        <v/>
      </c>
    </row>
    <row r="13" spans="1:17">
      <c r="C13" t="str">
        <f t="shared" si="0"/>
        <v/>
      </c>
      <c r="G13" t="s">
        <v>56</v>
      </c>
      <c r="I13" t="s">
        <v>60</v>
      </c>
      <c r="K13" t="s">
        <v>70</v>
      </c>
      <c r="M13" t="s">
        <v>73</v>
      </c>
      <c r="O13" t="s">
        <v>76</v>
      </c>
      <c r="Q13" t="s">
        <v>78</v>
      </c>
    </row>
    <row r="14" spans="1:17">
      <c r="C14" t="str">
        <f t="shared" si="0"/>
        <v/>
      </c>
      <c r="G14" t="s">
        <v>57</v>
      </c>
      <c r="I14" t="s">
        <v>66</v>
      </c>
      <c r="K14" t="s">
        <v>71</v>
      </c>
      <c r="M14" t="s">
        <v>74</v>
      </c>
      <c r="O14" t="s">
        <v>77</v>
      </c>
    </row>
    <row r="15" spans="1:17">
      <c r="C15" t="str">
        <f t="shared" si="0"/>
        <v/>
      </c>
      <c r="G15" t="s">
        <v>58</v>
      </c>
      <c r="I15" t="s">
        <v>67</v>
      </c>
      <c r="K15" t="s">
        <v>72</v>
      </c>
      <c r="M15" t="s">
        <v>75</v>
      </c>
      <c r="O15" t="s">
        <v>79</v>
      </c>
    </row>
    <row r="16" spans="1:17">
      <c r="C16" t="str">
        <f t="shared" si="0"/>
        <v/>
      </c>
      <c r="G16" t="s">
        <v>59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2025-02-13T21:29:32Z</dcterms:modified>
</cp:coreProperties>
</file>