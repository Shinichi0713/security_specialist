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259CB038-204D-4BB1-AB12-62AC175A4DAD}" xr6:coauthVersionLast="47" xr6:coauthVersionMax="47" xr10:uidLastSave="{00000000-0000-0000-0000-000000000000}"/>
  <bookViews>
    <workbookView xWindow="12765" yWindow="2910" windowWidth="13890" windowHeight="1240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6" l="1"/>
  <c r="C24" i="6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11" i="8"/>
  <c r="D10" i="8"/>
  <c r="D9" i="8"/>
  <c r="D2" i="8" s="1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0" i="7"/>
  <c r="D9" i="7"/>
  <c r="D8" i="7"/>
  <c r="D2" i="7" s="1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2" i="6" s="1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<sst xmlns="http://schemas.openxmlformats.org/spreadsheetml/2006/main" count="347" uniqueCount="272">
  <si>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</si>
  <si>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</si>
  <si>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</si>
  <si>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</si>
  <si>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</si>
  <si>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</si>
  <si>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</si>
  <si>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</si>
  <si>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</si>
  <si>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</si>
  <si>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</si>
  <si>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</si>
  <si>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</si>
  <si>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</si>
  <si>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</si>
  <si>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</si>
  <si>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</si>
  <si>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</si>
  <si>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</si>
  <si>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</si>
  <si>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</si>
  <si>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</si>
  <si>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</si>
  <si>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</si>
  <si>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</si>
  <si>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</si>
  <si>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</si>
  <si>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</si>
  <si>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</si>
  <si>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</si>
  <si>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</si>
  <si>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</si>
  <si>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</si>
  <si>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</si>
  <si>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</si>
  <si>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</si>
  <si>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</si>
  <si>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</si>
  <si>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</si>
  <si>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</si>
  <si>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</si>
  <si>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</si>
  <si>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</si>
  <si>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</si>
  <si>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</si>
  <si>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</si>
  <si>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</si>
  <si>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</si>
  <si>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</si>
  <si>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</si>
  <si>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</si>
  <si>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</si>
  <si>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</si>
  <si>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</si>
  <si>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</si>
  <si>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</si>
  <si>
    <t>DBMSの標準機能</t>
    <rPh sb="5" eb="9">
      <t>ヒョウジュンキノウ</t>
    </rPh>
    <phoneticPr fontId="1"/>
  </si>
  <si>
    <t>影響が大きい</t>
    <rPh sb="0" eb="2">
      <t>エイキョウ</t>
    </rPh>
    <rPh sb="3" eb="4">
      <t>オオ</t>
    </rPh>
    <phoneticPr fontId="1"/>
  </si>
  <si>
    <t>特権操作2ログ取得</t>
    <rPh sb="0" eb="2">
      <t>トッケン</t>
    </rPh>
    <rPh sb="2" eb="4">
      <t>ソウサ</t>
    </rPh>
    <rPh sb="7" eb="9">
      <t>シュトク</t>
    </rPh>
    <phoneticPr fontId="1"/>
  </si>
  <si>
    <t>DBMSが稼働</t>
    <rPh sb="5" eb="7">
      <t>カドウ</t>
    </rPh>
    <phoneticPr fontId="1"/>
  </si>
  <si>
    <t>業務処理の影響が多き</t>
    <rPh sb="0" eb="4">
      <t>ギョウムショリ</t>
    </rPh>
    <rPh sb="5" eb="7">
      <t>エイキョウ</t>
    </rPh>
    <rPh sb="8" eb="9">
      <t>オオ</t>
    </rPh>
    <phoneticPr fontId="1"/>
  </si>
  <si>
    <t>2-3</t>
    <phoneticPr fontId="1"/>
  </si>
  <si>
    <t>DBMSの炉府取得機能がサーバー資源を大量に消費するから</t>
    <rPh sb="5" eb="7">
      <t>ロフ</t>
    </rPh>
    <rPh sb="7" eb="9">
      <t>シュトク</t>
    </rPh>
    <rPh sb="9" eb="11">
      <t>キノウ</t>
    </rPh>
    <rPh sb="16" eb="18">
      <t>シゲン</t>
    </rPh>
    <rPh sb="19" eb="21">
      <t>タイリョウ</t>
    </rPh>
    <rPh sb="22" eb="24">
      <t>ショウヒ</t>
    </rPh>
    <phoneticPr fontId="1"/>
  </si>
  <si>
    <t>2-4</t>
    <phoneticPr fontId="1"/>
  </si>
  <si>
    <t>1, 2</t>
    <phoneticPr fontId="1"/>
  </si>
  <si>
    <t>2-5</t>
    <phoneticPr fontId="1"/>
  </si>
  <si>
    <t>記録すべき内容３と４</t>
    <rPh sb="0" eb="2">
      <t>キロク</t>
    </rPh>
    <rPh sb="5" eb="7">
      <t>ナイヨウ</t>
    </rPh>
    <phoneticPr fontId="1"/>
  </si>
  <si>
    <t>OSとMWの標準</t>
    <rPh sb="6" eb="8">
      <t>ヒョウジュン</t>
    </rPh>
    <phoneticPr fontId="1"/>
  </si>
  <si>
    <t>F, G</t>
    <phoneticPr fontId="1"/>
  </si>
  <si>
    <t>3-1</t>
    <phoneticPr fontId="1"/>
  </si>
  <si>
    <t>特権操作1のログ</t>
    <rPh sb="0" eb="2">
      <t>トッケン</t>
    </rPh>
    <rPh sb="2" eb="4">
      <t>ソウサ</t>
    </rPh>
    <phoneticPr fontId="1"/>
  </si>
  <si>
    <t>収集保存</t>
    <rPh sb="0" eb="4">
      <t>シュウシュウホゾン</t>
    </rPh>
    <phoneticPr fontId="1"/>
  </si>
  <si>
    <t>Rで取得ログを対称</t>
    <rPh sb="2" eb="4">
      <t>シュトク</t>
    </rPh>
    <rPh sb="7" eb="9">
      <t>タイショウ</t>
    </rPh>
    <phoneticPr fontId="1"/>
  </si>
  <si>
    <t>収集保存機能</t>
    <rPh sb="0" eb="4">
      <t>シュウシュウホゾン</t>
    </rPh>
    <rPh sb="4" eb="6">
      <t>キノウ</t>
    </rPh>
    <phoneticPr fontId="1"/>
  </si>
  <si>
    <t>Rログを対象</t>
    <rPh sb="4" eb="6">
      <t>タイショウ</t>
    </rPh>
    <phoneticPr fontId="1"/>
  </si>
  <si>
    <t>Sは運用管理</t>
    <rPh sb="2" eb="4">
      <t>ウンヨウ</t>
    </rPh>
    <rPh sb="4" eb="6">
      <t>カンリ</t>
    </rPh>
    <phoneticPr fontId="1"/>
  </si>
  <si>
    <t>ログデータの領域がいっぱい</t>
    <rPh sb="6" eb="8">
      <t>リョウイキ</t>
    </rPh>
    <phoneticPr fontId="1"/>
  </si>
  <si>
    <t>先頭から上書き</t>
    <rPh sb="0" eb="2">
      <t>セントウ</t>
    </rPh>
    <rPh sb="4" eb="6">
      <t>ウワガ</t>
    </rPh>
    <phoneticPr fontId="1"/>
  </si>
  <si>
    <t>特権1と特権3</t>
    <rPh sb="0" eb="2">
      <t>トッケン</t>
    </rPh>
    <rPh sb="4" eb="6">
      <t>トッケン</t>
    </rPh>
    <phoneticPr fontId="1"/>
  </si>
  <si>
    <t>障害以外で取得できない</t>
    <rPh sb="0" eb="2">
      <t>ショウガイ</t>
    </rPh>
    <rPh sb="2" eb="4">
      <t>イガイ</t>
    </rPh>
    <rPh sb="5" eb="7">
      <t>シュトク</t>
    </rPh>
    <phoneticPr fontId="1"/>
  </si>
  <si>
    <t>2011-春</t>
    <rPh sb="5" eb="6">
      <t>ハル</t>
    </rPh>
    <phoneticPr fontId="1"/>
  </si>
  <si>
    <t>PM2-1</t>
    <phoneticPr fontId="1"/>
  </si>
  <si>
    <t>ソフト会社</t>
    <rPh sb="3" eb="5">
      <t>カイシャ</t>
    </rPh>
    <phoneticPr fontId="1"/>
  </si>
  <si>
    <t>DHCPで実施</t>
    <rPh sb="5" eb="7">
      <t>ジッシ</t>
    </rPh>
    <phoneticPr fontId="1"/>
  </si>
  <si>
    <t>MLサーバー</t>
    <phoneticPr fontId="1"/>
  </si>
  <si>
    <t>DHCPリレー</t>
    <phoneticPr fontId="1"/>
  </si>
  <si>
    <t>P社</t>
    <rPh sb="1" eb="2">
      <t>シャ</t>
    </rPh>
    <phoneticPr fontId="1"/>
  </si>
  <si>
    <t>FWのフィルタリング</t>
    <phoneticPr fontId="1"/>
  </si>
  <si>
    <t>通信の送信元</t>
    <rPh sb="0" eb="2">
      <t>ツウシン</t>
    </rPh>
    <rPh sb="3" eb="5">
      <t>ソウシン</t>
    </rPh>
    <rPh sb="5" eb="6">
      <t>モト</t>
    </rPh>
    <phoneticPr fontId="1"/>
  </si>
  <si>
    <t>サービス組み合わせ</t>
    <rPh sb="4" eb="5">
      <t>ク</t>
    </rPh>
    <rPh sb="6" eb="7">
      <t>ア</t>
    </rPh>
    <phoneticPr fontId="1"/>
  </si>
  <si>
    <t>通信の許可、否定を指定</t>
    <rPh sb="0" eb="2">
      <t>ツウシン</t>
    </rPh>
    <rPh sb="3" eb="5">
      <t>キョカ</t>
    </rPh>
    <rPh sb="6" eb="8">
      <t>ヒテイ</t>
    </rPh>
    <rPh sb="9" eb="11">
      <t>シテイ</t>
    </rPh>
    <phoneticPr fontId="1"/>
  </si>
  <si>
    <t>P社MSBでのML</t>
    <rPh sb="1" eb="2">
      <t>シャ</t>
    </rPh>
    <phoneticPr fontId="1"/>
  </si>
  <si>
    <t>サブドメイン</t>
    <phoneticPr fontId="1"/>
  </si>
  <si>
    <t>ローカル部としてドメイン</t>
    <rPh sb="4" eb="5">
      <t>ブ</t>
    </rPh>
    <phoneticPr fontId="1"/>
  </si>
  <si>
    <t>SVでログ</t>
    <phoneticPr fontId="1"/>
  </si>
  <si>
    <t>外部MSV社内MSV</t>
    <rPh sb="0" eb="2">
      <t>ガイブ</t>
    </rPh>
    <rPh sb="5" eb="7">
      <t>シャナイ</t>
    </rPh>
    <phoneticPr fontId="1"/>
  </si>
  <si>
    <t>ドメインとサブドメイン</t>
    <phoneticPr fontId="1"/>
  </si>
  <si>
    <t>IPアドレスブロック</t>
    <phoneticPr fontId="1"/>
  </si>
  <si>
    <t>a: ウ</t>
    <phoneticPr fontId="1"/>
  </si>
  <si>
    <t>b: ア</t>
    <phoneticPr fontId="1"/>
  </si>
  <si>
    <t>c: エ</t>
    <phoneticPr fontId="1"/>
  </si>
  <si>
    <t>d: ア</t>
    <phoneticPr fontId="1"/>
  </si>
  <si>
    <t>MRA</t>
    <phoneticPr fontId="1"/>
  </si>
  <si>
    <t>ウイルススキャン</t>
    <phoneticPr fontId="1"/>
  </si>
  <si>
    <t>プロジェクトごと</t>
    <phoneticPr fontId="1"/>
  </si>
  <si>
    <t>MLアドレス割り当て</t>
    <rPh sb="6" eb="7">
      <t>ワ</t>
    </rPh>
    <rPh sb="8" eb="9">
      <t>ア</t>
    </rPh>
    <phoneticPr fontId="1"/>
  </si>
  <si>
    <t>終了時にML削除</t>
    <rPh sb="0" eb="3">
      <t>シュウリョウジ</t>
    </rPh>
    <rPh sb="6" eb="8">
      <t>サクジョ</t>
    </rPh>
    <phoneticPr fontId="1"/>
  </si>
  <si>
    <t>MLサーバにメール</t>
    <phoneticPr fontId="1"/>
  </si>
  <si>
    <t>同報プログラム</t>
    <rPh sb="0" eb="2">
      <t>ドウホウ</t>
    </rPh>
    <phoneticPr fontId="1"/>
  </si>
  <si>
    <t>2-(1)</t>
    <phoneticPr fontId="1"/>
  </si>
  <si>
    <t>送信者メールアドレスは、送信の許可と拒否の判定には使用していないから</t>
    <rPh sb="0" eb="3">
      <t>ソウシンシャ</t>
    </rPh>
    <rPh sb="12" eb="14">
      <t>ソウシン</t>
    </rPh>
    <rPh sb="15" eb="17">
      <t>キョカ</t>
    </rPh>
    <rPh sb="18" eb="20">
      <t>キョヒ</t>
    </rPh>
    <rPh sb="21" eb="23">
      <t>ハンテイ</t>
    </rPh>
    <rPh sb="25" eb="27">
      <t>シヨウ</t>
    </rPh>
    <phoneticPr fontId="1"/>
  </si>
  <si>
    <t>2-(2)</t>
    <phoneticPr fontId="1"/>
  </si>
  <si>
    <t>社内メールサーバー</t>
    <rPh sb="0" eb="2">
      <t>シャナイ</t>
    </rPh>
    <phoneticPr fontId="1"/>
  </si>
  <si>
    <t>SさんのPCのＩＰアドレスから、送信者メールアドレスがＡさん用であるメールを送信したこと</t>
    <rPh sb="16" eb="19">
      <t>ソウシンシャ</t>
    </rPh>
    <rPh sb="30" eb="31">
      <t>ヨウ</t>
    </rPh>
    <rPh sb="38" eb="40">
      <t>ソウシン</t>
    </rPh>
    <phoneticPr fontId="1"/>
  </si>
  <si>
    <t>ウイルス感染</t>
    <rPh sb="4" eb="6">
      <t>カンセン</t>
    </rPh>
    <phoneticPr fontId="1"/>
  </si>
  <si>
    <t>営業用IP</t>
    <rPh sb="0" eb="3">
      <t>エイギョウヨウ</t>
    </rPh>
    <phoneticPr fontId="1"/>
  </si>
  <si>
    <t>メール受信</t>
    <rPh sb="3" eb="5">
      <t>ジュシン</t>
    </rPh>
    <phoneticPr fontId="1"/>
  </si>
  <si>
    <t>IPのリクエスト</t>
    <phoneticPr fontId="1"/>
  </si>
  <si>
    <t>3-(1)</t>
    <phoneticPr fontId="1"/>
  </si>
  <si>
    <t>プロキシサーバー</t>
    <phoneticPr fontId="1"/>
  </si>
  <si>
    <t>添付ウイルス</t>
    <rPh sb="0" eb="2">
      <t>テンプ</t>
    </rPh>
    <phoneticPr fontId="1"/>
  </si>
  <si>
    <t>駆除と修復</t>
    <rPh sb="0" eb="2">
      <t>クジョ</t>
    </rPh>
    <rPh sb="3" eb="5">
      <t>シュウフク</t>
    </rPh>
    <phoneticPr fontId="1"/>
  </si>
  <si>
    <t>3-(2)</t>
    <phoneticPr fontId="1"/>
  </si>
  <si>
    <t>社内メールサーバーのPOPスキャンを行う</t>
    <rPh sb="0" eb="2">
      <t>シャナイ</t>
    </rPh>
    <rPh sb="18" eb="19">
      <t>オコナ</t>
    </rPh>
    <phoneticPr fontId="1"/>
  </si>
  <si>
    <t>4-(1)</t>
    <phoneticPr fontId="1"/>
  </si>
  <si>
    <t>ドキュメントのファイルを暗号化</t>
    <rPh sb="12" eb="15">
      <t>アンゴウカ</t>
    </rPh>
    <phoneticPr fontId="1"/>
  </si>
  <si>
    <t>ML検討</t>
    <rPh sb="2" eb="4">
      <t>ケントウ</t>
    </rPh>
    <phoneticPr fontId="1"/>
  </si>
  <si>
    <t>社外メンバ登録MLのドメイン名として、新たなP社サブドメイン名を使用する。</t>
    <rPh sb="0" eb="2">
      <t>シャガイ</t>
    </rPh>
    <rPh sb="5" eb="7">
      <t>トウロク</t>
    </rPh>
    <rPh sb="14" eb="15">
      <t>メイ</t>
    </rPh>
    <rPh sb="19" eb="20">
      <t>アラ</t>
    </rPh>
    <rPh sb="23" eb="24">
      <t>シャ</t>
    </rPh>
    <rPh sb="30" eb="31">
      <t>メイ</t>
    </rPh>
    <rPh sb="32" eb="34">
      <t>シヨウ</t>
    </rPh>
    <phoneticPr fontId="1"/>
  </si>
  <si>
    <t>社外メンバ登録MLのドメイン名を許可済みドメイン名に含める</t>
    <rPh sb="0" eb="2">
      <t>シャガイ</t>
    </rPh>
    <rPh sb="5" eb="7">
      <t>トウロク</t>
    </rPh>
    <rPh sb="14" eb="15">
      <t>メイ</t>
    </rPh>
    <rPh sb="16" eb="19">
      <t>キョカズ</t>
    </rPh>
    <rPh sb="24" eb="25">
      <t>メイ</t>
    </rPh>
    <rPh sb="26" eb="27">
      <t>フク</t>
    </rPh>
    <phoneticPr fontId="1"/>
  </si>
  <si>
    <t>4-(2)</t>
    <phoneticPr fontId="1"/>
  </si>
  <si>
    <t>MSの受信者ドメインごとの処理変更案がダメ</t>
    <rPh sb="3" eb="6">
      <t>ジュシンシャ</t>
    </rPh>
    <rPh sb="13" eb="18">
      <t>ショリヘンコウアン</t>
    </rPh>
    <phoneticPr fontId="1"/>
  </si>
  <si>
    <t>2: 社内メールサーバーに転送する</t>
    <rPh sb="3" eb="5">
      <t>シャナイ</t>
    </rPh>
    <rPh sb="13" eb="15">
      <t>テンソウ</t>
    </rPh>
    <phoneticPr fontId="1"/>
  </si>
  <si>
    <t>11:社内メールサーバーに転送する</t>
    <rPh sb="3" eb="5">
      <t>シャナイ</t>
    </rPh>
    <rPh sb="13" eb="15">
      <t>テンソウ</t>
    </rPh>
    <phoneticPr fontId="1"/>
  </si>
  <si>
    <t>4-(3)</t>
    <phoneticPr fontId="1"/>
  </si>
  <si>
    <t>協力会社のメンバーのIPアドレス</t>
    <rPh sb="0" eb="4">
      <t>キョウリョクカイシャ</t>
    </rPh>
    <phoneticPr fontId="1"/>
  </si>
  <si>
    <t>4-(4)</t>
    <phoneticPr fontId="1"/>
  </si>
  <si>
    <t>メールからウィルスが広まった場合、連絡手段としてつかえなくなるから</t>
    <rPh sb="10" eb="11">
      <t>ヒロ</t>
    </rPh>
    <rPh sb="14" eb="16">
      <t>バアイ</t>
    </rPh>
    <rPh sb="17" eb="21">
      <t>レンラクシュダン</t>
    </rPh>
    <phoneticPr fontId="1"/>
  </si>
  <si>
    <t>4-(5)</t>
    <phoneticPr fontId="1"/>
  </si>
  <si>
    <t>エンベロープの送信者メールアドレスに、MLアドレス管理者のメールアドレスを設定する</t>
    <rPh sb="7" eb="10">
      <t>ソウシンシャ</t>
    </rPh>
    <rPh sb="25" eb="28">
      <t>カンリシャ</t>
    </rPh>
    <rPh sb="37" eb="39">
      <t>セッテイ</t>
    </rPh>
    <phoneticPr fontId="1"/>
  </si>
  <si>
    <t>社外MLアドレスは連絡手段</t>
    <rPh sb="0" eb="2">
      <t>シャガイ</t>
    </rPh>
    <rPh sb="9" eb="11">
      <t>レンラク</t>
    </rPh>
    <rPh sb="11" eb="13">
      <t>シュダン</t>
    </rPh>
    <phoneticPr fontId="1"/>
  </si>
  <si>
    <t>ファイル添付NG</t>
    <rPh sb="4" eb="6">
      <t>テンプ</t>
    </rPh>
    <phoneticPr fontId="1"/>
  </si>
  <si>
    <t>利用者認証</t>
    <rPh sb="0" eb="3">
      <t>リヨウシャ</t>
    </rPh>
    <rPh sb="3" eb="5">
      <t>ニンショウ</t>
    </rPh>
    <phoneticPr fontId="1"/>
  </si>
  <si>
    <t>情報こうk何を実現</t>
    <rPh sb="0" eb="2">
      <t>ジョウホウ</t>
    </rPh>
    <rPh sb="5" eb="6">
      <t>ナン</t>
    </rPh>
    <rPh sb="7" eb="9">
      <t>ジツゲン</t>
    </rPh>
    <phoneticPr fontId="1"/>
  </si>
  <si>
    <t>アクセス状況をログとして記録</t>
    <rPh sb="4" eb="6">
      <t>ジョウキョウ</t>
    </rPh>
    <rPh sb="12" eb="14">
      <t>キロク</t>
    </rPh>
    <phoneticPr fontId="1"/>
  </si>
  <si>
    <t>アップロード時に情報の間違い確認を促す表示を行う機能</t>
    <rPh sb="6" eb="7">
      <t>ジ</t>
    </rPh>
    <rPh sb="8" eb="10">
      <t>ジョウホウ</t>
    </rPh>
    <rPh sb="11" eb="13">
      <t>マチガ</t>
    </rPh>
    <rPh sb="14" eb="16">
      <t>カクニン</t>
    </rPh>
    <rPh sb="17" eb="18">
      <t>ウナガ</t>
    </rPh>
    <rPh sb="19" eb="21">
      <t>ヒョウジ</t>
    </rPh>
    <rPh sb="22" eb="23">
      <t>オコナ</t>
    </rPh>
    <rPh sb="24" eb="26">
      <t>キノウ</t>
    </rPh>
    <phoneticPr fontId="1"/>
  </si>
  <si>
    <t>プロジェクト、利用者ごとのアクセス権限を設定する機能</t>
    <rPh sb="7" eb="10">
      <t>リヨウシャ</t>
    </rPh>
    <rPh sb="17" eb="19">
      <t>ケンゲン</t>
    </rPh>
    <rPh sb="20" eb="22">
      <t>セッテイ</t>
    </rPh>
    <rPh sb="24" eb="26">
      <t>キノウ</t>
    </rPh>
    <phoneticPr fontId="1"/>
  </si>
  <si>
    <t>5-(1)</t>
    <phoneticPr fontId="1"/>
  </si>
  <si>
    <t>5-(2)</t>
    <phoneticPr fontId="1"/>
  </si>
  <si>
    <t>プロジェクト管理者に確認を行う</t>
    <rPh sb="6" eb="9">
      <t>カンリシャ</t>
    </rPh>
    <rPh sb="10" eb="12">
      <t>カクニン</t>
    </rPh>
    <rPh sb="13" eb="14">
      <t>オコナ</t>
    </rPh>
    <phoneticPr fontId="1"/>
  </si>
  <si>
    <t>2011-春</t>
    <phoneticPr fontId="1"/>
  </si>
  <si>
    <t>PM1-4</t>
    <phoneticPr fontId="1"/>
  </si>
  <si>
    <t>RSサイト</t>
    <phoneticPr fontId="1"/>
  </si>
  <si>
    <t>Rアプリ</t>
    <phoneticPr fontId="1"/>
  </si>
  <si>
    <t>DB</t>
    <phoneticPr fontId="1"/>
  </si>
  <si>
    <t>SサイトのSB管理</t>
    <rPh sb="7" eb="9">
      <t>カンリ</t>
    </rPh>
    <phoneticPr fontId="1"/>
  </si>
  <si>
    <t>保守</t>
    <rPh sb="0" eb="2">
      <t>ホシュ</t>
    </rPh>
    <phoneticPr fontId="1"/>
  </si>
  <si>
    <t>社内LAN</t>
    <rPh sb="0" eb="2">
      <t>シャナイ</t>
    </rPh>
    <phoneticPr fontId="1"/>
  </si>
  <si>
    <t>DB保守はクライアント</t>
    <rPh sb="2" eb="4">
      <t>ホシュ</t>
    </rPh>
    <phoneticPr fontId="1"/>
  </si>
  <si>
    <t>社内＋AN</t>
    <rPh sb="0" eb="2">
      <t>シャナイ</t>
    </rPh>
    <phoneticPr fontId="1"/>
  </si>
  <si>
    <t>K課長</t>
    <rPh sb="1" eb="3">
      <t>カチョウ</t>
    </rPh>
    <phoneticPr fontId="1"/>
  </si>
  <si>
    <t>R改修</t>
    <rPh sb="1" eb="3">
      <t>カイシュウ</t>
    </rPh>
    <phoneticPr fontId="1"/>
  </si>
  <si>
    <t>1-(1)</t>
    <phoneticPr fontId="1"/>
  </si>
  <si>
    <t>ウ</t>
    <phoneticPr fontId="1"/>
  </si>
  <si>
    <t>1-(2)</t>
    <phoneticPr fontId="1"/>
  </si>
  <si>
    <t>コンテンツ転送の盗聴</t>
    <rPh sb="5" eb="7">
      <t>テンソウ</t>
    </rPh>
    <rPh sb="8" eb="10">
      <t>トウチョウ</t>
    </rPh>
    <phoneticPr fontId="1"/>
  </si>
  <si>
    <t>FTPS</t>
    <phoneticPr fontId="1"/>
  </si>
  <si>
    <t>1-(3)</t>
    <phoneticPr fontId="1"/>
  </si>
  <si>
    <t>脆弱性つく</t>
    <rPh sb="0" eb="3">
      <t>ゼイジャクセイ</t>
    </rPh>
    <phoneticPr fontId="1"/>
  </si>
  <si>
    <t>FTPで接続</t>
    <rPh sb="4" eb="6">
      <t>セツゾク</t>
    </rPh>
    <phoneticPr fontId="1"/>
  </si>
  <si>
    <t>公開鍵認証方式</t>
    <rPh sb="0" eb="3">
      <t>コウカイカギ</t>
    </rPh>
    <rPh sb="3" eb="5">
      <t>ニンショウ</t>
    </rPh>
    <rPh sb="5" eb="7">
      <t>ホウシキ</t>
    </rPh>
    <phoneticPr fontId="1"/>
  </si>
  <si>
    <t>FTPで外部に送信</t>
    <rPh sb="4" eb="6">
      <t>ガイブ</t>
    </rPh>
    <rPh sb="7" eb="9">
      <t>ソウシン</t>
    </rPh>
    <phoneticPr fontId="1"/>
  </si>
  <si>
    <t>1-(4)</t>
    <phoneticPr fontId="1"/>
  </si>
  <si>
    <t>FWドロップログを確認して、遮断された通信ログの有無を確認する</t>
    <rPh sb="9" eb="11">
      <t>カクニン</t>
    </rPh>
    <rPh sb="14" eb="16">
      <t>シャダン</t>
    </rPh>
    <rPh sb="19" eb="21">
      <t>ツウシン</t>
    </rPh>
    <rPh sb="24" eb="26">
      <t>ウム</t>
    </rPh>
    <rPh sb="27" eb="29">
      <t>カクニン</t>
    </rPh>
    <phoneticPr fontId="1"/>
  </si>
  <si>
    <t>1-(5)</t>
    <phoneticPr fontId="1"/>
  </si>
  <si>
    <t>①暗号化された内容を復号するスクリプトを作成、実行する</t>
    <rPh sb="1" eb="4">
      <t>アンゴウカ</t>
    </rPh>
    <rPh sb="7" eb="9">
      <t>ナイヨウ</t>
    </rPh>
    <rPh sb="10" eb="12">
      <t>フクゴウ</t>
    </rPh>
    <rPh sb="20" eb="22">
      <t>サクセイ</t>
    </rPh>
    <rPh sb="23" eb="25">
      <t>ジッコウ</t>
    </rPh>
    <phoneticPr fontId="1"/>
  </si>
  <si>
    <t>③すべてのスクリプトファイルへのアクセス権限を削除する</t>
    <rPh sb="20" eb="22">
      <t>ケンゲン</t>
    </rPh>
    <rPh sb="23" eb="25">
      <t>サクジョ</t>
    </rPh>
    <phoneticPr fontId="1"/>
  </si>
  <si>
    <t>2</t>
    <phoneticPr fontId="1"/>
  </si>
  <si>
    <t>多くの会員はメアドとPWの組合せ</t>
    <rPh sb="0" eb="1">
      <t>オオ</t>
    </rPh>
    <rPh sb="3" eb="5">
      <t>カイイン</t>
    </rPh>
    <rPh sb="13" eb="15">
      <t>クミアワ</t>
    </rPh>
    <phoneticPr fontId="1"/>
  </si>
  <si>
    <t>他のWEBでも登録</t>
    <rPh sb="0" eb="1">
      <t>ホカ</t>
    </rPh>
    <rPh sb="7" eb="9">
      <t>トウロク</t>
    </rPh>
    <phoneticPr fontId="1"/>
  </si>
  <si>
    <t>特定のIPアドレスより複数の会員IDでログイン試行し、一定数以上ログイン失敗を繰り返していること</t>
    <rPh sb="0" eb="2">
      <t>トクテイ</t>
    </rPh>
    <rPh sb="11" eb="13">
      <t>フクスウ</t>
    </rPh>
    <rPh sb="14" eb="16">
      <t>カイイン</t>
    </rPh>
    <rPh sb="23" eb="25">
      <t>シコウ</t>
    </rPh>
    <rPh sb="27" eb="32">
      <t>イッテイスウイジョウ</t>
    </rPh>
    <rPh sb="36" eb="38">
      <t>シッパイ</t>
    </rPh>
    <rPh sb="39" eb="40">
      <t>ク</t>
    </rPh>
    <rPh sb="41" eb="42">
      <t>カエ</t>
    </rPh>
    <phoneticPr fontId="1"/>
  </si>
  <si>
    <t>A社</t>
    <rPh sb="1" eb="2">
      <t>シャ</t>
    </rPh>
    <phoneticPr fontId="1"/>
  </si>
  <si>
    <t>ソフトウェア</t>
    <phoneticPr fontId="1"/>
  </si>
  <si>
    <t>Bフィルタ</t>
    <phoneticPr fontId="1"/>
  </si>
  <si>
    <t>C＋＋で開発</t>
    <rPh sb="4" eb="6">
      <t>カイハツ</t>
    </rPh>
    <phoneticPr fontId="1"/>
  </si>
  <si>
    <t>Xブラウザ</t>
    <phoneticPr fontId="1"/>
  </si>
  <si>
    <t>アクセスブロック</t>
    <phoneticPr fontId="1"/>
  </si>
  <si>
    <t>URLマッチング</t>
    <phoneticPr fontId="1"/>
  </si>
  <si>
    <t>有害度合い判断</t>
    <rPh sb="0" eb="2">
      <t>ユウガイ</t>
    </rPh>
    <rPh sb="2" eb="4">
      <t>ドア</t>
    </rPh>
    <rPh sb="5" eb="7">
      <t>ハンダン</t>
    </rPh>
    <phoneticPr fontId="1"/>
  </si>
  <si>
    <t>キーワードマッチング</t>
    <phoneticPr fontId="1"/>
  </si>
  <si>
    <t>プラグイン</t>
    <phoneticPr fontId="1"/>
  </si>
  <si>
    <t>Dグループ</t>
    <phoneticPr fontId="1"/>
  </si>
  <si>
    <t>srcの文字列よりdstが示す文字列</t>
    <rPh sb="4" eb="7">
      <t>モジレツ</t>
    </rPh>
    <rPh sb="13" eb="14">
      <t>シメ</t>
    </rPh>
    <rPh sb="15" eb="18">
      <t>モジレツ</t>
    </rPh>
    <phoneticPr fontId="1"/>
  </si>
  <si>
    <t>転記</t>
    <rPh sb="0" eb="2">
      <t>テンキ</t>
    </rPh>
    <phoneticPr fontId="1"/>
  </si>
  <si>
    <t>Qグループ</t>
    <phoneticPr fontId="1"/>
  </si>
  <si>
    <t>パーセントエンコード</t>
    <phoneticPr fontId="1"/>
  </si>
  <si>
    <t>a:ア</t>
    <phoneticPr fontId="1"/>
  </si>
  <si>
    <t>b:ウ</t>
    <phoneticPr fontId="1"/>
  </si>
  <si>
    <t>dstが示すメモリ領域</t>
    <rPh sb="4" eb="5">
      <t>シメ</t>
    </rPh>
    <rPh sb="9" eb="11">
      <t>リョウイキ</t>
    </rPh>
    <phoneticPr fontId="1"/>
  </si>
  <si>
    <t>dstが指し示す領域の残りが２バイト以下となった段階で、srtcにエンコードすべき文字列があった場合</t>
    <rPh sb="4" eb="7">
      <t>サシシメ</t>
    </rPh>
    <rPh sb="8" eb="10">
      <t>リョウイキ</t>
    </rPh>
    <rPh sb="11" eb="12">
      <t>ノコ</t>
    </rPh>
    <rPh sb="18" eb="20">
      <t>イカ</t>
    </rPh>
    <rPh sb="24" eb="26">
      <t>ダンカイ</t>
    </rPh>
    <rPh sb="41" eb="44">
      <t>モジレツ</t>
    </rPh>
    <rPh sb="48" eb="50">
      <t>バアイ</t>
    </rPh>
    <phoneticPr fontId="1"/>
  </si>
  <si>
    <t>3</t>
    <phoneticPr fontId="1"/>
  </si>
  <si>
    <t>文字列をstringクラスとして取り扱っており、領域の境界は処理系が管理することになる</t>
    <rPh sb="0" eb="3">
      <t>モジレツ</t>
    </rPh>
    <rPh sb="16" eb="17">
      <t>ト</t>
    </rPh>
    <rPh sb="18" eb="19">
      <t>アツカ</t>
    </rPh>
    <rPh sb="24" eb="26">
      <t>リョウイキ</t>
    </rPh>
    <rPh sb="27" eb="29">
      <t>キョウカイ</t>
    </rPh>
    <rPh sb="30" eb="33">
      <t>ショリケイ</t>
    </rPh>
    <rPh sb="34" eb="36">
      <t>カンリ</t>
    </rPh>
    <phoneticPr fontId="1"/>
  </si>
  <si>
    <t>4</t>
    <phoneticPr fontId="1"/>
  </si>
  <si>
    <t>d:ポインタ</t>
    <phoneticPr fontId="1"/>
  </si>
  <si>
    <t>e:境界チェック</t>
    <rPh sb="2" eb="4">
      <t>キョウカイ</t>
    </rPh>
    <phoneticPr fontId="1"/>
  </si>
  <si>
    <t>f:代入</t>
    <rPh sb="2" eb="4">
      <t>ダイニュウ</t>
    </rPh>
    <phoneticPr fontId="1"/>
  </si>
  <si>
    <t>Sサイト</t>
    <phoneticPr fontId="1"/>
  </si>
  <si>
    <t>sftp</t>
    <phoneticPr fontId="1"/>
  </si>
  <si>
    <t>b: 公開鍵認証方式</t>
    <rPh sb="3" eb="6">
      <t>コウカイカギ</t>
    </rPh>
    <rPh sb="6" eb="8">
      <t>ニンショウ</t>
    </rPh>
    <rPh sb="8" eb="10">
      <t>ホウシキ</t>
    </rPh>
    <phoneticPr fontId="1"/>
  </si>
  <si>
    <t>FWによって通信を遮断されたログを確認する</t>
    <rPh sb="6" eb="8">
      <t>ツウシン</t>
    </rPh>
    <rPh sb="9" eb="11">
      <t>シャダン</t>
    </rPh>
    <rPh sb="17" eb="19">
      <t>カクニン</t>
    </rPh>
    <phoneticPr fontId="1"/>
  </si>
  <si>
    <t>DBに接続して会員データを復号し表示するスクリプトファイルを作成し、実行の上閲覧する。</t>
    <rPh sb="3" eb="5">
      <t>セツゾク</t>
    </rPh>
    <rPh sb="7" eb="9">
      <t>カイイン</t>
    </rPh>
    <rPh sb="13" eb="15">
      <t>フクゴウ</t>
    </rPh>
    <rPh sb="16" eb="18">
      <t>ヒョウジ</t>
    </rPh>
    <rPh sb="30" eb="32">
      <t>サクセイ</t>
    </rPh>
    <rPh sb="34" eb="36">
      <t>ジッコウ</t>
    </rPh>
    <rPh sb="37" eb="38">
      <t>ウエ</t>
    </rPh>
    <rPh sb="38" eb="40">
      <t>エツラン</t>
    </rPh>
    <phoneticPr fontId="1"/>
  </si>
  <si>
    <t>DBにアクセス権を付与する</t>
    <rPh sb="7" eb="8">
      <t>ケン</t>
    </rPh>
    <rPh sb="9" eb="11">
      <t>フヨ</t>
    </rPh>
    <phoneticPr fontId="1"/>
  </si>
  <si>
    <t>すべてのスクリプトファイルへのアクセス権限を削除する</t>
    <rPh sb="19" eb="21">
      <t>ケンゲン</t>
    </rPh>
    <rPh sb="22" eb="24">
      <t>サクジョ</t>
    </rPh>
    <phoneticPr fontId="1"/>
  </si>
  <si>
    <t>←操作するファイルのアクセス権限については要注意</t>
    <rPh sb="1" eb="3">
      <t>ソウサ</t>
    </rPh>
    <rPh sb="14" eb="16">
      <t>ケンゲン</t>
    </rPh>
    <rPh sb="21" eb="24">
      <t>ヨウチュウイ</t>
    </rPh>
    <phoneticPr fontId="1"/>
  </si>
  <si>
    <t>PM1-1</t>
    <phoneticPr fontId="1"/>
  </si>
  <si>
    <t>BOFが発生するメモリ領域</t>
    <rPh sb="4" eb="6">
      <t>ハッセイ</t>
    </rPh>
    <rPh sb="11" eb="13">
      <t>リョウイキ</t>
    </rPh>
    <phoneticPr fontId="1"/>
  </si>
  <si>
    <t>dst</t>
    <phoneticPr fontId="1"/>
  </si>
  <si>
    <t>dstの指し示すメモリ領域が残り2byteとなった時点で、srcにまだエンコードすべき文字がある場合</t>
    <rPh sb="4" eb="7">
      <t>サシシメ</t>
    </rPh>
    <rPh sb="11" eb="13">
      <t>リョウイキ</t>
    </rPh>
    <rPh sb="14" eb="15">
      <t>ノコ</t>
    </rPh>
    <rPh sb="25" eb="27">
      <t>ジテン</t>
    </rPh>
    <rPh sb="43" eb="45">
      <t>モジ</t>
    </rPh>
    <rPh sb="48" eb="50">
      <t>バアイ</t>
    </rPh>
    <phoneticPr fontId="1"/>
  </si>
  <si>
    <t>文字列をstringクラスとして扱っており、領域の境界は処理系が管理することとなるため</t>
    <rPh sb="0" eb="3">
      <t>モジレツ</t>
    </rPh>
    <rPh sb="16" eb="17">
      <t>アツカ</t>
    </rPh>
    <rPh sb="22" eb="24">
      <t>リョウイキ</t>
    </rPh>
    <rPh sb="25" eb="27">
      <t>キョウカイ</t>
    </rPh>
    <rPh sb="28" eb="31">
      <t>ショリケイ</t>
    </rPh>
    <rPh sb="32" eb="34">
      <t>カンリ</t>
    </rPh>
    <phoneticPr fontId="1"/>
  </si>
  <si>
    <t>４</t>
    <phoneticPr fontId="1"/>
  </si>
  <si>
    <t>d: 文字列の配列</t>
    <rPh sb="3" eb="6">
      <t>モジレツ</t>
    </rPh>
    <rPh sb="7" eb="9">
      <t>ハイレツ</t>
    </rPh>
    <phoneticPr fontId="1"/>
  </si>
  <si>
    <t>e:配列の境界チェック</t>
    <rPh sb="2" eb="4">
      <t>ハイレツ</t>
    </rPh>
    <rPh sb="5" eb="7">
      <t>キョウカイ</t>
    </rPh>
    <phoneticPr fontId="1"/>
  </si>
  <si>
    <t>f：代入</t>
    <rPh sb="2" eb="4">
      <t>ダイニュウ</t>
    </rPh>
    <phoneticPr fontId="1"/>
  </si>
  <si>
    <t>東京DCが電源停止になった場合</t>
    <rPh sb="0" eb="2">
      <t>トウキョウ</t>
    </rPh>
    <rPh sb="5" eb="7">
      <t>デンゲン</t>
    </rPh>
    <rPh sb="7" eb="9">
      <t>テイシ</t>
    </rPh>
    <rPh sb="13" eb="15">
      <t>バアイ</t>
    </rPh>
    <phoneticPr fontId="1"/>
  </si>
  <si>
    <t>3-2</t>
    <phoneticPr fontId="1"/>
  </si>
  <si>
    <t>最大データ：462</t>
    <rPh sb="0" eb="2">
      <t>サイダイ</t>
    </rPh>
    <phoneticPr fontId="1"/>
  </si>
  <si>
    <t>3-3</t>
    <phoneticPr fontId="1"/>
  </si>
  <si>
    <t>3-4</t>
    <phoneticPr fontId="1"/>
  </si>
  <si>
    <t>ログ改ざん防止のため</t>
    <rPh sb="2" eb="3">
      <t>カイ</t>
    </rPh>
    <rPh sb="5" eb="7">
      <t>ボウシ</t>
    </rPh>
    <phoneticPr fontId="1"/>
  </si>
  <si>
    <t>3-5</t>
    <phoneticPr fontId="1"/>
  </si>
  <si>
    <t>ログを保存する場合は暗号化する</t>
    <rPh sb="3" eb="5">
      <t>ホゾン</t>
    </rPh>
    <rPh sb="7" eb="9">
      <t>バアイ</t>
    </rPh>
    <rPh sb="10" eb="13">
      <t>アンゴウカ</t>
    </rPh>
    <phoneticPr fontId="1"/>
  </si>
  <si>
    <t>4-1</t>
    <phoneticPr fontId="1"/>
  </si>
  <si>
    <t>時刻同期</t>
    <rPh sb="0" eb="2">
      <t>ジコク</t>
    </rPh>
    <rPh sb="2" eb="4">
      <t>ドウキ</t>
    </rPh>
    <phoneticPr fontId="1"/>
  </si>
  <si>
    <t>ID体系を統一する</t>
    <rPh sb="2" eb="4">
      <t>タイケイ</t>
    </rPh>
    <rPh sb="5" eb="7">
      <t>トウイツ</t>
    </rPh>
    <phoneticPr fontId="1"/>
  </si>
  <si>
    <t>4-2</t>
    <phoneticPr fontId="1"/>
  </si>
  <si>
    <t>オペレータの業務詳細が分からないため</t>
    <rPh sb="6" eb="8">
      <t>ギョウム</t>
    </rPh>
    <rPh sb="8" eb="10">
      <t>ショウサイ</t>
    </rPh>
    <rPh sb="11" eb="12">
      <t>ワ</t>
    </rPh>
    <phoneticPr fontId="1"/>
  </si>
  <si>
    <t>4-3</t>
    <phoneticPr fontId="1"/>
  </si>
  <si>
    <t>各社の管理責任者が行う特権操作</t>
    <rPh sb="0" eb="2">
      <t>カクシャ</t>
    </rPh>
    <rPh sb="3" eb="8">
      <t>カンリセキニンシャ</t>
    </rPh>
    <rPh sb="9" eb="10">
      <t>オコナ</t>
    </rPh>
    <rPh sb="11" eb="13">
      <t>トッケン</t>
    </rPh>
    <rPh sb="13" eb="15">
      <t>ソウサ</t>
    </rPh>
    <phoneticPr fontId="1"/>
  </si>
  <si>
    <t>本人以外による確認</t>
    <rPh sb="0" eb="2">
      <t>ホンニン</t>
    </rPh>
    <rPh sb="2" eb="4">
      <t>イガイ</t>
    </rPh>
    <rPh sb="7" eb="9">
      <t>カクニン</t>
    </rPh>
    <phoneticPr fontId="1"/>
  </si>
  <si>
    <t>2011-秋</t>
  </si>
  <si>
    <t>PM2-2</t>
  </si>
  <si>
    <t>人事、情報システム、営業</t>
    <rPh sb="0" eb="2">
      <t>ジンジ</t>
    </rPh>
    <rPh sb="3" eb="5">
      <t>ジョウホウ</t>
    </rPh>
    <rPh sb="10" eb="12">
      <t>エイギョウ</t>
    </rPh>
    <phoneticPr fontId="1"/>
  </si>
  <si>
    <t>IPアドレス</t>
    <phoneticPr fontId="1"/>
  </si>
  <si>
    <t>DHCPとL3SW</t>
    <phoneticPr fontId="1"/>
  </si>
  <si>
    <t>DHCPリレーエージェント</t>
    <phoneticPr fontId="1"/>
  </si>
  <si>
    <t>ログ</t>
    <phoneticPr fontId="1"/>
  </si>
  <si>
    <t>FWルール</t>
    <phoneticPr fontId="1"/>
  </si>
  <si>
    <t>ドメイン</t>
    <phoneticPr fontId="1"/>
  </si>
  <si>
    <t>サブドメインの使用</t>
    <rPh sb="7" eb="9">
      <t>シヨウ</t>
    </rPh>
    <phoneticPr fontId="1"/>
  </si>
  <si>
    <t>従業員のドメイン</t>
    <rPh sb="0" eb="3">
      <t>ジュウギョウイン</t>
    </rPh>
    <phoneticPr fontId="1"/>
  </si>
  <si>
    <t>post</t>
    <phoneticPr fontId="1"/>
  </si>
  <si>
    <t>web</t>
    <phoneticPr fontId="1"/>
  </si>
  <si>
    <t>SPF</t>
    <phoneticPr fontId="1"/>
  </si>
  <si>
    <t>DNSサーバー</t>
    <phoneticPr fontId="1"/>
  </si>
  <si>
    <t>ローカル</t>
    <phoneticPr fontId="1"/>
  </si>
  <si>
    <t>オープンリレー</t>
    <phoneticPr fontId="1"/>
  </si>
  <si>
    <t>受信者ドメイン</t>
    <rPh sb="0" eb="3">
      <t>ジュシンシャ</t>
    </rPh>
    <phoneticPr fontId="1"/>
  </si>
  <si>
    <t>メールアドレスのドメイン名</t>
    <rPh sb="12" eb="13">
      <t>メイ</t>
    </rPh>
    <phoneticPr fontId="1"/>
  </si>
  <si>
    <t>エンベロープ</t>
    <phoneticPr fontId="1"/>
  </si>
  <si>
    <t>ドメイン名</t>
    <rPh sb="4" eb="5">
      <t>メイ</t>
    </rPh>
    <phoneticPr fontId="1"/>
  </si>
  <si>
    <t>許可リスト</t>
    <rPh sb="0" eb="2">
      <t>キョカ</t>
    </rPh>
    <phoneticPr fontId="1"/>
  </si>
  <si>
    <t>アドレスブロック</t>
    <phoneticPr fontId="1"/>
  </si>
  <si>
    <t>a:ウ</t>
    <phoneticPr fontId="1"/>
  </si>
  <si>
    <t>b:ア</t>
    <phoneticPr fontId="1"/>
  </si>
  <si>
    <t>c:エ</t>
    <phoneticPr fontId="1"/>
  </si>
  <si>
    <t>d:イ</t>
    <phoneticPr fontId="1"/>
  </si>
  <si>
    <t>送信者アドレスは、メール送信には関係ないため</t>
    <rPh sb="0" eb="3">
      <t>ソウシンシャ</t>
    </rPh>
    <rPh sb="12" eb="14">
      <t>ソウシン</t>
    </rPh>
    <rPh sb="16" eb="18">
      <t>カンケイ</t>
    </rPh>
    <phoneticPr fontId="1"/>
  </si>
  <si>
    <t>SさんのPCのIPアドレスから、送信者メールアドレスがAさんのメールを送信したこと</t>
    <rPh sb="16" eb="19">
      <t>ソウシンシャ</t>
    </rPh>
    <rPh sb="35" eb="37">
      <t>ソウシン</t>
    </rPh>
    <phoneticPr fontId="1"/>
  </si>
  <si>
    <t>PCを取り出し起動</t>
    <rPh sb="3" eb="4">
      <t>ト</t>
    </rPh>
    <rPh sb="5" eb="6">
      <t>ダ</t>
    </rPh>
    <rPh sb="7" eb="9">
      <t>キドウ</t>
    </rPh>
    <phoneticPr fontId="1"/>
  </si>
  <si>
    <t>Cさんから置き換わっていた</t>
    <rPh sb="5" eb="6">
      <t>オ</t>
    </rPh>
    <rPh sb="7" eb="8">
      <t>カ</t>
    </rPh>
    <phoneticPr fontId="1"/>
  </si>
  <si>
    <t>あるプロジェクトで受託開発</t>
    <rPh sb="9" eb="11">
      <t>ジュタク</t>
    </rPh>
    <rPh sb="11" eb="13">
      <t>カイハツ</t>
    </rPh>
    <phoneticPr fontId="1"/>
  </si>
  <si>
    <t>メールサーバーの対策</t>
    <rPh sb="8" eb="10">
      <t>タイサク</t>
    </rPh>
    <phoneticPr fontId="1"/>
  </si>
  <si>
    <t>社内メールサーバーのPOP3スキャンを使用する</t>
    <rPh sb="0" eb="2">
      <t>シャナイ</t>
    </rPh>
    <rPh sb="19" eb="21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</si>
</sst>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opLeftCell="C1" workbookViewId="0">
      <selection activeCell="E2" sqref="E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s="2" t="s">
        <v>149</v>
      </c>
      <c r="C2" s="2" t="s">
        <v>81</v>
      </c>
      <c r="D2">
        <v>55</v>
      </c>
      <c r="E2">
        <v>100</v>
      </c>
    </row>
    <row r="3" spans="1:6">
      <c r="A3">
        <v>3</v>
      </c>
      <c r="B3" s="2" t="s">
        <v>149</v>
      </c>
      <c r="C3" s="2" t="s">
        <v>150</v>
      </c>
      <c r="D3">
        <v>36</v>
      </c>
      <c r="E3">
        <v>50</v>
      </c>
    </row>
    <row r="4" spans="1:6">
      <c r="A4">
        <v>4</v>
      </c>
      <c r="B4" s="2" t="s">
        <v>149</v>
      </c>
      <c r="C4" s="3" t="s">
        <v>213</v>
      </c>
      <c r="D4">
        <v>36</v>
      </c>
      <c r="E4">
        <v>50</v>
      </c>
    </row>
    <row r="5" spans="1:6">
      <c r="A5">
        <v>1</v>
      </c>
      <c r="B5" s="2" t="s">
        <v>238</v>
      </c>
      <c r="C5" s="2" t="s">
        <v>239</v>
      </c>
      <c r="D5">
        <v>76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Q167"/>
  <sheetViews>
    <sheetView zoomScale="85" zoomScaleNormal="85" workbookViewId="0">
      <pane xSplit="1" ySplit="3" topLeftCell="B13" activePane="bottomRight" state="frozen"/>
      <selection pane="topRight" activeCell="B1" sqref="B1"/>
      <selection pane="bottomLeft" activeCell="A4" sqref="A4"/>
      <selection pane="bottomRight" activeCell="D4" sqref="D4:D22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7">
      <c r="A1" s="2" t="s">
        <v>0</v>
      </c>
      <c r="B1" s="1" t="s">
        <v>13</v>
      </c>
    </row>
    <row r="2" spans="1:17">
      <c r="A2" s="2" t="s">
        <v>2</v>
      </c>
      <c r="B2" s="3" t="s">
        <v>12</v>
      </c>
      <c r="D2">
        <f>SUM(D4:D1000)</f>
        <v>76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22</v>
      </c>
      <c r="B4" s="1" t="s">
        <v>23</v>
      </c>
      <c r="C4">
        <f>IF(B4&lt;&gt;"",LEN(B4),"")</f>
        <v>6</v>
      </c>
      <c r="D4">
        <f>E4*F4</f>
        <v>3</v>
      </c>
      <c r="E4">
        <v>3</v>
      </c>
      <c r="F4">
        <v>1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7">
      <c r="B5" s="1" t="s">
        <v>34</v>
      </c>
      <c r="C5">
        <f t="shared" ref="C5:C68" si="0">IF(B5&lt;&gt;"",LEN(B5),"")</f>
        <v>6</v>
      </c>
      <c r="D5">
        <f t="shared" ref="D5:D22" si="1">E5*F5</f>
        <v>3</v>
      </c>
      <c r="E5">
        <v>3</v>
      </c>
      <c r="F5">
        <v>1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7">
      <c r="A6" s="2" t="s">
        <v>33</v>
      </c>
      <c r="B6" s="1" t="s">
        <v>43</v>
      </c>
      <c r="C6">
        <f t="shared" si="0"/>
        <v>28</v>
      </c>
      <c r="D6">
        <f t="shared" si="1"/>
        <v>6</v>
      </c>
      <c r="E6">
        <v>6</v>
      </c>
      <c r="F6">
        <v>1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7">
      <c r="A7" s="2" t="s">
        <v>44</v>
      </c>
      <c r="B7" s="1" t="s">
        <v>54</v>
      </c>
      <c r="C7">
        <f t="shared" si="0"/>
        <v>18</v>
      </c>
      <c r="D7">
        <f t="shared" si="1"/>
        <v>6</v>
      </c>
      <c r="E7">
        <v>6</v>
      </c>
      <c r="F7">
        <v>1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7">
      <c r="B8" s="1" t="s">
        <v>55</v>
      </c>
      <c r="C8">
        <f t="shared" si="0"/>
        <v>24</v>
      </c>
      <c r="D8">
        <f t="shared" si="1"/>
        <v>6</v>
      </c>
      <c r="E8">
        <v>6</v>
      </c>
      <c r="F8">
        <v>1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7">
      <c r="A9" s="2" t="s">
        <v>61</v>
      </c>
      <c r="B9" s="1" t="s">
        <v>62</v>
      </c>
      <c r="C9">
        <f t="shared" si="0"/>
        <v>28</v>
      </c>
      <c r="D9">
        <f t="shared" si="1"/>
        <v>6</v>
      </c>
      <c r="E9">
        <v>6</v>
      </c>
      <c r="F9">
        <v>1</v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7">
      <c r="A10" s="2" t="s">
        <v>63</v>
      </c>
      <c r="B10" s="1" t="s">
        <v>64</v>
      </c>
      <c r="C10">
        <f t="shared" si="0"/>
        <v>4</v>
      </c>
      <c r="D10">
        <f t="shared" si="1"/>
        <v>6</v>
      </c>
      <c r="E10">
        <v>6</v>
      </c>
      <c r="F10">
        <v>1</v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7">
      <c r="A11" s="2" t="s">
        <v>65</v>
      </c>
      <c r="B11" s="1" t="s">
        <v>68</v>
      </c>
      <c r="C11">
        <f t="shared" si="0"/>
        <v>4</v>
      </c>
      <c r="D11">
        <f t="shared" si="1"/>
        <v>0</v>
      </c>
      <c r="E11">
        <v>6</v>
      </c>
      <c r="F11">
        <v>0</v>
      </c>
      <c r="G11" t="s">
        <v>21</v>
      </c>
      <c r="K11" t="s">
        <v>38</v>
      </c>
      <c r="M11" t="s">
        <v>51</v>
      </c>
    </row>
    <row r="12" spans="1:17">
      <c r="A12" s="2" t="s">
        <v>69</v>
      </c>
      <c r="B12" s="1" t="s">
        <v>222</v>
      </c>
      <c r="C12">
        <f t="shared" si="0"/>
        <v>15</v>
      </c>
      <c r="D12">
        <f t="shared" si="1"/>
        <v>6</v>
      </c>
      <c r="E12">
        <v>6</v>
      </c>
      <c r="F12">
        <v>1</v>
      </c>
    </row>
    <row r="13" spans="1:17">
      <c r="A13" s="2" t="s">
        <v>223</v>
      </c>
      <c r="B13" s="1" t="s">
        <v>224</v>
      </c>
      <c r="C13">
        <f t="shared" si="0"/>
        <v>9</v>
      </c>
      <c r="D13">
        <f t="shared" si="1"/>
        <v>4</v>
      </c>
      <c r="E13">
        <v>4</v>
      </c>
      <c r="F13">
        <v>1</v>
      </c>
      <c r="G13" t="s">
        <v>56</v>
      </c>
      <c r="I13" t="s">
        <v>60</v>
      </c>
      <c r="K13" t="s">
        <v>70</v>
      </c>
      <c r="M13" t="s">
        <v>73</v>
      </c>
      <c r="O13" t="s">
        <v>76</v>
      </c>
      <c r="Q13" t="s">
        <v>78</v>
      </c>
    </row>
    <row r="14" spans="1:17">
      <c r="A14" s="2" t="s">
        <v>225</v>
      </c>
      <c r="B14" s="1">
        <v>6</v>
      </c>
      <c r="C14">
        <f t="shared" si="0"/>
        <v>1</v>
      </c>
      <c r="D14">
        <f t="shared" si="1"/>
        <v>4</v>
      </c>
      <c r="E14">
        <v>4</v>
      </c>
      <c r="F14">
        <v>1</v>
      </c>
      <c r="G14" t="s">
        <v>57</v>
      </c>
      <c r="I14" t="s">
        <v>66</v>
      </c>
      <c r="K14" t="s">
        <v>71</v>
      </c>
      <c r="M14" t="s">
        <v>74</v>
      </c>
      <c r="O14" t="s">
        <v>77</v>
      </c>
    </row>
    <row r="15" spans="1:17">
      <c r="A15" s="2" t="s">
        <v>226</v>
      </c>
      <c r="B15" s="1" t="s">
        <v>227</v>
      </c>
      <c r="C15">
        <f t="shared" si="0"/>
        <v>10</v>
      </c>
      <c r="D15">
        <f t="shared" si="1"/>
        <v>6</v>
      </c>
      <c r="E15">
        <v>6</v>
      </c>
      <c r="F15">
        <v>1</v>
      </c>
      <c r="G15" t="s">
        <v>58</v>
      </c>
      <c r="I15" t="s">
        <v>67</v>
      </c>
      <c r="K15" t="s">
        <v>72</v>
      </c>
      <c r="M15" t="s">
        <v>75</v>
      </c>
      <c r="O15" t="s">
        <v>79</v>
      </c>
    </row>
    <row r="16" spans="1:17">
      <c r="A16" s="2" t="s">
        <v>228</v>
      </c>
      <c r="B16" s="1" t="s">
        <v>229</v>
      </c>
      <c r="C16">
        <f t="shared" si="0"/>
        <v>15</v>
      </c>
      <c r="D16">
        <f t="shared" si="1"/>
        <v>0</v>
      </c>
      <c r="E16">
        <v>6</v>
      </c>
      <c r="F16">
        <v>0</v>
      </c>
      <c r="G16" t="s">
        <v>59</v>
      </c>
    </row>
    <row r="17" spans="1:6">
      <c r="A17" s="2" t="s">
        <v>230</v>
      </c>
      <c r="B17" s="1" t="s">
        <v>231</v>
      </c>
      <c r="C17">
        <f t="shared" si="0"/>
        <v>4</v>
      </c>
      <c r="D17">
        <f t="shared" si="1"/>
        <v>4</v>
      </c>
      <c r="E17">
        <v>4</v>
      </c>
      <c r="F17">
        <v>1</v>
      </c>
    </row>
    <row r="18" spans="1:6">
      <c r="B18" s="1" t="s">
        <v>232</v>
      </c>
      <c r="C18">
        <f t="shared" si="0"/>
        <v>9</v>
      </c>
      <c r="D18">
        <f t="shared" si="1"/>
        <v>4</v>
      </c>
      <c r="E18">
        <v>4</v>
      </c>
      <c r="F18">
        <v>1</v>
      </c>
    </row>
    <row r="19" spans="1:6">
      <c r="A19" s="2" t="s">
        <v>233</v>
      </c>
      <c r="B19" s="1" t="s">
        <v>28</v>
      </c>
      <c r="C19">
        <f t="shared" si="0"/>
        <v>5</v>
      </c>
      <c r="D19">
        <f t="shared" si="1"/>
        <v>0</v>
      </c>
      <c r="E19">
        <v>6</v>
      </c>
      <c r="F19">
        <v>0</v>
      </c>
    </row>
    <row r="20" spans="1:6">
      <c r="B20" s="1" t="s">
        <v>234</v>
      </c>
      <c r="C20">
        <f t="shared" si="0"/>
        <v>18</v>
      </c>
      <c r="D20">
        <f t="shared" si="1"/>
        <v>0</v>
      </c>
      <c r="E20">
        <v>6</v>
      </c>
      <c r="F20">
        <v>0</v>
      </c>
    </row>
    <row r="21" spans="1:6">
      <c r="A21" s="2" t="s">
        <v>235</v>
      </c>
      <c r="B21" s="1" t="s">
        <v>236</v>
      </c>
      <c r="C21">
        <f t="shared" si="0"/>
        <v>15</v>
      </c>
      <c r="D21">
        <f t="shared" si="1"/>
        <v>6</v>
      </c>
      <c r="E21">
        <v>6</v>
      </c>
      <c r="F21">
        <v>1</v>
      </c>
    </row>
    <row r="22" spans="1:6">
      <c r="B22" s="1" t="s">
        <v>237</v>
      </c>
      <c r="C22">
        <f t="shared" si="0"/>
        <v>9</v>
      </c>
      <c r="D22">
        <f t="shared" si="1"/>
        <v>6</v>
      </c>
      <c r="E22">
        <v>6</v>
      </c>
      <c r="F22">
        <v>1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D859-FBF7-40E2-B0D0-EB79053AE898}">
  <sheetPr codeName="Sheet5"/>
  <dimension ref="A1:O167"/>
  <sheetViews>
    <sheetView tabSelected="1" zoomScale="85" zoomScaleNormal="85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F27" sqref="F24:F27"/>
    </sheetView>
  </sheetViews>
  <sheetFormatPr defaultRowHeight="18.75"/>
  <cols>
    <col min="1" max="1" width="9" style="2"/>
    <col min="2" max="2" width="61" style="1" customWidth="1"/>
    <col min="3" max="3" width="9.75" customWidth="1"/>
  </cols>
  <sheetData>
    <row r="1" spans="1:15">
      <c r="A1" s="2" t="s">
        <v>0</v>
      </c>
      <c r="B1" s="1" t="s">
        <v>80</v>
      </c>
    </row>
    <row r="2" spans="1:15">
      <c r="A2" s="2" t="s">
        <v>2</v>
      </c>
      <c r="B2" s="3" t="s">
        <v>81</v>
      </c>
      <c r="D2">
        <f>SUM(D4:D1000)</f>
        <v>55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22</v>
      </c>
      <c r="B4" s="1" t="s">
        <v>98</v>
      </c>
      <c r="C4">
        <f>IF(B4&lt;&gt;"",LEN(B4),"")</f>
        <v>4</v>
      </c>
      <c r="D4">
        <f>E4*F4</f>
        <v>3</v>
      </c>
      <c r="E4">
        <v>3</v>
      </c>
      <c r="F4">
        <v>1</v>
      </c>
    </row>
    <row r="5" spans="1:15">
      <c r="B5" s="1" t="s">
        <v>99</v>
      </c>
      <c r="C5">
        <f t="shared" ref="C5:C68" si="0">IF(B5&lt;&gt;"",LEN(B5),"")</f>
        <v>4</v>
      </c>
      <c r="D5">
        <f t="shared" ref="D5:D22" si="1">E5*F5</f>
        <v>3</v>
      </c>
      <c r="E5">
        <v>3</v>
      </c>
      <c r="F5">
        <v>1</v>
      </c>
      <c r="G5" t="s">
        <v>86</v>
      </c>
      <c r="I5" t="s">
        <v>87</v>
      </c>
      <c r="K5" t="s">
        <v>92</v>
      </c>
      <c r="M5" t="s">
        <v>95</v>
      </c>
      <c r="O5" t="s">
        <v>102</v>
      </c>
    </row>
    <row r="6" spans="1:15">
      <c r="B6" s="1" t="s">
        <v>100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82</v>
      </c>
      <c r="I6" t="s">
        <v>88</v>
      </c>
      <c r="K6" t="s">
        <v>93</v>
      </c>
      <c r="M6" t="s">
        <v>96</v>
      </c>
      <c r="O6" t="s">
        <v>103</v>
      </c>
    </row>
    <row r="7" spans="1:15">
      <c r="B7" s="1" t="s">
        <v>101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83</v>
      </c>
      <c r="I7" t="s">
        <v>89</v>
      </c>
      <c r="K7" t="s">
        <v>94</v>
      </c>
      <c r="M7" t="s">
        <v>97</v>
      </c>
      <c r="O7" t="s">
        <v>108</v>
      </c>
    </row>
    <row r="8" spans="1:15" ht="37.5">
      <c r="A8" s="2" t="s">
        <v>109</v>
      </c>
      <c r="B8" s="1" t="s">
        <v>110</v>
      </c>
      <c r="C8">
        <f t="shared" si="0"/>
        <v>34</v>
      </c>
      <c r="D8">
        <f t="shared" si="1"/>
        <v>6</v>
      </c>
      <c r="E8">
        <v>6</v>
      </c>
      <c r="F8">
        <v>1</v>
      </c>
      <c r="G8" t="s">
        <v>84</v>
      </c>
      <c r="I8" t="s">
        <v>90</v>
      </c>
      <c r="K8" t="s">
        <v>104</v>
      </c>
      <c r="M8" t="s">
        <v>106</v>
      </c>
      <c r="O8" t="s">
        <v>267</v>
      </c>
    </row>
    <row r="9" spans="1:15">
      <c r="A9" s="2" t="s">
        <v>111</v>
      </c>
      <c r="B9" s="1" t="s">
        <v>112</v>
      </c>
      <c r="C9">
        <f t="shared" si="0"/>
        <v>9</v>
      </c>
      <c r="D9">
        <f t="shared" si="1"/>
        <v>4</v>
      </c>
      <c r="E9">
        <v>4</v>
      </c>
      <c r="F9">
        <v>1</v>
      </c>
      <c r="G9" t="s">
        <v>85</v>
      </c>
      <c r="I9" t="s">
        <v>91</v>
      </c>
      <c r="K9" t="s">
        <v>105</v>
      </c>
      <c r="M9" t="s">
        <v>107</v>
      </c>
      <c r="O9" t="s">
        <v>268</v>
      </c>
    </row>
    <row r="10" spans="1:15" ht="37.5">
      <c r="B10" s="1" t="s">
        <v>113</v>
      </c>
      <c r="C10">
        <f t="shared" si="0"/>
        <v>44</v>
      </c>
      <c r="D10">
        <f t="shared" si="1"/>
        <v>6</v>
      </c>
      <c r="E10">
        <v>6</v>
      </c>
      <c r="F10">
        <v>1</v>
      </c>
      <c r="G10" t="s">
        <v>114</v>
      </c>
      <c r="I10" t="s">
        <v>115</v>
      </c>
      <c r="K10" t="s">
        <v>120</v>
      </c>
      <c r="M10" t="s">
        <v>125</v>
      </c>
    </row>
    <row r="11" spans="1:15">
      <c r="A11" s="2" t="s">
        <v>118</v>
      </c>
      <c r="B11" s="1" t="s">
        <v>119</v>
      </c>
      <c r="C11">
        <f t="shared" si="0"/>
        <v>8</v>
      </c>
      <c r="D11">
        <f t="shared" si="1"/>
        <v>6</v>
      </c>
      <c r="E11">
        <v>6</v>
      </c>
      <c r="F11">
        <v>1</v>
      </c>
      <c r="G11" t="s">
        <v>141</v>
      </c>
      <c r="I11" t="s">
        <v>116</v>
      </c>
      <c r="K11" t="s">
        <v>121</v>
      </c>
      <c r="M11" t="s">
        <v>126</v>
      </c>
    </row>
    <row r="12" spans="1:15">
      <c r="A12" s="2" t="s">
        <v>122</v>
      </c>
      <c r="B12" s="1" t="s">
        <v>123</v>
      </c>
      <c r="C12">
        <f t="shared" si="0"/>
        <v>20</v>
      </c>
      <c r="D12">
        <f t="shared" si="1"/>
        <v>0</v>
      </c>
      <c r="E12">
        <v>6</v>
      </c>
      <c r="F12">
        <v>0</v>
      </c>
      <c r="G12" t="s">
        <v>142</v>
      </c>
      <c r="I12" t="s">
        <v>117</v>
      </c>
    </row>
    <row r="13" spans="1:15" ht="37.5">
      <c r="A13" s="2" t="s">
        <v>124</v>
      </c>
      <c r="B13" s="1" t="s">
        <v>127</v>
      </c>
      <c r="C13">
        <f t="shared" si="0"/>
        <v>37</v>
      </c>
      <c r="D13">
        <f t="shared" si="1"/>
        <v>6</v>
      </c>
      <c r="E13">
        <v>6</v>
      </c>
      <c r="F13">
        <v>1</v>
      </c>
      <c r="G13" t="s">
        <v>143</v>
      </c>
      <c r="I13" t="s">
        <v>130</v>
      </c>
      <c r="K13" t="s">
        <v>87</v>
      </c>
      <c r="M13" t="s">
        <v>246</v>
      </c>
    </row>
    <row r="14" spans="1:15">
      <c r="B14" s="1" t="s">
        <v>128</v>
      </c>
      <c r="C14">
        <f t="shared" si="0"/>
        <v>29</v>
      </c>
      <c r="D14">
        <f t="shared" si="1"/>
        <v>0</v>
      </c>
      <c r="E14">
        <v>6</v>
      </c>
      <c r="F14">
        <v>0</v>
      </c>
      <c r="I14" t="s">
        <v>139</v>
      </c>
      <c r="K14" t="s">
        <v>244</v>
      </c>
      <c r="M14" t="s">
        <v>92</v>
      </c>
    </row>
    <row r="15" spans="1:15">
      <c r="A15" s="2" t="s">
        <v>129</v>
      </c>
      <c r="B15" s="1" t="s">
        <v>131</v>
      </c>
      <c r="C15">
        <f t="shared" si="0"/>
        <v>17</v>
      </c>
      <c r="D15">
        <f t="shared" si="1"/>
        <v>6</v>
      </c>
      <c r="E15">
        <v>6</v>
      </c>
      <c r="F15">
        <v>1</v>
      </c>
      <c r="I15" t="s">
        <v>140</v>
      </c>
      <c r="K15" t="s">
        <v>245</v>
      </c>
      <c r="M15" t="s">
        <v>247</v>
      </c>
    </row>
    <row r="16" spans="1:15">
      <c r="B16" s="1" t="s">
        <v>132</v>
      </c>
      <c r="C16">
        <f t="shared" si="0"/>
        <v>17</v>
      </c>
      <c r="D16">
        <f t="shared" si="1"/>
        <v>0</v>
      </c>
      <c r="E16">
        <v>6</v>
      </c>
      <c r="F16">
        <v>0</v>
      </c>
      <c r="I16" t="s">
        <v>254</v>
      </c>
      <c r="M16" t="s">
        <v>248</v>
      </c>
    </row>
    <row r="17" spans="1:13">
      <c r="A17" s="2" t="s">
        <v>133</v>
      </c>
      <c r="B17" s="1" t="s">
        <v>134</v>
      </c>
      <c r="C17">
        <f t="shared" si="0"/>
        <v>16</v>
      </c>
      <c r="D17">
        <f t="shared" si="1"/>
        <v>0</v>
      </c>
      <c r="E17">
        <v>6</v>
      </c>
      <c r="F17">
        <v>0</v>
      </c>
      <c r="H17" t="s">
        <v>181</v>
      </c>
      <c r="I17" t="s">
        <v>97</v>
      </c>
      <c r="K17" t="s">
        <v>249</v>
      </c>
      <c r="M17" t="s">
        <v>252</v>
      </c>
    </row>
    <row r="18" spans="1:13" ht="37.5">
      <c r="A18" s="2" t="s">
        <v>135</v>
      </c>
      <c r="B18" s="1" t="s">
        <v>136</v>
      </c>
      <c r="C18">
        <f t="shared" si="0"/>
        <v>33</v>
      </c>
      <c r="D18">
        <f t="shared" si="1"/>
        <v>0</v>
      </c>
      <c r="E18">
        <v>6</v>
      </c>
      <c r="F18">
        <v>0</v>
      </c>
      <c r="H18" t="s">
        <v>240</v>
      </c>
      <c r="I18" t="s">
        <v>255</v>
      </c>
      <c r="K18" t="s">
        <v>250</v>
      </c>
      <c r="M18" t="s">
        <v>253</v>
      </c>
    </row>
    <row r="19" spans="1:13" ht="37.5">
      <c r="A19" s="2" t="s">
        <v>137</v>
      </c>
      <c r="B19" s="1" t="s">
        <v>138</v>
      </c>
      <c r="C19">
        <f t="shared" si="0"/>
        <v>41</v>
      </c>
      <c r="D19">
        <f t="shared" si="1"/>
        <v>3</v>
      </c>
      <c r="E19">
        <v>6</v>
      </c>
      <c r="F19">
        <v>0.5</v>
      </c>
      <c r="H19" t="s">
        <v>241</v>
      </c>
      <c r="I19" t="s">
        <v>256</v>
      </c>
      <c r="K19" t="s">
        <v>251</v>
      </c>
      <c r="M19" t="s">
        <v>255</v>
      </c>
    </row>
    <row r="20" spans="1:13">
      <c r="A20" s="2" t="s">
        <v>146</v>
      </c>
      <c r="B20" s="1" t="s">
        <v>144</v>
      </c>
      <c r="C20">
        <f t="shared" si="0"/>
        <v>26</v>
      </c>
      <c r="D20">
        <f t="shared" si="1"/>
        <v>3</v>
      </c>
      <c r="E20">
        <v>6</v>
      </c>
      <c r="F20">
        <v>0.5</v>
      </c>
      <c r="H20" t="s">
        <v>242</v>
      </c>
      <c r="K20" t="s">
        <v>112</v>
      </c>
      <c r="M20" t="s">
        <v>97</v>
      </c>
    </row>
    <row r="21" spans="1:13">
      <c r="B21" s="1" t="s">
        <v>145</v>
      </c>
      <c r="C21">
        <f t="shared" si="0"/>
        <v>26</v>
      </c>
      <c r="D21">
        <f t="shared" si="1"/>
        <v>3</v>
      </c>
      <c r="E21">
        <v>6</v>
      </c>
      <c r="F21">
        <v>0.5</v>
      </c>
      <c r="H21" t="s">
        <v>243</v>
      </c>
      <c r="K21" t="s">
        <v>259</v>
      </c>
      <c r="M21" t="s">
        <v>257</v>
      </c>
    </row>
    <row r="22" spans="1:13">
      <c r="A22" s="2" t="s">
        <v>147</v>
      </c>
      <c r="B22" s="1" t="s">
        <v>148</v>
      </c>
      <c r="C22">
        <f t="shared" si="0"/>
        <v>15</v>
      </c>
      <c r="D22">
        <f t="shared" si="1"/>
        <v>3</v>
      </c>
      <c r="E22">
        <v>6</v>
      </c>
      <c r="F22">
        <v>0.5</v>
      </c>
      <c r="K22" t="s">
        <v>260</v>
      </c>
      <c r="M22" t="s">
        <v>258</v>
      </c>
    </row>
    <row r="23" spans="1:13">
      <c r="C23" t="str">
        <f t="shared" si="0"/>
        <v/>
      </c>
      <c r="H23" t="s">
        <v>269</v>
      </c>
      <c r="K23" t="s">
        <v>270</v>
      </c>
    </row>
    <row r="24" spans="1:13">
      <c r="A24" s="2" t="s">
        <v>22</v>
      </c>
      <c r="B24" t="s">
        <v>261</v>
      </c>
      <c r="C24">
        <f t="shared" si="0"/>
        <v>3</v>
      </c>
      <c r="F24">
        <v>1</v>
      </c>
      <c r="H24" t="s">
        <v>125</v>
      </c>
    </row>
    <row r="25" spans="1:13">
      <c r="B25" t="s">
        <v>262</v>
      </c>
      <c r="C25">
        <f t="shared" si="0"/>
        <v>3</v>
      </c>
      <c r="F25">
        <v>1</v>
      </c>
    </row>
    <row r="26" spans="1:13">
      <c r="B26" s="1" t="s">
        <v>263</v>
      </c>
      <c r="C26">
        <f t="shared" si="0"/>
        <v>3</v>
      </c>
      <c r="F26">
        <v>1</v>
      </c>
    </row>
    <row r="27" spans="1:13">
      <c r="B27" s="1" t="s">
        <v>264</v>
      </c>
      <c r="C27">
        <f t="shared" si="0"/>
        <v>3</v>
      </c>
      <c r="F27">
        <v>1</v>
      </c>
    </row>
    <row r="28" spans="1:13">
      <c r="A28" s="2" t="s">
        <v>33</v>
      </c>
      <c r="B28" s="1" t="s">
        <v>265</v>
      </c>
      <c r="C28">
        <f t="shared" si="0"/>
        <v>22</v>
      </c>
      <c r="F28">
        <v>1</v>
      </c>
    </row>
    <row r="29" spans="1:13">
      <c r="A29" s="2" t="s">
        <v>44</v>
      </c>
      <c r="B29" s="1" t="s">
        <v>112</v>
      </c>
      <c r="C29">
        <f t="shared" si="0"/>
        <v>9</v>
      </c>
      <c r="F29">
        <v>1</v>
      </c>
    </row>
    <row r="30" spans="1:13" ht="37.5">
      <c r="B30" s="1" t="s">
        <v>266</v>
      </c>
      <c r="C30">
        <f t="shared" si="0"/>
        <v>41</v>
      </c>
      <c r="F30">
        <v>1</v>
      </c>
    </row>
    <row r="31" spans="1:13">
      <c r="A31" s="2" t="s">
        <v>69</v>
      </c>
      <c r="B31" s="1" t="s">
        <v>119</v>
      </c>
      <c r="C31">
        <f t="shared" si="0"/>
        <v>8</v>
      </c>
      <c r="F31">
        <v>1</v>
      </c>
    </row>
    <row r="32" spans="1:13">
      <c r="A32" s="2" t="s">
        <v>223</v>
      </c>
      <c r="B32" s="1" t="s">
        <v>271</v>
      </c>
      <c r="C32">
        <f t="shared" si="0"/>
        <v>23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52BC-5F05-40EF-8CE4-CA935F97E41C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0" sqref="F20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80</v>
      </c>
    </row>
    <row r="2" spans="1:11">
      <c r="A2" s="2" t="s">
        <v>2</v>
      </c>
      <c r="B2" s="3" t="s">
        <v>150</v>
      </c>
      <c r="D2">
        <f>SUM(D4:D1000)</f>
        <v>36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161</v>
      </c>
      <c r="B4" s="1" t="s">
        <v>162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151</v>
      </c>
      <c r="I4" t="s">
        <v>152</v>
      </c>
      <c r="K4" t="s">
        <v>170</v>
      </c>
    </row>
    <row r="5" spans="1:11">
      <c r="A5" s="2" t="s">
        <v>163</v>
      </c>
      <c r="B5" s="1" t="s">
        <v>165</v>
      </c>
      <c r="C5">
        <f t="shared" ref="C5:C68" si="0">IF(B5&lt;&gt;"",LEN(B5),"")</f>
        <v>4</v>
      </c>
      <c r="D5">
        <f t="shared" ref="D5:D10" si="1">E5*F5</f>
        <v>0</v>
      </c>
      <c r="E5">
        <v>6</v>
      </c>
      <c r="F5">
        <v>0</v>
      </c>
      <c r="G5" t="s">
        <v>152</v>
      </c>
      <c r="I5" t="s">
        <v>158</v>
      </c>
      <c r="K5" t="s">
        <v>177</v>
      </c>
    </row>
    <row r="6" spans="1:11">
      <c r="A6" s="2" t="s">
        <v>166</v>
      </c>
      <c r="B6" s="1" t="s">
        <v>169</v>
      </c>
      <c r="C6">
        <f t="shared" si="0"/>
        <v>7</v>
      </c>
      <c r="D6">
        <f t="shared" si="1"/>
        <v>6</v>
      </c>
      <c r="E6">
        <v>6</v>
      </c>
      <c r="F6">
        <v>1</v>
      </c>
      <c r="G6" t="s">
        <v>153</v>
      </c>
      <c r="I6" t="s">
        <v>159</v>
      </c>
      <c r="K6" t="s">
        <v>178</v>
      </c>
    </row>
    <row r="7" spans="1:11">
      <c r="A7" s="2" t="s">
        <v>171</v>
      </c>
      <c r="B7" s="1" t="s">
        <v>172</v>
      </c>
      <c r="C7">
        <f t="shared" si="0"/>
        <v>31</v>
      </c>
      <c r="D7">
        <f t="shared" si="1"/>
        <v>8</v>
      </c>
      <c r="E7">
        <v>8</v>
      </c>
      <c r="F7">
        <v>1</v>
      </c>
      <c r="G7" t="s">
        <v>154</v>
      </c>
      <c r="I7" t="s">
        <v>160</v>
      </c>
    </row>
    <row r="8" spans="1:11">
      <c r="A8" s="2" t="s">
        <v>173</v>
      </c>
      <c r="B8" s="1" t="s">
        <v>174</v>
      </c>
      <c r="C8">
        <f t="shared" si="0"/>
        <v>27</v>
      </c>
      <c r="D8">
        <f t="shared" si="1"/>
        <v>0</v>
      </c>
      <c r="E8">
        <v>8</v>
      </c>
      <c r="F8">
        <v>0</v>
      </c>
      <c r="G8" t="s">
        <v>155</v>
      </c>
      <c r="I8" t="s">
        <v>164</v>
      </c>
    </row>
    <row r="9" spans="1:11">
      <c r="B9" s="1" t="s">
        <v>175</v>
      </c>
      <c r="C9">
        <f t="shared" si="0"/>
        <v>27</v>
      </c>
      <c r="D9">
        <f t="shared" si="1"/>
        <v>8</v>
      </c>
      <c r="E9">
        <v>8</v>
      </c>
      <c r="F9">
        <v>1</v>
      </c>
      <c r="G9" t="s">
        <v>156</v>
      </c>
      <c r="I9" t="s">
        <v>167</v>
      </c>
    </row>
    <row r="10" spans="1:11" ht="37.5">
      <c r="A10" s="2" t="s">
        <v>176</v>
      </c>
      <c r="B10" s="1" t="s">
        <v>179</v>
      </c>
      <c r="C10">
        <f t="shared" si="0"/>
        <v>48</v>
      </c>
      <c r="D10">
        <f t="shared" si="1"/>
        <v>10</v>
      </c>
      <c r="E10">
        <v>10</v>
      </c>
      <c r="F10">
        <v>1</v>
      </c>
      <c r="G10" t="s">
        <v>157</v>
      </c>
      <c r="I10" t="s">
        <v>168</v>
      </c>
    </row>
    <row r="11" spans="1:11">
      <c r="C11" t="str">
        <f t="shared" si="0"/>
        <v/>
      </c>
    </row>
    <row r="12" spans="1:11">
      <c r="C12" t="str">
        <f t="shared" si="0"/>
        <v/>
      </c>
    </row>
    <row r="13" spans="1:11">
      <c r="C13" t="str">
        <f t="shared" si="0"/>
        <v/>
      </c>
    </row>
    <row r="14" spans="1:11">
      <c r="B14" s="1" t="s">
        <v>205</v>
      </c>
      <c r="C14">
        <f t="shared" si="0"/>
        <v>4</v>
      </c>
    </row>
    <row r="15" spans="1:11">
      <c r="A15" s="2" t="s">
        <v>161</v>
      </c>
      <c r="B15" s="1" t="s">
        <v>162</v>
      </c>
      <c r="C15">
        <f t="shared" si="0"/>
        <v>1</v>
      </c>
      <c r="F15">
        <v>1</v>
      </c>
    </row>
    <row r="16" spans="1:11">
      <c r="A16" s="2" t="s">
        <v>163</v>
      </c>
      <c r="B16" s="1" t="s">
        <v>206</v>
      </c>
      <c r="C16">
        <f t="shared" si="0"/>
        <v>4</v>
      </c>
      <c r="F16">
        <v>1</v>
      </c>
    </row>
    <row r="17" spans="1:6">
      <c r="A17" s="2" t="s">
        <v>166</v>
      </c>
      <c r="B17" s="1" t="s">
        <v>207</v>
      </c>
      <c r="C17">
        <f t="shared" si="0"/>
        <v>10</v>
      </c>
      <c r="F17">
        <v>1</v>
      </c>
    </row>
    <row r="18" spans="1:6">
      <c r="A18" s="2" t="s">
        <v>171</v>
      </c>
      <c r="B18" s="1" t="s">
        <v>208</v>
      </c>
      <c r="C18">
        <f t="shared" si="0"/>
        <v>21</v>
      </c>
      <c r="F18">
        <v>1</v>
      </c>
    </row>
    <row r="19" spans="1:6" ht="37.5">
      <c r="A19" s="2" t="s">
        <v>173</v>
      </c>
      <c r="B19" s="1" t="s">
        <v>209</v>
      </c>
      <c r="C19">
        <f t="shared" si="0"/>
        <v>43</v>
      </c>
      <c r="F19">
        <v>1</v>
      </c>
    </row>
    <row r="20" spans="1:6">
      <c r="B20" s="1" t="s">
        <v>210</v>
      </c>
      <c r="C20">
        <f t="shared" si="0"/>
        <v>13</v>
      </c>
    </row>
    <row r="21" spans="1:6">
      <c r="B21" s="1" t="s">
        <v>211</v>
      </c>
      <c r="C21">
        <f t="shared" si="0"/>
        <v>26</v>
      </c>
      <c r="F21">
        <v>0</v>
      </c>
    </row>
    <row r="22" spans="1:6">
      <c r="B22" s="1" t="s">
        <v>212</v>
      </c>
      <c r="C22">
        <f t="shared" si="0"/>
        <v>24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8D46-621A-4700-8875-0B0DFE6C7A6D}">
  <sheetPr codeName="Sheet7"/>
  <dimension ref="A1:M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9" style="2"/>
    <col min="2" max="2" width="61.625" style="1" customWidth="1"/>
    <col min="3" max="3" width="9.75" customWidth="1"/>
  </cols>
  <sheetData>
    <row r="1" spans="1:13">
      <c r="A1" s="2" t="s">
        <v>0</v>
      </c>
      <c r="B1" s="1" t="s">
        <v>80</v>
      </c>
    </row>
    <row r="2" spans="1:13">
      <c r="A2" s="2" t="s">
        <v>2</v>
      </c>
      <c r="B2" s="3" t="s">
        <v>213</v>
      </c>
      <c r="D2">
        <f>SUM(D4:D1000)</f>
        <v>36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22</v>
      </c>
      <c r="B4" s="1" t="s">
        <v>195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180</v>
      </c>
      <c r="I4" t="s">
        <v>185</v>
      </c>
      <c r="K4" t="s">
        <v>190</v>
      </c>
      <c r="M4" t="s">
        <v>194</v>
      </c>
    </row>
    <row r="5" spans="1:13">
      <c r="B5" s="1" t="s">
        <v>196</v>
      </c>
      <c r="C5">
        <f t="shared" ref="C5:C68" si="0">IF(B5&lt;&gt;"",LEN(B5),"")</f>
        <v>3</v>
      </c>
      <c r="D5">
        <f t="shared" ref="D5:D11" si="1">E5*F5</f>
        <v>4</v>
      </c>
      <c r="E5">
        <v>4</v>
      </c>
      <c r="F5">
        <v>1</v>
      </c>
      <c r="G5" t="s">
        <v>181</v>
      </c>
      <c r="I5" t="s">
        <v>186</v>
      </c>
      <c r="K5" t="s">
        <v>191</v>
      </c>
      <c r="M5" t="s">
        <v>182</v>
      </c>
    </row>
    <row r="6" spans="1:13">
      <c r="A6" s="2" t="s">
        <v>109</v>
      </c>
      <c r="B6" s="1" t="s">
        <v>197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182</v>
      </c>
      <c r="I6" t="s">
        <v>187</v>
      </c>
      <c r="K6" t="s">
        <v>192</v>
      </c>
    </row>
    <row r="7" spans="1:13" ht="37.5">
      <c r="A7" s="2" t="s">
        <v>111</v>
      </c>
      <c r="B7" s="1" t="s">
        <v>198</v>
      </c>
      <c r="C7">
        <f t="shared" si="0"/>
        <v>50</v>
      </c>
      <c r="D7">
        <f t="shared" si="1"/>
        <v>10</v>
      </c>
      <c r="E7">
        <v>10</v>
      </c>
      <c r="F7">
        <v>1</v>
      </c>
      <c r="G7" t="s">
        <v>183</v>
      </c>
      <c r="I7" t="s">
        <v>188</v>
      </c>
      <c r="K7" t="s">
        <v>193</v>
      </c>
    </row>
    <row r="8" spans="1:13" ht="37.5">
      <c r="A8" s="2" t="s">
        <v>199</v>
      </c>
      <c r="B8" s="1" t="s">
        <v>200</v>
      </c>
      <c r="C8">
        <f t="shared" si="0"/>
        <v>43</v>
      </c>
      <c r="D8">
        <f t="shared" si="1"/>
        <v>0</v>
      </c>
      <c r="E8">
        <v>10</v>
      </c>
      <c r="F8">
        <v>0</v>
      </c>
      <c r="G8" t="s">
        <v>184</v>
      </c>
      <c r="I8" t="s">
        <v>189</v>
      </c>
      <c r="K8" t="s">
        <v>186</v>
      </c>
    </row>
    <row r="9" spans="1:13">
      <c r="A9" s="2" t="s">
        <v>201</v>
      </c>
      <c r="B9" s="1" t="s">
        <v>202</v>
      </c>
      <c r="C9">
        <f t="shared" si="0"/>
        <v>6</v>
      </c>
      <c r="D9">
        <f t="shared" si="1"/>
        <v>0</v>
      </c>
      <c r="E9">
        <v>4</v>
      </c>
      <c r="F9">
        <v>0</v>
      </c>
    </row>
    <row r="10" spans="1:13">
      <c r="B10" s="1" t="s">
        <v>203</v>
      </c>
      <c r="C10">
        <f t="shared" si="0"/>
        <v>8</v>
      </c>
      <c r="D10">
        <f t="shared" si="1"/>
        <v>6</v>
      </c>
      <c r="E10">
        <v>6</v>
      </c>
      <c r="F10">
        <v>1</v>
      </c>
    </row>
    <row r="11" spans="1:13">
      <c r="B11" s="1" t="s">
        <v>204</v>
      </c>
      <c r="C11">
        <f t="shared" si="0"/>
        <v>4</v>
      </c>
      <c r="D11">
        <f t="shared" si="1"/>
        <v>6</v>
      </c>
      <c r="E11">
        <v>6</v>
      </c>
      <c r="F11">
        <v>1</v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A15" s="2" t="s">
        <v>22</v>
      </c>
      <c r="B15" s="1" t="s">
        <v>195</v>
      </c>
      <c r="C15">
        <f t="shared" si="0"/>
        <v>3</v>
      </c>
      <c r="F15">
        <v>1</v>
      </c>
    </row>
    <row r="16" spans="1:13">
      <c r="B16" s="1" t="s">
        <v>196</v>
      </c>
      <c r="C16">
        <f t="shared" si="0"/>
        <v>3</v>
      </c>
      <c r="F16">
        <v>1</v>
      </c>
    </row>
    <row r="17" spans="1:7">
      <c r="A17" s="2" t="s">
        <v>109</v>
      </c>
      <c r="B17" s="1" t="s">
        <v>215</v>
      </c>
      <c r="C17">
        <f t="shared" si="0"/>
        <v>3</v>
      </c>
      <c r="F17">
        <v>1</v>
      </c>
      <c r="G17" t="s">
        <v>214</v>
      </c>
    </row>
    <row r="18" spans="1:7" ht="37.5">
      <c r="A18" s="2" t="s">
        <v>111</v>
      </c>
      <c r="B18" s="1" t="s">
        <v>216</v>
      </c>
      <c r="C18">
        <f t="shared" si="0"/>
        <v>50</v>
      </c>
      <c r="F18">
        <v>1</v>
      </c>
    </row>
    <row r="19" spans="1:7" ht="37.5">
      <c r="A19" s="2" t="s">
        <v>199</v>
      </c>
      <c r="B19" s="1" t="s">
        <v>217</v>
      </c>
      <c r="C19">
        <f t="shared" si="0"/>
        <v>43</v>
      </c>
      <c r="F19">
        <v>1</v>
      </c>
    </row>
    <row r="20" spans="1:7">
      <c r="A20" s="2" t="s">
        <v>218</v>
      </c>
      <c r="B20" s="1" t="s">
        <v>219</v>
      </c>
      <c r="C20">
        <f t="shared" si="0"/>
        <v>9</v>
      </c>
      <c r="F20">
        <v>1</v>
      </c>
    </row>
    <row r="21" spans="1:7">
      <c r="B21" s="1" t="s">
        <v>220</v>
      </c>
      <c r="C21">
        <f t="shared" si="0"/>
        <v>11</v>
      </c>
      <c r="F21">
        <v>1</v>
      </c>
    </row>
    <row r="22" spans="1:7">
      <c r="B22" s="1" t="s">
        <v>221</v>
      </c>
      <c r="C22">
        <f t="shared" si="0"/>
        <v>4</v>
      </c>
      <c r="F22">
        <v>1</v>
      </c>
    </row>
    <row r="23" spans="1:7">
      <c r="C23" t="str">
        <f t="shared" si="0"/>
        <v/>
      </c>
    </row>
    <row r="24" spans="1:7">
      <c r="C24" t="str">
        <f t="shared" si="0"/>
        <v/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C27" t="str">
        <f t="shared" si="0"/>
        <v/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2025-02-18T21:09:51Z</dcterms:modified>
</cp:coreProperties>
</file>