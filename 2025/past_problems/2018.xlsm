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past_problems\"/>
    </mc:Choice>
  </mc:AlternateContent>
  <xr:revisionPtr revIDLastSave="0" documentId="13_ncr:1_{1D2FD9C7-436E-4287-A14B-B792D655B45D}" xr6:coauthVersionLast="47" xr6:coauthVersionMax="47" xr10:uidLastSave="{00000000-0000-0000-0000-000000000000}"/>
  <bookViews>
    <workbookView xWindow="-120" yWindow="-120" windowWidth="29040" windowHeight="15720" xr2:uid="{00000000-000D-0000-FFFF-FFFF00000000}"/>
  </bookViews>
  <sheets>
    <sheet name="レビュー" sheetId="2" r:id="rId1"/>
    <sheet name="format" sheetId="4" r:id="rId2"/>
    <sheet name="1" sheetId="5" r:id="rId3"/>
    <sheet name="2" sheetId="6" r:id="rId4"/>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6" l="1"/>
  <c r="D12" i="6"/>
  <c r="D11" i="6"/>
  <c r="D10" i="6"/>
  <c r="D9" i="6"/>
  <c r="D8" i="6"/>
  <c r="D7" i="6"/>
  <c r="D6" i="6"/>
  <c r="D5" i="6"/>
  <c r="D2" i="6" s="1"/>
  <c r="D4" i="6"/>
  <c r="C167" i="6"/>
  <c r="C166" i="6"/>
  <c r="C165" i="6"/>
  <c r="C164" i="6"/>
  <c r="C163" i="6"/>
  <c r="C162" i="6"/>
  <c r="C161" i="6"/>
  <c r="C160" i="6"/>
  <c r="C159" i="6"/>
  <c r="C158" i="6"/>
  <c r="C157" i="6"/>
  <c r="C156" i="6"/>
  <c r="C155" i="6"/>
  <c r="C154" i="6"/>
  <c r="C153" i="6"/>
  <c r="C152" i="6"/>
  <c r="C151" i="6"/>
  <c r="C150" i="6"/>
  <c r="C149" i="6"/>
  <c r="C148" i="6"/>
  <c r="C147" i="6"/>
  <c r="C146" i="6"/>
  <c r="C145" i="6"/>
  <c r="C144" i="6"/>
  <c r="C143" i="6"/>
  <c r="C142" i="6"/>
  <c r="C141" i="6"/>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C6" i="6"/>
  <c r="C5" i="6"/>
  <c r="C4" i="6"/>
  <c r="E2" i="6"/>
  <c r="D19" i="5"/>
  <c r="D18" i="5"/>
  <c r="D17" i="5"/>
  <c r="D16" i="5"/>
  <c r="D15" i="5"/>
  <c r="D14" i="5"/>
  <c r="D13" i="5"/>
  <c r="D12" i="5"/>
  <c r="D11" i="5"/>
  <c r="D10" i="5"/>
  <c r="D9" i="5"/>
  <c r="D8" i="5"/>
  <c r="D2" i="5" s="1"/>
  <c r="D7" i="5"/>
  <c r="D6" i="5"/>
  <c r="D5" i="5"/>
  <c r="D4"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<sst xmlns="http://schemas.openxmlformats.org/spreadsheetml/2006/main" count="125" uniqueCount="103">
  <si>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</si>
  <si>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</si>
  <si>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</si>
  <si>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</si>
  <si>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</si>
  <si>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</si>
  <si>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</si>
  <si>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</si>
  <si>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</si>
  <si>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</si>
  <si>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</si>
  <si>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</si>
  <si>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2018-春</t>
  </si>
  <si>
    <t>2018-春</t>
    <rPh sb="5" eb="6">
      <t>ハル</t>
    </rPh>
    <phoneticPr fontId="1"/>
  </si>
  <si>
    <t>PM2-2</t>
  </si>
  <si>
    <t>PM2-2</t>
    <phoneticPr fontId="1"/>
  </si>
  <si>
    <t>A社マスメディア</t>
    <rPh sb="1" eb="2">
      <t>シャ</t>
    </rPh>
    <phoneticPr fontId="1"/>
  </si>
  <si>
    <t>webサイトを用意</t>
    <rPh sb="7" eb="9">
      <t>ヨウイ</t>
    </rPh>
    <phoneticPr fontId="1"/>
  </si>
  <si>
    <t>ネット上に公開</t>
    <rPh sb="3" eb="4">
      <t>ジョウ</t>
    </rPh>
    <rPh sb="5" eb="7">
      <t>コウカイ</t>
    </rPh>
    <phoneticPr fontId="1"/>
  </si>
  <si>
    <t>アプリ動作</t>
    <rPh sb="3" eb="5">
      <t>ドウサ</t>
    </rPh>
    <phoneticPr fontId="1"/>
  </si>
  <si>
    <t>Bshani 委託</t>
    <rPh sb="7" eb="9">
      <t>イタク</t>
    </rPh>
    <phoneticPr fontId="1"/>
  </si>
  <si>
    <t>ライフサイクル</t>
    <phoneticPr fontId="1"/>
  </si>
  <si>
    <t>要件定義</t>
    <rPh sb="0" eb="2">
      <t>ヨウケン</t>
    </rPh>
    <rPh sb="2" eb="4">
      <t>テイギ</t>
    </rPh>
    <phoneticPr fontId="1"/>
  </si>
  <si>
    <t>設計</t>
    <rPh sb="0" eb="2">
      <t>セッケイ</t>
    </rPh>
    <phoneticPr fontId="1"/>
  </si>
  <si>
    <t>セキュリティガイド</t>
    <phoneticPr fontId="1"/>
  </si>
  <si>
    <t>DCX</t>
    <phoneticPr fontId="1"/>
  </si>
  <si>
    <t>SVXではアプリXが稼働</t>
    <rPh sb="10" eb="12">
      <t>カドウ</t>
    </rPh>
    <phoneticPr fontId="1"/>
  </si>
  <si>
    <t>WF-K</t>
    <phoneticPr fontId="1"/>
  </si>
  <si>
    <t>XSS、SQLインジェクション</t>
    <phoneticPr fontId="1"/>
  </si>
  <si>
    <t>診断</t>
    <rPh sb="0" eb="2">
      <t>シンダン</t>
    </rPh>
    <phoneticPr fontId="1"/>
  </si>
  <si>
    <t>サイトXはDCX</t>
    <phoneticPr fontId="1"/>
  </si>
  <si>
    <t>サイトXはDCXに設置</t>
    <rPh sb="9" eb="11">
      <t>セッチ</t>
    </rPh>
    <phoneticPr fontId="1"/>
  </si>
  <si>
    <t>委託はB社</t>
    <rPh sb="0" eb="2">
      <t>イタク</t>
    </rPh>
    <rPh sb="4" eb="5">
      <t>シャ</t>
    </rPh>
    <phoneticPr fontId="1"/>
  </si>
  <si>
    <t>サイトYはほっとスタンバイ</t>
    <phoneticPr fontId="1"/>
  </si>
  <si>
    <t>バッチ</t>
    <phoneticPr fontId="1"/>
  </si>
  <si>
    <t>３か月ごとに定期メンテナンス</t>
    <rPh sb="2" eb="3">
      <t>ゲツ</t>
    </rPh>
    <rPh sb="6" eb="8">
      <t>テイキ</t>
    </rPh>
    <phoneticPr fontId="1"/>
  </si>
  <si>
    <t>リンクが外部のURL</t>
    <rPh sb="4" eb="6">
      <t>ガイブ</t>
    </rPh>
    <phoneticPr fontId="1"/>
  </si>
  <si>
    <t>LDDさんに報告</t>
    <rPh sb="6" eb="8">
      <t>ホウコク</t>
    </rPh>
    <phoneticPr fontId="1"/>
  </si>
  <si>
    <t>DNSサーバの設定を変更</t>
    <rPh sb="7" eb="9">
      <t>セッテイ</t>
    </rPh>
    <rPh sb="10" eb="12">
      <t>ヘンコウ</t>
    </rPh>
    <phoneticPr fontId="1"/>
  </si>
  <si>
    <t>調査</t>
    <rPh sb="0" eb="2">
      <t>チョウサ</t>
    </rPh>
    <phoneticPr fontId="1"/>
  </si>
  <si>
    <t>脆弱性Kが存在</t>
    <rPh sb="0" eb="3">
      <t>ゼイジャクセイ</t>
    </rPh>
    <rPh sb="5" eb="7">
      <t>ソンザイ</t>
    </rPh>
    <phoneticPr fontId="1"/>
  </si>
  <si>
    <t>1-1</t>
    <phoneticPr fontId="1"/>
  </si>
  <si>
    <t>攻撃に使われる文字列がPOSTデータ内に含まれている場合</t>
    <rPh sb="0" eb="2">
      <t>コウゲキ</t>
    </rPh>
    <rPh sb="3" eb="4">
      <t>ツカ</t>
    </rPh>
    <rPh sb="7" eb="10">
      <t>モジレツ</t>
    </rPh>
    <rPh sb="18" eb="19">
      <t>ナイ</t>
    </rPh>
    <rPh sb="20" eb="21">
      <t>フク</t>
    </rPh>
    <rPh sb="26" eb="28">
      <t>バアイ</t>
    </rPh>
    <phoneticPr fontId="1"/>
  </si>
  <si>
    <t>DB-Xのコマンド履歴</t>
    <rPh sb="9" eb="11">
      <t>リレキ</t>
    </rPh>
    <phoneticPr fontId="1"/>
  </si>
  <si>
    <t>DBの操作ログを確認</t>
    <rPh sb="3" eb="5">
      <t>ソウサ</t>
    </rPh>
    <rPh sb="8" eb="10">
      <t>カクニン</t>
    </rPh>
    <phoneticPr fontId="1"/>
  </si>
  <si>
    <t>アクセスログを確認</t>
    <rPh sb="7" eb="9">
      <t>カクニン</t>
    </rPh>
    <phoneticPr fontId="1"/>
  </si>
  <si>
    <t>1-2</t>
    <phoneticPr fontId="1"/>
  </si>
  <si>
    <t>WEBサイトYのすべてのファイルと比較</t>
    <rPh sb="17" eb="19">
      <t>ヒカク</t>
    </rPh>
    <phoneticPr fontId="1"/>
  </si>
  <si>
    <t>1-3</t>
    <phoneticPr fontId="1"/>
  </si>
  <si>
    <t>サイトYに対してPC-LANの診断</t>
    <rPh sb="5" eb="6">
      <t>タイ</t>
    </rPh>
    <rPh sb="15" eb="17">
      <t>シンダン</t>
    </rPh>
    <phoneticPr fontId="1"/>
  </si>
  <si>
    <t>公開鍵認証方式</t>
    <rPh sb="0" eb="3">
      <t>コウカイカギ</t>
    </rPh>
    <rPh sb="3" eb="5">
      <t>ニンショウ</t>
    </rPh>
    <rPh sb="5" eb="7">
      <t>ホウシキ</t>
    </rPh>
    <phoneticPr fontId="1"/>
  </si>
  <si>
    <t>2</t>
    <phoneticPr fontId="1"/>
  </si>
  <si>
    <t>WEBサイトで利用しているOS、ミドルウェア、WFの名称とバージョン情報</t>
    <rPh sb="7" eb="9">
      <t>リヨウ</t>
    </rPh>
    <rPh sb="26" eb="28">
      <t>メイショウ</t>
    </rPh>
    <rPh sb="34" eb="36">
      <t>ジョウホウ</t>
    </rPh>
    <phoneticPr fontId="1"/>
  </si>
  <si>
    <t>webアプリの脆弱性</t>
    <rPh sb="7" eb="10">
      <t>ゼイジャクセイ</t>
    </rPh>
    <phoneticPr fontId="1"/>
  </si>
  <si>
    <t>今回検出のXSS</t>
    <rPh sb="0" eb="2">
      <t>コンカイ</t>
    </rPh>
    <rPh sb="2" eb="4">
      <t>ケンシュツ</t>
    </rPh>
    <phoneticPr fontId="1"/>
  </si>
  <si>
    <t>3</t>
    <phoneticPr fontId="1"/>
  </si>
  <si>
    <t>c: ディレクトリトラバーサル</t>
    <phoneticPr fontId="1"/>
  </si>
  <si>
    <t>d: クロスサイト</t>
    <phoneticPr fontId="1"/>
  </si>
  <si>
    <t>e; HTTP</t>
    <phoneticPr fontId="1"/>
  </si>
  <si>
    <t>f; ジャッキング</t>
    <phoneticPr fontId="1"/>
  </si>
  <si>
    <t>4-1</t>
    <phoneticPr fontId="1"/>
  </si>
  <si>
    <t>g: 30</t>
    <phoneticPr fontId="1"/>
  </si>
  <si>
    <t>h: 0</t>
    <phoneticPr fontId="1"/>
  </si>
  <si>
    <t>4-2</t>
    <phoneticPr fontId="1"/>
  </si>
  <si>
    <t>ID+PWでログイン</t>
    <phoneticPr fontId="1"/>
  </si>
  <si>
    <t>JSESSION ID</t>
    <phoneticPr fontId="1"/>
  </si>
  <si>
    <t>Cookieに格納</t>
    <rPh sb="7" eb="9">
      <t>カクノウ</t>
    </rPh>
    <phoneticPr fontId="1"/>
  </si>
  <si>
    <t>検索→n件</t>
    <rPh sb="0" eb="2">
      <t>ケンサク</t>
    </rPh>
    <rPh sb="4" eb="5">
      <t>ケン</t>
    </rPh>
    <phoneticPr fontId="1"/>
  </si>
  <si>
    <t>codeでDBを検索</t>
    <rPh sb="8" eb="10">
      <t>ケンサク</t>
    </rPh>
    <phoneticPr fontId="1"/>
  </si>
  <si>
    <t>カートに入れる</t>
    <rPh sb="4" eb="5">
      <t>イ</t>
    </rPh>
    <phoneticPr fontId="1"/>
  </si>
  <si>
    <t>セッションに格納</t>
    <rPh sb="6" eb="8">
      <t>カクノウ</t>
    </rPh>
    <phoneticPr fontId="1"/>
  </si>
  <si>
    <t>一覧で選択</t>
    <rPh sb="0" eb="2">
      <t>イチラン</t>
    </rPh>
    <rPh sb="3" eb="5">
      <t>センタク</t>
    </rPh>
    <phoneticPr fontId="1"/>
  </si>
  <si>
    <t>画面遷移</t>
    <rPh sb="0" eb="4">
      <t>ガメンセンイ</t>
    </rPh>
    <phoneticPr fontId="1"/>
  </si>
  <si>
    <t>イ</t>
    <phoneticPr fontId="1"/>
  </si>
  <si>
    <t>4-3</t>
    <phoneticPr fontId="1"/>
  </si>
  <si>
    <t>j: うの操作を実行するときに、codeの値を限定承認に書き換える</t>
    <rPh sb="5" eb="7">
      <t>ソウサ</t>
    </rPh>
    <rPh sb="8" eb="10">
      <t>ジッコウ</t>
    </rPh>
    <rPh sb="21" eb="22">
      <t>アタイ</t>
    </rPh>
    <rPh sb="23" eb="25">
      <t>ゲンテイ</t>
    </rPh>
    <rPh sb="25" eb="27">
      <t>ショウニン</t>
    </rPh>
    <rPh sb="28" eb="29">
      <t>カ</t>
    </rPh>
    <rPh sb="30" eb="31">
      <t>カ</t>
    </rPh>
    <phoneticPr fontId="1"/>
  </si>
  <si>
    <t>4-4</t>
    <phoneticPr fontId="1"/>
  </si>
  <si>
    <t>k: 権限がことなる複数の</t>
    <rPh sb="3" eb="5">
      <t>ケンゲン</t>
    </rPh>
    <rPh sb="10" eb="12">
      <t>フクスウ</t>
    </rPh>
    <phoneticPr fontId="1"/>
  </si>
  <si>
    <t>l:許可されている操作の違い</t>
    <rPh sb="2" eb="4">
      <t>キョカ</t>
    </rPh>
    <rPh sb="9" eb="11">
      <t>ソウサ</t>
    </rPh>
    <rPh sb="12" eb="13">
      <t>チガ</t>
    </rPh>
    <phoneticPr fontId="1"/>
  </si>
  <si>
    <t>5</t>
    <phoneticPr fontId="1"/>
  </si>
  <si>
    <t>納品時に行ったレビューの内容を記載したものを送付すること</t>
    <rPh sb="0" eb="3">
      <t>ノウヒンジ</t>
    </rPh>
    <rPh sb="4" eb="5">
      <t>オコナ</t>
    </rPh>
    <rPh sb="12" eb="14">
      <t>ナイヨウ</t>
    </rPh>
    <rPh sb="15" eb="17">
      <t>キサイ</t>
    </rPh>
    <rPh sb="22" eb="24">
      <t>ソウフ</t>
    </rPh>
    <phoneticPr fontId="1"/>
  </si>
  <si>
    <t>6</t>
    <phoneticPr fontId="1"/>
  </si>
  <si>
    <t>セキュリティガイドラインに、作りこみの原因とポイントとして記載する</t>
    <rPh sb="14" eb="15">
      <t>ツク</t>
    </rPh>
    <rPh sb="19" eb="21">
      <t>ゲンイン</t>
    </rPh>
    <rPh sb="29" eb="31">
      <t>キサイ</t>
    </rPh>
    <phoneticPr fontId="1"/>
  </si>
  <si>
    <t>PM1-1</t>
  </si>
  <si>
    <t>PM1-1</t>
    <phoneticPr fontId="1"/>
  </si>
  <si>
    <t>V社</t>
    <rPh sb="1" eb="2">
      <t>シャ</t>
    </rPh>
    <phoneticPr fontId="1"/>
  </si>
  <si>
    <t>1</t>
    <phoneticPr fontId="1"/>
  </si>
  <si>
    <t>a: カ</t>
    <phoneticPr fontId="1"/>
  </si>
  <si>
    <t>b: ウ</t>
    <phoneticPr fontId="1"/>
  </si>
  <si>
    <t>785634120a</t>
    <phoneticPr fontId="1"/>
  </si>
  <si>
    <t>関数テーブル＝実行コードの先頭アドレスが記録されたテーブル</t>
    <rPh sb="0" eb="2">
      <t>カンスウ</t>
    </rPh>
    <rPh sb="7" eb="9">
      <t>ジッコウ</t>
    </rPh>
    <rPh sb="13" eb="15">
      <t>セントウ</t>
    </rPh>
    <rPh sb="20" eb="22">
      <t>キロク</t>
    </rPh>
    <phoneticPr fontId="1"/>
  </si>
  <si>
    <t>ライブラリ関数の呼び出し時、実行コードの値を参照して処理遷移</t>
    <rPh sb="5" eb="7">
      <t>カンスウ</t>
    </rPh>
    <rPh sb="8" eb="9">
      <t>ヨ</t>
    </rPh>
    <rPh sb="10" eb="11">
      <t>ダ</t>
    </rPh>
    <rPh sb="12" eb="13">
      <t>ジ</t>
    </rPh>
    <rPh sb="14" eb="16">
      <t>ジッコウ</t>
    </rPh>
    <rPh sb="20" eb="21">
      <t>アタイ</t>
    </rPh>
    <rPh sb="22" eb="24">
      <t>サンショウ</t>
    </rPh>
    <rPh sb="26" eb="28">
      <t>ショリ</t>
    </rPh>
    <rPh sb="28" eb="30">
      <t>センイ</t>
    </rPh>
    <phoneticPr fontId="1"/>
  </si>
  <si>
    <t>エ</t>
    <phoneticPr fontId="1"/>
  </si>
  <si>
    <t>4</t>
    <phoneticPr fontId="1"/>
  </si>
  <si>
    <t>e: ヒープ</t>
    <phoneticPr fontId="1"/>
  </si>
  <si>
    <t>共有ライブラリの関数は実行防止の対象でないメモリ領域に配置されているから</t>
    <rPh sb="0" eb="2">
      <t>キョウユウ</t>
    </rPh>
    <rPh sb="8" eb="10">
      <t>カンスウ</t>
    </rPh>
    <rPh sb="11" eb="13">
      <t>ジッコウ</t>
    </rPh>
    <rPh sb="13" eb="15">
      <t>ボウシ</t>
    </rPh>
    <rPh sb="16" eb="18">
      <t>タイショウ</t>
    </rPh>
    <rPh sb="24" eb="26">
      <t>リョウイキ</t>
    </rPh>
    <rPh sb="27" eb="29">
      <t>ハイチ</t>
    </rPh>
    <phoneticPr fontId="1"/>
  </si>
  <si>
    <t>0x0b123400</t>
    <phoneticPr fontId="1"/>
  </si>
  <si>
    <t>7</t>
    <phoneticPr fontId="1"/>
  </si>
  <si>
    <t>ア</t>
    <phoneticPr fontId="1"/>
  </si>
  <si>
    <t>8</t>
    <phoneticPr fontId="1"/>
  </si>
  <si>
    <t>9</t>
    <phoneticPr fontId="1"/>
  </si>
  <si>
    <t>DisplayNote()</t>
    <phoneticPr fontId="1"/>
  </si>
  <si>
    <t>m_note=NULL;</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</si>
</sst>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3"/>
  <sheetViews>
    <sheetView tabSelected="1" workbookViewId="0">
      <selection activeCell="I7" sqref="I7"/>
    </sheetView>
  </sheetViews>
  <sheetFormatPr defaultRowHeight="18.75"/>
  <cols>
    <col min="2" max="3" width="9" style="2"/>
  </cols>
  <sheetData>
    <row r="1" spans="1:6">
      <c r="A1" t="s">
        <v>11</v>
      </c>
      <c r="B1" s="2" t="s">
        <v>7</v>
      </c>
      <c r="C1" s="2" t="s">
        <v>8</v>
      </c>
      <c r="D1" t="s">
        <v>9</v>
      </c>
      <c r="E1" t="s">
        <v>5</v>
      </c>
      <c r="F1" t="s">
        <v>10</v>
      </c>
    </row>
    <row r="2" spans="1:6">
      <c r="A2">
        <v>1</v>
      </c>
      <c r="B2" s="2" t="s">
        <v>12</v>
      </c>
      <c r="C2" s="2" t="s">
        <v>14</v>
      </c>
      <c r="D2">
        <v>90</v>
      </c>
      <c r="E2">
        <v>100</v>
      </c>
    </row>
    <row r="3" spans="1:6">
      <c r="A3">
        <v>2</v>
      </c>
      <c r="B3" s="2" t="s">
        <v>12</v>
      </c>
      <c r="C3" s="2" t="s">
        <v>83</v>
      </c>
      <c r="D3">
        <v>50</v>
      </c>
      <c r="E3">
        <v>50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82BF5-C629-45AD-9971-992BDE45ACC8}">
  <sheetPr codeName="Sheet4"/>
  <dimension ref="A1:Q167"/>
  <sheetViews>
    <sheetView zoomScale="85" zoomScaleNormal="85" workbookViewId="0">
      <pane xSplit="1" ySplit="3" topLeftCell="B4" activePane="bottomRight" state="frozen"/>
      <selection pane="topRight" activeCell="B1" sqref="B1"/>
      <selection pane="bottomLeft" activeCell="A4" sqref="A4"/>
      <selection pane="bottomRight" activeCell="B1" sqref="B1:B2"/>
    </sheetView>
  </sheetViews>
  <sheetFormatPr defaultRowHeight="18.75"/>
  <cols>
    <col min="1" max="1" width="9" style="2"/>
    <col min="2" max="2" width="58.375" style="1" customWidth="1"/>
    <col min="3" max="3" width="9.75" customWidth="1"/>
  </cols>
  <sheetData>
    <row r="1" spans="1:17">
      <c r="A1" s="2" t="s">
        <v>0</v>
      </c>
      <c r="B1" s="1" t="s">
        <v>13</v>
      </c>
    </row>
    <row r="2" spans="1:17">
      <c r="A2" s="2" t="s">
        <v>2</v>
      </c>
      <c r="B2" s="3" t="s">
        <v>15</v>
      </c>
      <c r="D2">
        <f>SUM(D4:D1000)</f>
        <v>90</v>
      </c>
      <c r="E2">
        <f>SUM(E4:E1000)</f>
        <v>100</v>
      </c>
    </row>
    <row r="3" spans="1:17">
      <c r="A3" s="2" t="s">
        <v>1</v>
      </c>
      <c r="B3" s="1" t="s">
        <v>3</v>
      </c>
      <c r="C3" t="s">
        <v>6</v>
      </c>
      <c r="D3" t="s">
        <v>4</v>
      </c>
      <c r="E3" t="s">
        <v>5</v>
      </c>
    </row>
    <row r="4" spans="1:17">
      <c r="A4" s="2" t="s">
        <v>41</v>
      </c>
      <c r="B4" s="1" t="s">
        <v>42</v>
      </c>
      <c r="C4">
        <f>IF(B4&lt;&gt;"",LEN(B4),"")</f>
        <v>28</v>
      </c>
      <c r="D4">
        <f>E4*F4</f>
        <v>8</v>
      </c>
      <c r="E4">
        <v>8</v>
      </c>
      <c r="F4">
        <v>1</v>
      </c>
      <c r="G4" t="s">
        <v>16</v>
      </c>
      <c r="I4" t="s">
        <v>22</v>
      </c>
      <c r="K4" t="s">
        <v>28</v>
      </c>
      <c r="M4" t="s">
        <v>34</v>
      </c>
      <c r="O4" t="s">
        <v>27</v>
      </c>
      <c r="Q4" t="s">
        <v>53</v>
      </c>
    </row>
    <row r="5" spans="1:17">
      <c r="A5" s="2" t="s">
        <v>46</v>
      </c>
      <c r="B5" s="1" t="s">
        <v>47</v>
      </c>
      <c r="C5">
        <f t="shared" ref="C5:C68" si="0">IF(B5&lt;&gt;"",LEN(B5),"")</f>
        <v>19</v>
      </c>
      <c r="D5">
        <f t="shared" ref="D5:D19" si="1">E5*F5</f>
        <v>8</v>
      </c>
      <c r="E5">
        <v>8</v>
      </c>
      <c r="F5">
        <v>1</v>
      </c>
      <c r="G5" t="s">
        <v>17</v>
      </c>
      <c r="I5" t="s">
        <v>23</v>
      </c>
      <c r="K5" t="s">
        <v>29</v>
      </c>
      <c r="M5" t="s">
        <v>35</v>
      </c>
      <c r="O5" t="s">
        <v>40</v>
      </c>
      <c r="Q5" t="s">
        <v>54</v>
      </c>
    </row>
    <row r="6" spans="1:17">
      <c r="A6" s="2" t="s">
        <v>48</v>
      </c>
      <c r="B6" s="1" t="s">
        <v>50</v>
      </c>
      <c r="C6">
        <f t="shared" si="0"/>
        <v>7</v>
      </c>
      <c r="D6">
        <f t="shared" si="1"/>
        <v>8</v>
      </c>
      <c r="E6">
        <v>8</v>
      </c>
      <c r="F6">
        <v>1</v>
      </c>
      <c r="G6" t="s">
        <v>18</v>
      </c>
      <c r="I6" t="s">
        <v>24</v>
      </c>
      <c r="K6" t="s">
        <v>30</v>
      </c>
      <c r="M6" t="s">
        <v>36</v>
      </c>
      <c r="O6" t="s">
        <v>43</v>
      </c>
    </row>
    <row r="7" spans="1:17" ht="37.5">
      <c r="A7" s="2" t="s">
        <v>51</v>
      </c>
      <c r="B7" s="1" t="s">
        <v>52</v>
      </c>
      <c r="C7">
        <f t="shared" si="0"/>
        <v>36</v>
      </c>
      <c r="D7">
        <f t="shared" si="1"/>
        <v>8</v>
      </c>
      <c r="E7">
        <v>8</v>
      </c>
      <c r="F7">
        <v>1</v>
      </c>
      <c r="G7" t="s">
        <v>19</v>
      </c>
      <c r="I7" t="s">
        <v>25</v>
      </c>
      <c r="K7" t="s">
        <v>31</v>
      </c>
      <c r="M7" t="s">
        <v>37</v>
      </c>
      <c r="O7" t="s">
        <v>44</v>
      </c>
    </row>
    <row r="8" spans="1:17">
      <c r="A8" s="2" t="s">
        <v>55</v>
      </c>
      <c r="B8" s="1" t="s">
        <v>56</v>
      </c>
      <c r="C8">
        <f t="shared" si="0"/>
        <v>15</v>
      </c>
      <c r="D8">
        <f t="shared" si="1"/>
        <v>4</v>
      </c>
      <c r="E8">
        <v>4</v>
      </c>
      <c r="F8">
        <v>1</v>
      </c>
      <c r="G8" t="s">
        <v>20</v>
      </c>
      <c r="I8" t="s">
        <v>26</v>
      </c>
      <c r="K8" t="s">
        <v>32</v>
      </c>
      <c r="M8" t="s">
        <v>38</v>
      </c>
      <c r="O8" t="s">
        <v>45</v>
      </c>
    </row>
    <row r="9" spans="1:17">
      <c r="B9" s="1" t="s">
        <v>57</v>
      </c>
      <c r="C9">
        <f t="shared" si="0"/>
        <v>9</v>
      </c>
      <c r="D9">
        <f t="shared" si="1"/>
        <v>4</v>
      </c>
      <c r="E9">
        <v>4</v>
      </c>
      <c r="F9">
        <v>1</v>
      </c>
      <c r="G9" t="s">
        <v>21</v>
      </c>
      <c r="I9" t="s">
        <v>27</v>
      </c>
      <c r="K9" t="s">
        <v>33</v>
      </c>
      <c r="M9" t="s">
        <v>39</v>
      </c>
      <c r="O9" t="s">
        <v>49</v>
      </c>
    </row>
    <row r="10" spans="1:17">
      <c r="B10" s="1" t="s">
        <v>58</v>
      </c>
      <c r="C10">
        <f t="shared" si="0"/>
        <v>7</v>
      </c>
      <c r="D10">
        <f t="shared" si="1"/>
        <v>4</v>
      </c>
      <c r="E10">
        <v>4</v>
      </c>
      <c r="F10">
        <v>1</v>
      </c>
      <c r="G10" t="s">
        <v>64</v>
      </c>
      <c r="I10" t="s">
        <v>68</v>
      </c>
      <c r="K10" t="s">
        <v>72</v>
      </c>
    </row>
    <row r="11" spans="1:17">
      <c r="B11" s="1" t="s">
        <v>59</v>
      </c>
      <c r="C11">
        <f t="shared" si="0"/>
        <v>9</v>
      </c>
      <c r="D11">
        <f t="shared" si="1"/>
        <v>4</v>
      </c>
      <c r="E11">
        <v>4</v>
      </c>
      <c r="F11">
        <v>1</v>
      </c>
      <c r="G11" t="s">
        <v>65</v>
      </c>
      <c r="I11" t="s">
        <v>69</v>
      </c>
    </row>
    <row r="12" spans="1:17">
      <c r="A12" s="2" t="s">
        <v>60</v>
      </c>
      <c r="B12" s="1" t="s">
        <v>61</v>
      </c>
      <c r="C12">
        <f t="shared" si="0"/>
        <v>5</v>
      </c>
      <c r="D12">
        <f t="shared" si="1"/>
        <v>4</v>
      </c>
      <c r="E12">
        <v>4</v>
      </c>
      <c r="F12">
        <v>1</v>
      </c>
      <c r="G12" t="s">
        <v>66</v>
      </c>
      <c r="I12" t="s">
        <v>70</v>
      </c>
    </row>
    <row r="13" spans="1:17">
      <c r="B13" s="1" t="s">
        <v>62</v>
      </c>
      <c r="C13">
        <f t="shared" si="0"/>
        <v>4</v>
      </c>
      <c r="D13">
        <f t="shared" si="1"/>
        <v>4</v>
      </c>
      <c r="E13">
        <v>4</v>
      </c>
      <c r="F13">
        <v>1</v>
      </c>
      <c r="G13" t="s">
        <v>67</v>
      </c>
      <c r="I13" t="s">
        <v>71</v>
      </c>
    </row>
    <row r="14" spans="1:17">
      <c r="A14" s="2" t="s">
        <v>63</v>
      </c>
      <c r="B14" s="1" t="s">
        <v>73</v>
      </c>
      <c r="C14">
        <f t="shared" si="0"/>
        <v>1</v>
      </c>
      <c r="D14">
        <f t="shared" si="1"/>
        <v>4</v>
      </c>
      <c r="E14">
        <v>4</v>
      </c>
      <c r="F14">
        <v>1</v>
      </c>
    </row>
    <row r="15" spans="1:17">
      <c r="A15" s="2" t="s">
        <v>74</v>
      </c>
      <c r="B15" s="1" t="s">
        <v>75</v>
      </c>
      <c r="C15">
        <f t="shared" si="0"/>
        <v>33</v>
      </c>
      <c r="D15">
        <f t="shared" si="1"/>
        <v>8</v>
      </c>
      <c r="E15">
        <v>8</v>
      </c>
      <c r="F15">
        <v>1</v>
      </c>
    </row>
    <row r="16" spans="1:17">
      <c r="A16" s="2" t="s">
        <v>76</v>
      </c>
      <c r="B16" s="1" t="s">
        <v>77</v>
      </c>
      <c r="C16">
        <f t="shared" si="0"/>
        <v>13</v>
      </c>
      <c r="D16">
        <f t="shared" si="1"/>
        <v>6</v>
      </c>
      <c r="E16">
        <v>6</v>
      </c>
      <c r="F16">
        <v>1</v>
      </c>
    </row>
    <row r="17" spans="1:6">
      <c r="B17" s="1" t="s">
        <v>78</v>
      </c>
      <c r="C17">
        <f t="shared" si="0"/>
        <v>14</v>
      </c>
      <c r="D17">
        <f t="shared" si="1"/>
        <v>6</v>
      </c>
      <c r="E17">
        <v>6</v>
      </c>
      <c r="F17">
        <v>1</v>
      </c>
    </row>
    <row r="18" spans="1:6">
      <c r="A18" s="2" t="s">
        <v>79</v>
      </c>
      <c r="B18" s="1" t="s">
        <v>80</v>
      </c>
      <c r="C18">
        <f t="shared" si="0"/>
        <v>28</v>
      </c>
      <c r="D18">
        <f t="shared" si="1"/>
        <v>5</v>
      </c>
      <c r="E18">
        <v>10</v>
      </c>
      <c r="F18">
        <v>0.5</v>
      </c>
    </row>
    <row r="19" spans="1:6" ht="37.5">
      <c r="A19" s="2" t="s">
        <v>81</v>
      </c>
      <c r="B19" s="1" t="s">
        <v>82</v>
      </c>
      <c r="C19">
        <f t="shared" si="0"/>
        <v>33</v>
      </c>
      <c r="D19">
        <f t="shared" si="1"/>
        <v>5</v>
      </c>
      <c r="E19">
        <v>10</v>
      </c>
      <c r="F19">
        <v>0.5</v>
      </c>
    </row>
    <row r="20" spans="1:6">
      <c r="C20" t="str">
        <f t="shared" si="0"/>
        <v/>
      </c>
    </row>
    <row r="21" spans="1:6">
      <c r="C21" t="str">
        <f t="shared" si="0"/>
        <v/>
      </c>
    </row>
    <row r="22" spans="1:6">
      <c r="C22" t="str">
        <f t="shared" si="0"/>
        <v/>
      </c>
    </row>
    <row r="23" spans="1:6">
      <c r="C23" t="str">
        <f t="shared" si="0"/>
        <v/>
      </c>
    </row>
    <row r="24" spans="1:6">
      <c r="C24" t="str">
        <f t="shared" si="0"/>
        <v/>
      </c>
    </row>
    <row r="25" spans="1:6">
      <c r="C25" t="str">
        <f t="shared" si="0"/>
        <v/>
      </c>
    </row>
    <row r="26" spans="1:6">
      <c r="C26" t="str">
        <f t="shared" si="0"/>
        <v/>
      </c>
    </row>
    <row r="27" spans="1:6">
      <c r="C27" t="str">
        <f t="shared" si="0"/>
        <v/>
      </c>
    </row>
    <row r="28" spans="1:6">
      <c r="C28" t="str">
        <f t="shared" si="0"/>
        <v/>
      </c>
    </row>
    <row r="29" spans="1:6">
      <c r="C29" t="str">
        <f t="shared" si="0"/>
        <v/>
      </c>
    </row>
    <row r="30" spans="1:6">
      <c r="C30" t="str">
        <f t="shared" si="0"/>
        <v/>
      </c>
    </row>
    <row r="31" spans="1:6">
      <c r="C31" t="str">
        <f t="shared" si="0"/>
        <v/>
      </c>
    </row>
    <row r="32" spans="1:6">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605B1-DA82-4F7C-9C65-D6C9B8ACD763}">
  <sheetPr codeName="Sheet5"/>
  <dimension ref="A1:G167"/>
  <sheetViews>
    <sheetView zoomScale="85" zoomScaleNormal="85" workbookViewId="0">
      <pane xSplit="1" ySplit="3" topLeftCell="B4" activePane="bottomRight" state="frozen"/>
      <selection pane="topRight" activeCell="B1" sqref="B1"/>
      <selection pane="bottomLeft" activeCell="A4" sqref="A4"/>
      <selection pane="bottomRight" activeCell="B16" sqref="B16"/>
    </sheetView>
  </sheetViews>
  <sheetFormatPr defaultRowHeight="18.75"/>
  <cols>
    <col min="1" max="1" width="9" style="2"/>
    <col min="2" max="2" width="46.5" style="1" customWidth="1"/>
    <col min="3" max="3" width="9.75" customWidth="1"/>
  </cols>
  <sheetData>
    <row r="1" spans="1:7">
      <c r="A1" s="2" t="s">
        <v>0</v>
      </c>
      <c r="B1" s="1" t="s">
        <v>13</v>
      </c>
    </row>
    <row r="2" spans="1:7">
      <c r="A2" s="2" t="s">
        <v>2</v>
      </c>
      <c r="B2" s="3" t="s">
        <v>84</v>
      </c>
      <c r="D2">
        <f>SUM(D4:D1000)</f>
        <v>50</v>
      </c>
      <c r="E2">
        <f>SUM(E4:E1000)</f>
        <v>50</v>
      </c>
    </row>
    <row r="3" spans="1:7">
      <c r="A3" s="2" t="s">
        <v>1</v>
      </c>
      <c r="B3" s="1" t="s">
        <v>3</v>
      </c>
      <c r="C3" t="s">
        <v>6</v>
      </c>
      <c r="D3" t="s">
        <v>4</v>
      </c>
      <c r="E3" t="s">
        <v>5</v>
      </c>
    </row>
    <row r="4" spans="1:7">
      <c r="A4" s="2" t="s">
        <v>86</v>
      </c>
      <c r="B4" s="1" t="s">
        <v>87</v>
      </c>
      <c r="C4">
        <f>IF(B4&lt;&gt;"",LEN(B4),"")</f>
        <v>4</v>
      </c>
      <c r="D4">
        <f>E4*F4</f>
        <v>4</v>
      </c>
      <c r="E4">
        <v>4</v>
      </c>
      <c r="F4">
        <v>1</v>
      </c>
      <c r="G4" t="s">
        <v>85</v>
      </c>
    </row>
    <row r="5" spans="1:7">
      <c r="B5" s="1" t="s">
        <v>88</v>
      </c>
      <c r="C5">
        <f t="shared" ref="C5:C68" si="0">IF(B5&lt;&gt;"",LEN(B5),"")</f>
        <v>4</v>
      </c>
      <c r="D5">
        <f t="shared" ref="D5:D13" si="1">E5*F5</f>
        <v>4</v>
      </c>
      <c r="E5">
        <v>4</v>
      </c>
      <c r="F5">
        <v>1</v>
      </c>
      <c r="G5" t="s">
        <v>90</v>
      </c>
    </row>
    <row r="6" spans="1:7">
      <c r="A6" s="2" t="s">
        <v>51</v>
      </c>
      <c r="B6" s="1" t="s">
        <v>89</v>
      </c>
      <c r="C6">
        <f t="shared" si="0"/>
        <v>10</v>
      </c>
      <c r="D6">
        <f t="shared" si="1"/>
        <v>4</v>
      </c>
      <c r="E6">
        <v>4</v>
      </c>
      <c r="F6">
        <v>1</v>
      </c>
      <c r="G6" t="s">
        <v>91</v>
      </c>
    </row>
    <row r="7" spans="1:7">
      <c r="A7" s="2" t="s">
        <v>55</v>
      </c>
      <c r="B7" s="1" t="s">
        <v>92</v>
      </c>
      <c r="C7">
        <f t="shared" si="0"/>
        <v>1</v>
      </c>
      <c r="D7">
        <f t="shared" si="1"/>
        <v>4</v>
      </c>
      <c r="E7">
        <v>4</v>
      </c>
      <c r="F7">
        <v>1</v>
      </c>
    </row>
    <row r="8" spans="1:7">
      <c r="A8" s="2" t="s">
        <v>93</v>
      </c>
      <c r="B8" s="1" t="s">
        <v>96</v>
      </c>
      <c r="C8">
        <f t="shared" si="0"/>
        <v>10</v>
      </c>
      <c r="D8">
        <f t="shared" si="1"/>
        <v>6</v>
      </c>
      <c r="E8">
        <v>6</v>
      </c>
      <c r="F8">
        <v>1</v>
      </c>
    </row>
    <row r="9" spans="1:7">
      <c r="A9" s="2" t="s">
        <v>79</v>
      </c>
      <c r="B9" s="1" t="s">
        <v>94</v>
      </c>
      <c r="C9">
        <f t="shared" si="0"/>
        <v>6</v>
      </c>
      <c r="D9">
        <f t="shared" si="1"/>
        <v>4</v>
      </c>
      <c r="E9">
        <v>4</v>
      </c>
      <c r="F9">
        <v>1</v>
      </c>
    </row>
    <row r="10" spans="1:7" ht="37.5">
      <c r="A10" s="2" t="s">
        <v>81</v>
      </c>
      <c r="B10" s="1" t="s">
        <v>95</v>
      </c>
      <c r="C10">
        <f t="shared" si="0"/>
        <v>36</v>
      </c>
      <c r="D10">
        <f t="shared" si="1"/>
        <v>6</v>
      </c>
      <c r="E10">
        <v>6</v>
      </c>
      <c r="F10">
        <v>1</v>
      </c>
    </row>
    <row r="11" spans="1:7">
      <c r="A11" s="2" t="s">
        <v>97</v>
      </c>
      <c r="B11" s="1" t="s">
        <v>98</v>
      </c>
      <c r="C11">
        <f t="shared" si="0"/>
        <v>1</v>
      </c>
      <c r="D11">
        <f t="shared" si="1"/>
        <v>6</v>
      </c>
      <c r="E11">
        <v>6</v>
      </c>
      <c r="F11">
        <v>1</v>
      </c>
    </row>
    <row r="12" spans="1:7">
      <c r="A12" s="2" t="s">
        <v>99</v>
      </c>
      <c r="B12" s="1" t="s">
        <v>101</v>
      </c>
      <c r="C12">
        <f t="shared" si="0"/>
        <v>13</v>
      </c>
      <c r="D12">
        <f t="shared" si="1"/>
        <v>6</v>
      </c>
      <c r="E12">
        <v>6</v>
      </c>
      <c r="F12">
        <v>1</v>
      </c>
    </row>
    <row r="13" spans="1:7">
      <c r="A13" s="2" t="s">
        <v>100</v>
      </c>
      <c r="B13" s="1" t="s">
        <v>102</v>
      </c>
      <c r="C13">
        <f t="shared" si="0"/>
        <v>12</v>
      </c>
      <c r="D13">
        <f t="shared" si="1"/>
        <v>6</v>
      </c>
      <c r="E13">
        <v>6</v>
      </c>
      <c r="F13">
        <v>1</v>
      </c>
    </row>
    <row r="14" spans="1:7">
      <c r="C14" t="str">
        <f t="shared" si="0"/>
        <v/>
      </c>
    </row>
    <row r="15" spans="1:7">
      <c r="C15" t="str">
        <f t="shared" si="0"/>
        <v/>
      </c>
    </row>
    <row r="16" spans="1:7">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2">IF(B69&lt;&gt;"",LEN(B69),"")</f>
        <v/>
      </c>
    </row>
    <row r="70" spans="3:3">
      <c r="C70" t="str">
        <f t="shared" si="2"/>
        <v/>
      </c>
    </row>
    <row r="71" spans="3:3">
      <c r="C71" t="str">
        <f t="shared" si="2"/>
        <v/>
      </c>
    </row>
    <row r="72" spans="3:3">
      <c r="C72" t="str">
        <f t="shared" si="2"/>
        <v/>
      </c>
    </row>
    <row r="73" spans="3:3">
      <c r="C73" t="str">
        <f t="shared" si="2"/>
        <v/>
      </c>
    </row>
    <row r="74" spans="3:3">
      <c r="C74" t="str">
        <f t="shared" si="2"/>
        <v/>
      </c>
    </row>
    <row r="75" spans="3:3">
      <c r="C75" t="str">
        <f t="shared" si="2"/>
        <v/>
      </c>
    </row>
    <row r="76" spans="3:3">
      <c r="C76" t="str">
        <f t="shared" si="2"/>
        <v/>
      </c>
    </row>
    <row r="77" spans="3:3">
      <c r="C77" t="str">
        <f t="shared" si="2"/>
        <v/>
      </c>
    </row>
    <row r="78" spans="3:3">
      <c r="C78" t="str">
        <f t="shared" si="2"/>
        <v/>
      </c>
    </row>
    <row r="79" spans="3:3">
      <c r="C79" t="str">
        <f t="shared" si="2"/>
        <v/>
      </c>
    </row>
    <row r="80" spans="3:3">
      <c r="C80" t="str">
        <f t="shared" si="2"/>
        <v/>
      </c>
    </row>
    <row r="81" spans="3:3">
      <c r="C81" t="str">
        <f t="shared" si="2"/>
        <v/>
      </c>
    </row>
    <row r="82" spans="3:3">
      <c r="C82" t="str">
        <f t="shared" si="2"/>
        <v/>
      </c>
    </row>
    <row r="83" spans="3:3">
      <c r="C83" t="str">
        <f t="shared" si="2"/>
        <v/>
      </c>
    </row>
    <row r="84" spans="3:3">
      <c r="C84" t="str">
        <f t="shared" si="2"/>
        <v/>
      </c>
    </row>
    <row r="85" spans="3:3">
      <c r="C85" t="str">
        <f t="shared" si="2"/>
        <v/>
      </c>
    </row>
    <row r="86" spans="3:3">
      <c r="C86" t="str">
        <f t="shared" si="2"/>
        <v/>
      </c>
    </row>
    <row r="87" spans="3:3">
      <c r="C87" t="str">
        <f t="shared" si="2"/>
        <v/>
      </c>
    </row>
    <row r="88" spans="3:3">
      <c r="C88" t="str">
        <f t="shared" si="2"/>
        <v/>
      </c>
    </row>
    <row r="89" spans="3:3">
      <c r="C89" t="str">
        <f t="shared" si="2"/>
        <v/>
      </c>
    </row>
    <row r="90" spans="3:3">
      <c r="C90" t="str">
        <f t="shared" si="2"/>
        <v/>
      </c>
    </row>
    <row r="91" spans="3:3">
      <c r="C91" t="str">
        <f t="shared" si="2"/>
        <v/>
      </c>
    </row>
    <row r="92" spans="3:3">
      <c r="C92" t="str">
        <f t="shared" si="2"/>
        <v/>
      </c>
    </row>
    <row r="93" spans="3:3">
      <c r="C93" t="str">
        <f t="shared" si="2"/>
        <v/>
      </c>
    </row>
    <row r="94" spans="3:3">
      <c r="C94" t="str">
        <f t="shared" si="2"/>
        <v/>
      </c>
    </row>
    <row r="95" spans="3:3">
      <c r="C95" t="str">
        <f t="shared" si="2"/>
        <v/>
      </c>
    </row>
    <row r="96" spans="3:3">
      <c r="C96" t="str">
        <f t="shared" si="2"/>
        <v/>
      </c>
    </row>
    <row r="97" spans="3:3">
      <c r="C97" t="str">
        <f t="shared" si="2"/>
        <v/>
      </c>
    </row>
    <row r="98" spans="3:3">
      <c r="C98" t="str">
        <f t="shared" si="2"/>
        <v/>
      </c>
    </row>
    <row r="99" spans="3:3">
      <c r="C99" t="str">
        <f t="shared" si="2"/>
        <v/>
      </c>
    </row>
    <row r="100" spans="3:3">
      <c r="C100" t="str">
        <f t="shared" si="2"/>
        <v/>
      </c>
    </row>
    <row r="101" spans="3:3">
      <c r="C101" t="str">
        <f t="shared" si="2"/>
        <v/>
      </c>
    </row>
    <row r="102" spans="3:3">
      <c r="C102" t="str">
        <f t="shared" si="2"/>
        <v/>
      </c>
    </row>
    <row r="103" spans="3:3">
      <c r="C103" t="str">
        <f t="shared" si="2"/>
        <v/>
      </c>
    </row>
    <row r="104" spans="3:3">
      <c r="C104" t="str">
        <f t="shared" si="2"/>
        <v/>
      </c>
    </row>
    <row r="105" spans="3:3">
      <c r="C105" t="str">
        <f t="shared" si="2"/>
        <v/>
      </c>
    </row>
    <row r="106" spans="3:3">
      <c r="C106" t="str">
        <f t="shared" si="2"/>
        <v/>
      </c>
    </row>
    <row r="107" spans="3:3">
      <c r="C107" t="str">
        <f t="shared" si="2"/>
        <v/>
      </c>
    </row>
    <row r="108" spans="3:3">
      <c r="C108" t="str">
        <f t="shared" si="2"/>
        <v/>
      </c>
    </row>
    <row r="109" spans="3:3">
      <c r="C109" t="str">
        <f t="shared" si="2"/>
        <v/>
      </c>
    </row>
    <row r="110" spans="3:3">
      <c r="C110" t="str">
        <f t="shared" si="2"/>
        <v/>
      </c>
    </row>
    <row r="111" spans="3:3">
      <c r="C111" t="str">
        <f t="shared" si="2"/>
        <v/>
      </c>
    </row>
    <row r="112" spans="3:3">
      <c r="C112" t="str">
        <f t="shared" si="2"/>
        <v/>
      </c>
    </row>
    <row r="113" spans="3:3">
      <c r="C113" t="str">
        <f t="shared" si="2"/>
        <v/>
      </c>
    </row>
    <row r="114" spans="3:3">
      <c r="C114" t="str">
        <f t="shared" si="2"/>
        <v/>
      </c>
    </row>
    <row r="115" spans="3:3">
      <c r="C115" t="str">
        <f t="shared" si="2"/>
        <v/>
      </c>
    </row>
    <row r="116" spans="3:3">
      <c r="C116" t="str">
        <f t="shared" si="2"/>
        <v/>
      </c>
    </row>
    <row r="117" spans="3:3">
      <c r="C117" t="str">
        <f t="shared" si="2"/>
        <v/>
      </c>
    </row>
    <row r="118" spans="3:3">
      <c r="C118" t="str">
        <f t="shared" si="2"/>
        <v/>
      </c>
    </row>
    <row r="119" spans="3:3">
      <c r="C119" t="str">
        <f t="shared" si="2"/>
        <v/>
      </c>
    </row>
    <row r="120" spans="3:3">
      <c r="C120" t="str">
        <f t="shared" si="2"/>
        <v/>
      </c>
    </row>
    <row r="121" spans="3:3">
      <c r="C121" t="str">
        <f t="shared" si="2"/>
        <v/>
      </c>
    </row>
    <row r="122" spans="3:3">
      <c r="C122" t="str">
        <f t="shared" si="2"/>
        <v/>
      </c>
    </row>
    <row r="123" spans="3:3">
      <c r="C123" t="str">
        <f t="shared" si="2"/>
        <v/>
      </c>
    </row>
    <row r="124" spans="3:3">
      <c r="C124" t="str">
        <f t="shared" si="2"/>
        <v/>
      </c>
    </row>
    <row r="125" spans="3:3">
      <c r="C125" t="str">
        <f t="shared" si="2"/>
        <v/>
      </c>
    </row>
    <row r="126" spans="3:3">
      <c r="C126" t="str">
        <f t="shared" si="2"/>
        <v/>
      </c>
    </row>
    <row r="127" spans="3:3">
      <c r="C127" t="str">
        <f t="shared" si="2"/>
        <v/>
      </c>
    </row>
    <row r="128" spans="3:3">
      <c r="C128" t="str">
        <f t="shared" si="2"/>
        <v/>
      </c>
    </row>
    <row r="129" spans="3:3">
      <c r="C129" t="str">
        <f t="shared" si="2"/>
        <v/>
      </c>
    </row>
    <row r="130" spans="3:3">
      <c r="C130" t="str">
        <f t="shared" si="2"/>
        <v/>
      </c>
    </row>
    <row r="131" spans="3:3">
      <c r="C131" t="str">
        <f t="shared" si="2"/>
        <v/>
      </c>
    </row>
    <row r="132" spans="3:3">
      <c r="C132" t="str">
        <f t="shared" si="2"/>
        <v/>
      </c>
    </row>
    <row r="133" spans="3:3">
      <c r="C133" t="str">
        <f t="shared" ref="C133:C167" si="3">IF(B133&lt;&gt;"",LEN(B133),"")</f>
        <v/>
      </c>
    </row>
    <row r="134" spans="3:3">
      <c r="C134" t="str">
        <f t="shared" si="3"/>
        <v/>
      </c>
    </row>
    <row r="135" spans="3:3">
      <c r="C135" t="str">
        <f t="shared" si="3"/>
        <v/>
      </c>
    </row>
    <row r="136" spans="3:3">
      <c r="C136" t="str">
        <f t="shared" si="3"/>
        <v/>
      </c>
    </row>
    <row r="137" spans="3:3">
      <c r="C137" t="str">
        <f t="shared" si="3"/>
        <v/>
      </c>
    </row>
    <row r="138" spans="3:3">
      <c r="C138" t="str">
        <f t="shared" si="3"/>
        <v/>
      </c>
    </row>
    <row r="139" spans="3:3">
      <c r="C139" t="str">
        <f t="shared" si="3"/>
        <v/>
      </c>
    </row>
    <row r="140" spans="3:3">
      <c r="C140" t="str">
        <f t="shared" si="3"/>
        <v/>
      </c>
    </row>
    <row r="141" spans="3:3">
      <c r="C141" t="str">
        <f t="shared" si="3"/>
        <v/>
      </c>
    </row>
    <row r="142" spans="3:3">
      <c r="C142" t="str">
        <f t="shared" si="3"/>
        <v/>
      </c>
    </row>
    <row r="143" spans="3:3">
      <c r="C143" t="str">
        <f t="shared" si="3"/>
        <v/>
      </c>
    </row>
    <row r="144" spans="3:3">
      <c r="C144" t="str">
        <f t="shared" si="3"/>
        <v/>
      </c>
    </row>
    <row r="145" spans="3:3">
      <c r="C145" t="str">
        <f t="shared" si="3"/>
        <v/>
      </c>
    </row>
    <row r="146" spans="3:3">
      <c r="C146" t="str">
        <f t="shared" si="3"/>
        <v/>
      </c>
    </row>
    <row r="147" spans="3:3">
      <c r="C147" t="str">
        <f t="shared" si="3"/>
        <v/>
      </c>
    </row>
    <row r="148" spans="3:3">
      <c r="C148" t="str">
        <f t="shared" si="3"/>
        <v/>
      </c>
    </row>
    <row r="149" spans="3:3">
      <c r="C149" t="str">
        <f t="shared" si="3"/>
        <v/>
      </c>
    </row>
    <row r="150" spans="3:3">
      <c r="C150" t="str">
        <f t="shared" si="3"/>
        <v/>
      </c>
    </row>
    <row r="151" spans="3:3">
      <c r="C151" t="str">
        <f t="shared" si="3"/>
        <v/>
      </c>
    </row>
    <row r="152" spans="3:3">
      <c r="C152" t="str">
        <f t="shared" si="3"/>
        <v/>
      </c>
    </row>
    <row r="153" spans="3:3">
      <c r="C153" t="str">
        <f t="shared" si="3"/>
        <v/>
      </c>
    </row>
    <row r="154" spans="3:3">
      <c r="C154" t="str">
        <f t="shared" si="3"/>
        <v/>
      </c>
    </row>
    <row r="155" spans="3:3">
      <c r="C155" t="str">
        <f t="shared" si="3"/>
        <v/>
      </c>
    </row>
    <row r="156" spans="3:3">
      <c r="C156" t="str">
        <f t="shared" si="3"/>
        <v/>
      </c>
    </row>
    <row r="157" spans="3:3">
      <c r="C157" t="str">
        <f t="shared" si="3"/>
        <v/>
      </c>
    </row>
    <row r="158" spans="3:3">
      <c r="C158" t="str">
        <f t="shared" si="3"/>
        <v/>
      </c>
    </row>
    <row r="159" spans="3:3">
      <c r="C159" t="str">
        <f t="shared" si="3"/>
        <v/>
      </c>
    </row>
    <row r="160" spans="3:3">
      <c r="C160" t="str">
        <f t="shared" si="3"/>
        <v/>
      </c>
    </row>
    <row r="161" spans="3:3">
      <c r="C161" t="str">
        <f t="shared" si="3"/>
        <v/>
      </c>
    </row>
    <row r="162" spans="3:3">
      <c r="C162" t="str">
        <f t="shared" si="3"/>
        <v/>
      </c>
    </row>
    <row r="163" spans="3:3">
      <c r="C163" t="str">
        <f t="shared" si="3"/>
        <v/>
      </c>
    </row>
    <row r="164" spans="3:3">
      <c r="C164" t="str">
        <f t="shared" si="3"/>
        <v/>
      </c>
    </row>
    <row r="165" spans="3:3">
      <c r="C165" t="str">
        <f t="shared" si="3"/>
        <v/>
      </c>
    </row>
    <row r="166" spans="3:3">
      <c r="C166" t="str">
        <f t="shared" si="3"/>
        <v/>
      </c>
    </row>
    <row r="167" spans="3:3">
      <c r="C167" t="str">
        <f t="shared" si="3"/>
        <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レビュー</vt:lpstr>
      <vt:lpstr>format</vt:lpstr>
      <vt:lpstr>1</vt:lpstr>
      <vt:lpstr>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2025-03-08T05:42:26Z</dcterms:modified>
</cp:coreProperties>
</file>