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C3DDFAC4-F657-4478-BBF2-398DBDFB6825}" xr6:coauthVersionLast="47" xr6:coauthVersionMax="47" xr10:uidLastSave="{00000000-0000-0000-0000-000000000000}"/>
  <bookViews>
    <workbookView xWindow="9885" yWindow="2130" windowWidth="15165" windowHeight="11295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6" l="1"/>
  <c r="D14" i="6"/>
  <c r="D13" i="6"/>
  <c r="D12" i="6"/>
  <c r="D11" i="6"/>
  <c r="D10" i="6"/>
  <c r="D9" i="6"/>
  <c r="D8" i="6"/>
  <c r="D7" i="6"/>
  <c r="D6" i="6"/>
  <c r="D5" i="6"/>
  <c r="D2" i="6" s="1"/>
  <c r="D4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2" i="5" s="1"/>
  <c r="D7" i="5"/>
  <c r="D6" i="5"/>
  <c r="D5" i="5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<sst xmlns="http://schemas.openxmlformats.org/spreadsheetml/2006/main" count="145" uniqueCount="121">
  <si>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</si>
  <si>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</si>
  <si>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</si>
  <si>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</si>
  <si>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</si>
  <si>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</si>
  <si>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</si>
  <si>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</si>
  <si>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</si>
  <si>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</si>
  <si>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</si>
  <si>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</si>
  <si>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2019-春</t>
  </si>
  <si>
    <t>2019-春</t>
    <rPh sb="5" eb="6">
      <t>ハル</t>
    </rPh>
    <phoneticPr fontId="1"/>
  </si>
  <si>
    <t>PM2</t>
  </si>
  <si>
    <t>S社はインターネット事業者</t>
    <rPh sb="1" eb="2">
      <t>シャ</t>
    </rPh>
    <rPh sb="10" eb="13">
      <t>ジギョウシャ</t>
    </rPh>
    <phoneticPr fontId="1"/>
  </si>
  <si>
    <t>Sシステムのアプリで効果測定</t>
    <rPh sb="10" eb="12">
      <t>コウカ</t>
    </rPh>
    <rPh sb="12" eb="14">
      <t>ソクテイ</t>
    </rPh>
    <phoneticPr fontId="1"/>
  </si>
  <si>
    <t>自社で開発</t>
    <rPh sb="0" eb="2">
      <t>ジシャ</t>
    </rPh>
    <rPh sb="3" eb="5">
      <t>カイハツ</t>
    </rPh>
    <phoneticPr fontId="1"/>
  </si>
  <si>
    <t>サービスH：ソフト開発</t>
    <rPh sb="9" eb="11">
      <t>カイハツ</t>
    </rPh>
    <phoneticPr fontId="1"/>
  </si>
  <si>
    <t>G:テキスト共有サービス</t>
    <rPh sb="6" eb="8">
      <t>キョウユウ</t>
    </rPh>
    <phoneticPr fontId="1"/>
  </si>
  <si>
    <t>アプリQ；DBMSサービス</t>
    <phoneticPr fontId="1"/>
  </si>
  <si>
    <t>サーバーA</t>
    <phoneticPr fontId="1"/>
  </si>
  <si>
    <t>ツールをAで稼働</t>
    <rPh sb="6" eb="8">
      <t>カドウ</t>
    </rPh>
    <phoneticPr fontId="1"/>
  </si>
  <si>
    <t>遠隔監視するツール</t>
    <rPh sb="0" eb="4">
      <t>エンカクカンシ</t>
    </rPh>
    <phoneticPr fontId="1"/>
  </si>
  <si>
    <t>コンテナ技術</t>
    <rPh sb="4" eb="6">
      <t>ギジュツ</t>
    </rPh>
    <phoneticPr fontId="1"/>
  </si>
  <si>
    <t>アプリDを稼働</t>
    <rPh sb="5" eb="7">
      <t>カドウ</t>
    </rPh>
    <phoneticPr fontId="1"/>
  </si>
  <si>
    <t>ポート6379</t>
    <phoneticPr fontId="1"/>
  </si>
  <si>
    <t>W社から</t>
    <rPh sb="1" eb="2">
      <t>シャ</t>
    </rPh>
    <phoneticPr fontId="1"/>
  </si>
  <si>
    <t>MW感染</t>
    <rPh sb="2" eb="4">
      <t>カンセン</t>
    </rPh>
    <phoneticPr fontId="1"/>
  </si>
  <si>
    <t>フォレンジック</t>
    <phoneticPr fontId="1"/>
  </si>
  <si>
    <t>マルウェアXに感染</t>
    <rPh sb="7" eb="9">
      <t>カンセン</t>
    </rPh>
    <phoneticPr fontId="1"/>
  </si>
  <si>
    <t>DBMS-Rに侵入</t>
    <rPh sb="7" eb="9">
      <t>シンニュウ</t>
    </rPh>
    <phoneticPr fontId="1"/>
  </si>
  <si>
    <t>FWルール</t>
    <phoneticPr fontId="1"/>
  </si>
  <si>
    <t>ルートキットY</t>
    <phoneticPr fontId="1"/>
  </si>
  <si>
    <t>ログファイルを削除</t>
    <rPh sb="7" eb="9">
      <t>サクジョ</t>
    </rPh>
    <phoneticPr fontId="1"/>
  </si>
  <si>
    <t>1-1</t>
    <phoneticPr fontId="1"/>
  </si>
  <si>
    <t>同じ脆弱性を使って侵入してきたほかのマルウェアにより、マルウェアXの活動を阻害される。</t>
    <rPh sb="0" eb="1">
      <t>オナ</t>
    </rPh>
    <rPh sb="2" eb="5">
      <t>ゼイジャクセイ</t>
    </rPh>
    <rPh sb="6" eb="7">
      <t>ツカ</t>
    </rPh>
    <rPh sb="9" eb="11">
      <t>シンニュウ</t>
    </rPh>
    <rPh sb="34" eb="36">
      <t>カツドウ</t>
    </rPh>
    <rPh sb="37" eb="39">
      <t>ソガイ</t>
    </rPh>
    <phoneticPr fontId="1"/>
  </si>
  <si>
    <t>1-2</t>
    <phoneticPr fontId="1"/>
  </si>
  <si>
    <t>α: カ</t>
    <phoneticPr fontId="1"/>
  </si>
  <si>
    <t>β: ク</t>
    <phoneticPr fontId="1"/>
  </si>
  <si>
    <t>γ: ウ</t>
    <phoneticPr fontId="1"/>
  </si>
  <si>
    <t>1-3</t>
    <phoneticPr fontId="1"/>
  </si>
  <si>
    <t>DL</t>
    <phoneticPr fontId="1"/>
  </si>
  <si>
    <t>侵入</t>
    <rPh sb="0" eb="2">
      <t>シンニュウ</t>
    </rPh>
    <phoneticPr fontId="1"/>
  </si>
  <si>
    <t>採掘計算する機能はない</t>
    <rPh sb="0" eb="2">
      <t>サイクツ</t>
    </rPh>
    <rPh sb="2" eb="4">
      <t>ケイサン</t>
    </rPh>
    <rPh sb="6" eb="8">
      <t>キノウ</t>
    </rPh>
    <phoneticPr fontId="1"/>
  </si>
  <si>
    <t>DBMS-R</t>
    <phoneticPr fontId="1"/>
  </si>
  <si>
    <t>脆弱性を悪用</t>
    <rPh sb="0" eb="3">
      <t>ゼイジャクセイ</t>
    </rPh>
    <rPh sb="4" eb="6">
      <t>アクヨウ</t>
    </rPh>
    <phoneticPr fontId="1"/>
  </si>
  <si>
    <t>暗号資産単靴ｗ行うＰＲＧ</t>
    <rPh sb="0" eb="4">
      <t>アンゴウシサン</t>
    </rPh>
    <rPh sb="4" eb="6">
      <t>タンクツ</t>
    </rPh>
    <rPh sb="7" eb="8">
      <t>オコナ</t>
    </rPh>
    <phoneticPr fontId="1"/>
  </si>
  <si>
    <t>マルウェアXには会員情報を探索する機能はなく、DBMS-Rへの遠隔操作はマルウェアX以外のものが存在しなかったため</t>
    <rPh sb="8" eb="10">
      <t>カイイン</t>
    </rPh>
    <rPh sb="10" eb="12">
      <t>ジョウホウ</t>
    </rPh>
    <rPh sb="13" eb="15">
      <t>タンサク</t>
    </rPh>
    <rPh sb="17" eb="19">
      <t>キノウ</t>
    </rPh>
    <rPh sb="31" eb="33">
      <t>エンカク</t>
    </rPh>
    <rPh sb="33" eb="35">
      <t>ソウサ</t>
    </rPh>
    <rPh sb="42" eb="44">
      <t>イガイ</t>
    </rPh>
    <rPh sb="48" eb="50">
      <t>ソンザイ</t>
    </rPh>
    <phoneticPr fontId="1"/>
  </si>
  <si>
    <t>2-1</t>
    <phoneticPr fontId="1"/>
  </si>
  <si>
    <t>対策1:イ</t>
    <rPh sb="0" eb="2">
      <t>タイサク</t>
    </rPh>
    <phoneticPr fontId="1"/>
  </si>
  <si>
    <t>対策2:イ</t>
    <rPh sb="0" eb="2">
      <t>タイサク</t>
    </rPh>
    <phoneticPr fontId="1"/>
  </si>
  <si>
    <t>対策3:アイエ</t>
    <rPh sb="0" eb="2">
      <t>タイサク</t>
    </rPh>
    <phoneticPr fontId="1"/>
  </si>
  <si>
    <t>対策4:ウエオ</t>
    <rPh sb="0" eb="2">
      <t>タイサク</t>
    </rPh>
    <phoneticPr fontId="1"/>
  </si>
  <si>
    <t>2-2</t>
    <phoneticPr fontId="1"/>
  </si>
  <si>
    <t>う:S社開発チーム</t>
    <rPh sb="3" eb="4">
      <t>シャ</t>
    </rPh>
    <rPh sb="4" eb="6">
      <t>カイハツ</t>
    </rPh>
    <phoneticPr fontId="1"/>
  </si>
  <si>
    <t>あ:22/tcp</t>
    <phoneticPr fontId="1"/>
  </si>
  <si>
    <t>い:6379/tcp</t>
    <phoneticPr fontId="1"/>
  </si>
  <si>
    <t>2-3</t>
    <phoneticPr fontId="1"/>
  </si>
  <si>
    <t>a: curl</t>
    <phoneticPr fontId="1"/>
  </si>
  <si>
    <t>b: iptables</t>
    <phoneticPr fontId="1"/>
  </si>
  <si>
    <t>2-4</t>
    <phoneticPr fontId="1"/>
  </si>
  <si>
    <t>え：オ</t>
    <phoneticPr fontId="1"/>
  </si>
  <si>
    <t>お：カ</t>
    <phoneticPr fontId="1"/>
  </si>
  <si>
    <t>か：キ</t>
    <phoneticPr fontId="1"/>
  </si>
  <si>
    <t>MWX</t>
    <phoneticPr fontId="1"/>
  </si>
  <si>
    <t>設計プロセスでは対策漏れ防止</t>
    <rPh sb="0" eb="2">
      <t>セッケイ</t>
    </rPh>
    <rPh sb="8" eb="10">
      <t>タイサク</t>
    </rPh>
    <rPh sb="10" eb="11">
      <t>モ</t>
    </rPh>
    <rPh sb="12" eb="14">
      <t>ボウシ</t>
    </rPh>
    <phoneticPr fontId="1"/>
  </si>
  <si>
    <t>3-1</t>
    <phoneticPr fontId="1"/>
  </si>
  <si>
    <t>ア、ウ</t>
    <phoneticPr fontId="1"/>
  </si>
  <si>
    <t>稼働の設定変更が原因</t>
    <rPh sb="0" eb="2">
      <t>カドウ</t>
    </rPh>
    <rPh sb="3" eb="5">
      <t>セッテイ</t>
    </rPh>
    <rPh sb="5" eb="7">
      <t>ヘンコウ</t>
    </rPh>
    <rPh sb="8" eb="10">
      <t>ゲンイン</t>
    </rPh>
    <phoneticPr fontId="1"/>
  </si>
  <si>
    <t>脆弱性情報を収集すべき</t>
    <rPh sb="0" eb="3">
      <t>ゼイジャクセイ</t>
    </rPh>
    <rPh sb="3" eb="5">
      <t>ジョウホウ</t>
    </rPh>
    <rPh sb="6" eb="8">
      <t>シュウシュウ</t>
    </rPh>
    <phoneticPr fontId="1"/>
  </si>
  <si>
    <t>3-2</t>
    <phoneticPr fontId="1"/>
  </si>
  <si>
    <t>S社のシステムを構成する実行環境のバージョン情報を把握して、情報を最新に維持すること</t>
    <rPh sb="1" eb="2">
      <t>シャ</t>
    </rPh>
    <rPh sb="8" eb="10">
      <t>コウセイ</t>
    </rPh>
    <rPh sb="12" eb="16">
      <t>ジッコウカンキョウ</t>
    </rPh>
    <rPh sb="22" eb="24">
      <t>ジョウホウ</t>
    </rPh>
    <rPh sb="25" eb="27">
      <t>ハアク</t>
    </rPh>
    <rPh sb="30" eb="32">
      <t>ジョウホウ</t>
    </rPh>
    <rPh sb="33" eb="35">
      <t>サイシン</t>
    </rPh>
    <rPh sb="36" eb="38">
      <t>イジ</t>
    </rPh>
    <phoneticPr fontId="1"/>
  </si>
  <si>
    <t>3-3</t>
    <phoneticPr fontId="1"/>
  </si>
  <si>
    <t>き:ア</t>
    <phoneticPr fontId="1"/>
  </si>
  <si>
    <t>く:ウ</t>
    <phoneticPr fontId="1"/>
  </si>
  <si>
    <t>TTX</t>
    <phoneticPr fontId="1"/>
  </si>
  <si>
    <t>3-4</t>
    <phoneticPr fontId="1"/>
  </si>
  <si>
    <t>け: レビュー</t>
    <phoneticPr fontId="1"/>
  </si>
  <si>
    <t>こ: 第３者</t>
    <rPh sb="3" eb="4">
      <t>ダイ</t>
    </rPh>
    <rPh sb="5" eb="6">
      <t>シャ</t>
    </rPh>
    <phoneticPr fontId="1"/>
  </si>
  <si>
    <t>4</t>
    <phoneticPr fontId="1"/>
  </si>
  <si>
    <t>c:オ</t>
    <phoneticPr fontId="1"/>
  </si>
  <si>
    <t>d:ア</t>
    <phoneticPr fontId="1"/>
  </si>
  <si>
    <t>e:エ</t>
    <phoneticPr fontId="1"/>
  </si>
  <si>
    <t>f;カ</t>
    <phoneticPr fontId="1"/>
  </si>
  <si>
    <t>g:キ</t>
    <phoneticPr fontId="1"/>
  </si>
  <si>
    <t>h:ウ</t>
    <phoneticPr fontId="1"/>
  </si>
  <si>
    <t>PM2-2</t>
    <phoneticPr fontId="1"/>
  </si>
  <si>
    <t>PM1-1</t>
  </si>
  <si>
    <t>PM1-1</t>
    <phoneticPr fontId="1"/>
  </si>
  <si>
    <t>M社小売業</t>
    <rPh sb="1" eb="2">
      <t>シャ</t>
    </rPh>
    <rPh sb="2" eb="5">
      <t>コウリギョウ</t>
    </rPh>
    <phoneticPr fontId="1"/>
  </si>
  <si>
    <t>WebA</t>
    <phoneticPr fontId="1"/>
  </si>
  <si>
    <t>ECサイト</t>
    <phoneticPr fontId="1"/>
  </si>
  <si>
    <t>B～Fサイト</t>
    <phoneticPr fontId="1"/>
  </si>
  <si>
    <t>自社開発</t>
    <rPh sb="0" eb="4">
      <t>ジシャカイハツ</t>
    </rPh>
    <phoneticPr fontId="1"/>
  </si>
  <si>
    <t>ポータルサイト</t>
    <phoneticPr fontId="1"/>
  </si>
  <si>
    <t>サイトAポータルサイト</t>
    <phoneticPr fontId="1"/>
  </si>
  <si>
    <t>キャンペーン情報を掲載</t>
    <rPh sb="6" eb="8">
      <t>ジョウホウ</t>
    </rPh>
    <rPh sb="9" eb="11">
      <t>ケイサイ</t>
    </rPh>
    <phoneticPr fontId="1"/>
  </si>
  <si>
    <t>サイトBECサイト</t>
    <phoneticPr fontId="1"/>
  </si>
  <si>
    <t>サイトAへの情報連携</t>
    <rPh sb="6" eb="8">
      <t>ジョウホウ</t>
    </rPh>
    <rPh sb="8" eb="10">
      <t>レンケイ</t>
    </rPh>
    <phoneticPr fontId="1"/>
  </si>
  <si>
    <t>webサイトAが情報を取得</t>
    <rPh sb="8" eb="10">
      <t>ジョウホウ</t>
    </rPh>
    <rPh sb="11" eb="13">
      <t>シュトク</t>
    </rPh>
    <phoneticPr fontId="1"/>
  </si>
  <si>
    <t>情報連携</t>
    <rPh sb="0" eb="2">
      <t>ジョウホウ</t>
    </rPh>
    <rPh sb="2" eb="4">
      <t>レンケイ</t>
    </rPh>
    <phoneticPr fontId="1"/>
  </si>
  <si>
    <t>開発部のCさん</t>
    <rPh sb="0" eb="2">
      <t>カイハツ</t>
    </rPh>
    <rPh sb="2" eb="3">
      <t>ブ</t>
    </rPh>
    <phoneticPr fontId="1"/>
  </si>
  <si>
    <t>サイトBからサイトAへの情報連携</t>
    <rPh sb="12" eb="14">
      <t>ジョウホウ</t>
    </rPh>
    <rPh sb="14" eb="16">
      <t>レンケイ</t>
    </rPh>
    <phoneticPr fontId="1"/>
  </si>
  <si>
    <t>Same-Origin</t>
    <phoneticPr fontId="1"/>
  </si>
  <si>
    <t>b: イ</t>
    <phoneticPr fontId="1"/>
  </si>
  <si>
    <t>c: キ</t>
    <phoneticPr fontId="1"/>
  </si>
  <si>
    <t>d: ク</t>
    <phoneticPr fontId="1"/>
  </si>
  <si>
    <t>API-Yが使える状態＝ログイン状態</t>
    <rPh sb="6" eb="7">
      <t>ツカ</t>
    </rPh>
    <rPh sb="9" eb="11">
      <t>ジョウタイ</t>
    </rPh>
    <rPh sb="16" eb="18">
      <t>ジョウタイ</t>
    </rPh>
    <phoneticPr fontId="1"/>
  </si>
  <si>
    <t>WebサイトBにログインした状態</t>
    <rPh sb="14" eb="16">
      <t>ジョウタイ</t>
    </rPh>
    <phoneticPr fontId="1"/>
  </si>
  <si>
    <t>CORS</t>
    <phoneticPr fontId="1"/>
  </si>
  <si>
    <t>2</t>
    <phoneticPr fontId="1"/>
  </si>
  <si>
    <t>withCredentialがtrueを確認できる状態のリクエスト</t>
    <rPh sb="20" eb="22">
      <t>カクニン</t>
    </rPh>
    <rPh sb="25" eb="27">
      <t>ジョウタイ</t>
    </rPh>
    <phoneticPr fontId="1"/>
  </si>
  <si>
    <t>オリジンが確認できた場合に送付</t>
    <rPh sb="5" eb="7">
      <t>カクニン</t>
    </rPh>
    <rPh sb="10" eb="12">
      <t>バアイ</t>
    </rPh>
    <rPh sb="13" eb="15">
      <t>ソウフ</t>
    </rPh>
    <phoneticPr fontId="1"/>
  </si>
  <si>
    <t>→確認できてる場所を指摘</t>
    <rPh sb="1" eb="3">
      <t>カクニン</t>
    </rPh>
    <rPh sb="7" eb="9">
      <t>バショ</t>
    </rPh>
    <rPh sb="10" eb="12">
      <t>シテキ</t>
    </rPh>
    <phoneticPr fontId="1"/>
  </si>
  <si>
    <t>v</t>
    <phoneticPr fontId="1"/>
  </si>
  <si>
    <t>f: https://site-a.m-sha.co.jp</t>
    <phoneticPr fontId="1"/>
  </si>
  <si>
    <t>g: 売れ筋商品情報配信の申込ページのオリジン</t>
    <rPh sb="3" eb="4">
      <t>ウ</t>
    </rPh>
    <rPh sb="5" eb="6">
      <t>スジ</t>
    </rPh>
    <rPh sb="6" eb="8">
      <t>ショウヒン</t>
    </rPh>
    <rPh sb="8" eb="10">
      <t>ジョウホウ</t>
    </rPh>
    <rPh sb="10" eb="12">
      <t>ハイシン</t>
    </rPh>
    <rPh sb="13" eb="15">
      <t>モウシコミ</t>
    </rPh>
    <phoneticPr fontId="1"/>
  </si>
  <si>
    <t>i: 許可するオリジンのリスト</t>
    <rPh sb="3" eb="5">
      <t>キョカ</t>
    </rPh>
    <phoneticPr fontId="1"/>
  </si>
  <si>
    <t>j: 一致</t>
    <rPh sb="3" eb="5">
      <t>イッチ</t>
    </rPh>
    <phoneticPr fontId="1"/>
  </si>
  <si>
    <t>h: originヘッダーフィールドの値</t>
    <rPh sb="19" eb="20">
      <t>アタイ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</si>
</sst>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3"/>
  <sheetViews>
    <sheetView tabSelected="1" workbookViewId="0">
      <selection activeCell="H9" sqref="H9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89</v>
      </c>
      <c r="E2">
        <v>100</v>
      </c>
    </row>
    <row r="3" spans="1:6">
      <c r="A3">
        <v>2</v>
      </c>
      <c r="B3" s="2" t="s">
        <v>12</v>
      </c>
      <c r="C3" s="2" t="s">
        <v>88</v>
      </c>
      <c r="D3">
        <v>50</v>
      </c>
      <c r="E3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9F189-DAE5-4A21-AC73-D0F5A559C10C}">
  <sheetPr codeName="Sheet4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3" sqref="B3"/>
    </sheetView>
  </sheetViews>
  <sheetFormatPr defaultRowHeight="18.75"/>
  <cols>
    <col min="1" max="1" width="9" style="2"/>
    <col min="2" max="2" width="49.375" style="1" customWidth="1"/>
    <col min="3" max="3" width="9.75" customWidth="1"/>
  </cols>
  <sheetData>
    <row r="1" spans="1:15">
      <c r="A1" s="2" t="s">
        <v>0</v>
      </c>
      <c r="B1" s="1" t="s">
        <v>13</v>
      </c>
      <c r="H1" t="s">
        <v>76</v>
      </c>
    </row>
    <row r="2" spans="1:15">
      <c r="A2" s="2" t="s">
        <v>2</v>
      </c>
      <c r="B2" s="3" t="s">
        <v>87</v>
      </c>
      <c r="D2">
        <f>SUM(D4:D1000)</f>
        <v>89</v>
      </c>
      <c r="E2">
        <f>SUM(E4:E1000)</f>
        <v>100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 ht="37.5">
      <c r="A4" s="2" t="s">
        <v>35</v>
      </c>
      <c r="B4" s="1" t="s">
        <v>36</v>
      </c>
      <c r="C4">
        <f>IF(B4&lt;&gt;"",LEN(B4),"")</f>
        <v>43</v>
      </c>
      <c r="D4">
        <f>E4*F4</f>
        <v>6</v>
      </c>
      <c r="E4">
        <v>6</v>
      </c>
      <c r="F4">
        <v>1</v>
      </c>
      <c r="G4" t="s">
        <v>15</v>
      </c>
      <c r="I4" t="s">
        <v>21</v>
      </c>
      <c r="K4" t="s">
        <v>27</v>
      </c>
      <c r="M4" t="s">
        <v>33</v>
      </c>
      <c r="O4" t="s">
        <v>46</v>
      </c>
    </row>
    <row r="5" spans="1:15">
      <c r="A5" s="2" t="s">
        <v>37</v>
      </c>
      <c r="B5" s="1" t="s">
        <v>38</v>
      </c>
      <c r="C5">
        <f t="shared" ref="C5:C68" si="0">IF(B5&lt;&gt;"",LEN(B5),"")</f>
        <v>4</v>
      </c>
      <c r="D5">
        <f t="shared" ref="D5:D32" si="1">E5*F5</f>
        <v>3</v>
      </c>
      <c r="E5">
        <v>3</v>
      </c>
      <c r="F5">
        <v>1</v>
      </c>
      <c r="G5" t="s">
        <v>16</v>
      </c>
      <c r="I5" t="s">
        <v>22</v>
      </c>
      <c r="K5" t="s">
        <v>28</v>
      </c>
      <c r="M5" t="s">
        <v>34</v>
      </c>
      <c r="O5" t="s">
        <v>47</v>
      </c>
    </row>
    <row r="6" spans="1:15">
      <c r="B6" s="1" t="s">
        <v>39</v>
      </c>
      <c r="C6">
        <f t="shared" si="0"/>
        <v>4</v>
      </c>
      <c r="D6">
        <f t="shared" si="1"/>
        <v>3</v>
      </c>
      <c r="E6">
        <v>3</v>
      </c>
      <c r="F6">
        <v>1</v>
      </c>
      <c r="G6" t="s">
        <v>17</v>
      </c>
      <c r="I6" t="s">
        <v>23</v>
      </c>
      <c r="K6" t="s">
        <v>29</v>
      </c>
      <c r="M6" t="s">
        <v>42</v>
      </c>
    </row>
    <row r="7" spans="1:15">
      <c r="B7" s="1" t="s">
        <v>40</v>
      </c>
      <c r="C7">
        <f t="shared" si="0"/>
        <v>4</v>
      </c>
      <c r="D7">
        <f t="shared" si="1"/>
        <v>0</v>
      </c>
      <c r="E7">
        <v>3</v>
      </c>
      <c r="F7">
        <v>0</v>
      </c>
      <c r="G7" t="s">
        <v>18</v>
      </c>
      <c r="I7" t="s">
        <v>24</v>
      </c>
      <c r="K7" t="s">
        <v>30</v>
      </c>
      <c r="M7" t="s">
        <v>43</v>
      </c>
    </row>
    <row r="8" spans="1:15" ht="56.25">
      <c r="A8" s="2" t="s">
        <v>41</v>
      </c>
      <c r="B8" s="1" t="s">
        <v>48</v>
      </c>
      <c r="C8">
        <f t="shared" si="0"/>
        <v>57</v>
      </c>
      <c r="D8">
        <f t="shared" si="1"/>
        <v>6</v>
      </c>
      <c r="E8">
        <v>6</v>
      </c>
      <c r="F8">
        <v>1</v>
      </c>
      <c r="G8" t="s">
        <v>19</v>
      </c>
      <c r="I8" t="s">
        <v>25</v>
      </c>
      <c r="K8" t="s">
        <v>31</v>
      </c>
      <c r="M8" t="s">
        <v>44</v>
      </c>
    </row>
    <row r="9" spans="1:15">
      <c r="A9" s="2" t="s">
        <v>49</v>
      </c>
      <c r="B9" s="1" t="s">
        <v>50</v>
      </c>
      <c r="C9">
        <f t="shared" si="0"/>
        <v>5</v>
      </c>
      <c r="D9">
        <f t="shared" si="1"/>
        <v>4</v>
      </c>
      <c r="E9">
        <v>4</v>
      </c>
      <c r="F9">
        <v>1</v>
      </c>
      <c r="G9" t="s">
        <v>20</v>
      </c>
      <c r="I9" t="s">
        <v>26</v>
      </c>
      <c r="K9" t="s">
        <v>32</v>
      </c>
      <c r="M9" t="s">
        <v>45</v>
      </c>
    </row>
    <row r="10" spans="1:15">
      <c r="B10" s="1" t="s">
        <v>51</v>
      </c>
      <c r="C10">
        <f t="shared" si="0"/>
        <v>5</v>
      </c>
      <c r="D10">
        <f t="shared" si="1"/>
        <v>4</v>
      </c>
      <c r="E10">
        <v>4</v>
      </c>
      <c r="F10">
        <v>1</v>
      </c>
      <c r="G10" t="s">
        <v>45</v>
      </c>
    </row>
    <row r="11" spans="1:15">
      <c r="B11" s="1" t="s">
        <v>52</v>
      </c>
      <c r="C11">
        <f t="shared" si="0"/>
        <v>7</v>
      </c>
      <c r="D11">
        <f t="shared" si="1"/>
        <v>0</v>
      </c>
      <c r="E11">
        <v>4</v>
      </c>
      <c r="F11">
        <v>0</v>
      </c>
      <c r="G11" t="s">
        <v>65</v>
      </c>
    </row>
    <row r="12" spans="1:15">
      <c r="B12" s="1" t="s">
        <v>53</v>
      </c>
      <c r="C12">
        <f t="shared" si="0"/>
        <v>7</v>
      </c>
      <c r="D12">
        <f t="shared" si="1"/>
        <v>4</v>
      </c>
      <c r="E12">
        <v>4</v>
      </c>
      <c r="F12">
        <v>1</v>
      </c>
      <c r="G12" t="s">
        <v>66</v>
      </c>
    </row>
    <row r="13" spans="1:15">
      <c r="A13" s="2" t="s">
        <v>54</v>
      </c>
      <c r="B13" s="1" t="s">
        <v>56</v>
      </c>
      <c r="C13">
        <f t="shared" si="0"/>
        <v>8</v>
      </c>
      <c r="D13">
        <f t="shared" si="1"/>
        <v>4</v>
      </c>
      <c r="E13">
        <v>4</v>
      </c>
      <c r="F13">
        <v>1</v>
      </c>
      <c r="G13" t="s">
        <v>69</v>
      </c>
    </row>
    <row r="14" spans="1:15">
      <c r="B14" s="1" t="s">
        <v>57</v>
      </c>
      <c r="C14">
        <f t="shared" si="0"/>
        <v>10</v>
      </c>
      <c r="D14">
        <f t="shared" si="1"/>
        <v>4</v>
      </c>
      <c r="E14">
        <v>4</v>
      </c>
      <c r="F14">
        <v>1</v>
      </c>
      <c r="G14" t="s">
        <v>70</v>
      </c>
    </row>
    <row r="15" spans="1:15">
      <c r="B15" s="1" t="s">
        <v>55</v>
      </c>
      <c r="C15">
        <f t="shared" si="0"/>
        <v>9</v>
      </c>
      <c r="D15">
        <f t="shared" si="1"/>
        <v>0</v>
      </c>
      <c r="E15">
        <v>4</v>
      </c>
      <c r="F15">
        <v>0</v>
      </c>
    </row>
    <row r="16" spans="1:15">
      <c r="A16" s="2" t="s">
        <v>58</v>
      </c>
      <c r="B16" s="1" t="s">
        <v>59</v>
      </c>
      <c r="C16">
        <f t="shared" si="0"/>
        <v>7</v>
      </c>
      <c r="D16">
        <f t="shared" si="1"/>
        <v>4</v>
      </c>
      <c r="E16">
        <v>4</v>
      </c>
      <c r="F16">
        <v>1</v>
      </c>
    </row>
    <row r="17" spans="1:6">
      <c r="B17" s="1" t="s">
        <v>60</v>
      </c>
      <c r="C17">
        <f t="shared" si="0"/>
        <v>11</v>
      </c>
      <c r="D17">
        <f t="shared" si="1"/>
        <v>4</v>
      </c>
      <c r="E17">
        <v>4</v>
      </c>
      <c r="F17">
        <v>1</v>
      </c>
    </row>
    <row r="18" spans="1:6">
      <c r="A18" s="2" t="s">
        <v>61</v>
      </c>
      <c r="B18" s="1" t="s">
        <v>62</v>
      </c>
      <c r="C18">
        <f t="shared" si="0"/>
        <v>3</v>
      </c>
      <c r="D18">
        <f t="shared" si="1"/>
        <v>3</v>
      </c>
      <c r="E18">
        <v>3</v>
      </c>
      <c r="F18">
        <v>1</v>
      </c>
    </row>
    <row r="19" spans="1:6">
      <c r="B19" s="1" t="s">
        <v>63</v>
      </c>
      <c r="C19">
        <f t="shared" si="0"/>
        <v>3</v>
      </c>
      <c r="D19">
        <f t="shared" si="1"/>
        <v>3</v>
      </c>
      <c r="E19">
        <v>3</v>
      </c>
      <c r="F19">
        <v>1</v>
      </c>
    </row>
    <row r="20" spans="1:6">
      <c r="B20" s="1" t="s">
        <v>64</v>
      </c>
      <c r="C20">
        <f t="shared" si="0"/>
        <v>3</v>
      </c>
      <c r="D20">
        <f t="shared" si="1"/>
        <v>3</v>
      </c>
      <c r="E20">
        <v>3</v>
      </c>
      <c r="F20">
        <v>1</v>
      </c>
    </row>
    <row r="21" spans="1:6">
      <c r="A21" s="2" t="s">
        <v>67</v>
      </c>
      <c r="B21" s="1" t="s">
        <v>68</v>
      </c>
      <c r="C21">
        <f t="shared" si="0"/>
        <v>3</v>
      </c>
      <c r="D21">
        <f t="shared" si="1"/>
        <v>3</v>
      </c>
      <c r="E21">
        <v>3</v>
      </c>
      <c r="F21">
        <v>1</v>
      </c>
    </row>
    <row r="22" spans="1:6" ht="37.5">
      <c r="A22" s="2" t="s">
        <v>71</v>
      </c>
      <c r="B22" s="1" t="s">
        <v>72</v>
      </c>
      <c r="C22">
        <f t="shared" si="0"/>
        <v>42</v>
      </c>
      <c r="D22">
        <f t="shared" si="1"/>
        <v>6</v>
      </c>
      <c r="E22">
        <v>6</v>
      </c>
      <c r="F22">
        <v>1</v>
      </c>
    </row>
    <row r="23" spans="1:6">
      <c r="A23" s="2" t="s">
        <v>73</v>
      </c>
      <c r="B23" s="1" t="s">
        <v>74</v>
      </c>
      <c r="C23">
        <f t="shared" si="0"/>
        <v>3</v>
      </c>
      <c r="D23">
        <f t="shared" si="1"/>
        <v>2</v>
      </c>
      <c r="E23">
        <v>2</v>
      </c>
      <c r="F23">
        <v>1</v>
      </c>
    </row>
    <row r="24" spans="1:6">
      <c r="B24" s="1" t="s">
        <v>75</v>
      </c>
      <c r="C24">
        <f t="shared" si="0"/>
        <v>3</v>
      </c>
      <c r="D24">
        <f t="shared" si="1"/>
        <v>2</v>
      </c>
      <c r="E24">
        <v>2</v>
      </c>
      <c r="F24">
        <v>1</v>
      </c>
    </row>
    <row r="25" spans="1:6">
      <c r="A25" s="2" t="s">
        <v>77</v>
      </c>
      <c r="B25" s="1" t="s">
        <v>78</v>
      </c>
      <c r="C25">
        <f t="shared" si="0"/>
        <v>7</v>
      </c>
      <c r="D25">
        <f t="shared" si="1"/>
        <v>2</v>
      </c>
      <c r="E25">
        <v>2</v>
      </c>
      <c r="F25">
        <v>1</v>
      </c>
    </row>
    <row r="26" spans="1:6">
      <c r="B26" s="1" t="s">
        <v>79</v>
      </c>
      <c r="C26">
        <f t="shared" si="0"/>
        <v>6</v>
      </c>
      <c r="D26">
        <f t="shared" si="1"/>
        <v>2</v>
      </c>
      <c r="E26">
        <v>2</v>
      </c>
      <c r="F26">
        <v>1</v>
      </c>
    </row>
    <row r="27" spans="1:6">
      <c r="A27" s="2" t="s">
        <v>80</v>
      </c>
      <c r="B27" s="1" t="s">
        <v>81</v>
      </c>
      <c r="C27">
        <f t="shared" si="0"/>
        <v>3</v>
      </c>
      <c r="D27">
        <f t="shared" si="1"/>
        <v>2</v>
      </c>
      <c r="E27">
        <v>2</v>
      </c>
      <c r="F27">
        <v>1</v>
      </c>
    </row>
    <row r="28" spans="1:6">
      <c r="B28" s="1" t="s">
        <v>82</v>
      </c>
      <c r="C28">
        <f t="shared" si="0"/>
        <v>3</v>
      </c>
      <c r="D28">
        <f t="shared" si="1"/>
        <v>3</v>
      </c>
      <c r="E28">
        <v>3</v>
      </c>
      <c r="F28">
        <v>1</v>
      </c>
    </row>
    <row r="29" spans="1:6">
      <c r="B29" s="1" t="s">
        <v>83</v>
      </c>
      <c r="C29">
        <f t="shared" si="0"/>
        <v>3</v>
      </c>
      <c r="D29">
        <f t="shared" si="1"/>
        <v>3</v>
      </c>
      <c r="E29">
        <v>3</v>
      </c>
      <c r="F29">
        <v>1</v>
      </c>
    </row>
    <row r="30" spans="1:6">
      <c r="B30" s="1" t="s">
        <v>84</v>
      </c>
      <c r="C30">
        <f t="shared" si="0"/>
        <v>3</v>
      </c>
      <c r="D30">
        <f t="shared" si="1"/>
        <v>3</v>
      </c>
      <c r="E30">
        <v>3</v>
      </c>
      <c r="F30">
        <v>1</v>
      </c>
    </row>
    <row r="31" spans="1:6">
      <c r="B31" s="1" t="s">
        <v>85</v>
      </c>
      <c r="C31">
        <f t="shared" si="0"/>
        <v>3</v>
      </c>
      <c r="D31">
        <f t="shared" si="1"/>
        <v>3</v>
      </c>
      <c r="E31">
        <v>3</v>
      </c>
      <c r="F31">
        <v>1</v>
      </c>
    </row>
    <row r="32" spans="1:6">
      <c r="B32" s="1" t="s">
        <v>86</v>
      </c>
      <c r="C32">
        <f t="shared" si="0"/>
        <v>3</v>
      </c>
      <c r="D32">
        <f t="shared" si="1"/>
        <v>3</v>
      </c>
      <c r="E32">
        <v>3</v>
      </c>
      <c r="F32">
        <v>1</v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FE43D-D456-4A4D-A22B-F4AB7E13D2A2}">
  <sheetPr codeName="Sheet5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4" sqref="D4:D15"/>
    </sheetView>
  </sheetViews>
  <sheetFormatPr defaultRowHeight="18.75"/>
  <cols>
    <col min="1" max="1" width="9" style="2"/>
    <col min="2" max="2" width="54.5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89</v>
      </c>
      <c r="D2">
        <f>SUM(D4:D1000)</f>
        <v>50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35</v>
      </c>
      <c r="B4" s="1" t="s">
        <v>104</v>
      </c>
      <c r="C4">
        <f>IF(B4&lt;&gt;"",LEN(B4),"")</f>
        <v>11</v>
      </c>
      <c r="D4">
        <f>E4*F4</f>
        <v>6</v>
      </c>
      <c r="E4">
        <v>6</v>
      </c>
      <c r="F4">
        <v>1</v>
      </c>
      <c r="G4" t="s">
        <v>90</v>
      </c>
      <c r="I4" t="s">
        <v>96</v>
      </c>
      <c r="K4" t="s">
        <v>102</v>
      </c>
    </row>
    <row r="5" spans="1:11">
      <c r="A5" s="2" t="s">
        <v>37</v>
      </c>
      <c r="B5" s="1" t="s">
        <v>105</v>
      </c>
      <c r="C5">
        <f t="shared" ref="C5:C68" si="0">IF(B5&lt;&gt;"",LEN(B5),"")</f>
        <v>4</v>
      </c>
      <c r="D5">
        <f t="shared" ref="D5:D15" si="1">E5*F5</f>
        <v>4</v>
      </c>
      <c r="E5">
        <v>4</v>
      </c>
      <c r="F5">
        <v>1</v>
      </c>
      <c r="G5" t="s">
        <v>91</v>
      </c>
      <c r="I5" t="s">
        <v>97</v>
      </c>
      <c r="K5" t="s">
        <v>103</v>
      </c>
    </row>
    <row r="6" spans="1:11">
      <c r="B6" s="1" t="s">
        <v>106</v>
      </c>
      <c r="C6">
        <f t="shared" si="0"/>
        <v>4</v>
      </c>
      <c r="D6">
        <f t="shared" si="1"/>
        <v>4</v>
      </c>
      <c r="E6">
        <v>4</v>
      </c>
      <c r="F6">
        <v>1</v>
      </c>
      <c r="G6" t="s">
        <v>92</v>
      </c>
      <c r="I6" t="s">
        <v>98</v>
      </c>
      <c r="K6" t="s">
        <v>110</v>
      </c>
    </row>
    <row r="7" spans="1:11">
      <c r="B7" s="1" t="s">
        <v>107</v>
      </c>
      <c r="C7">
        <f t="shared" si="0"/>
        <v>4</v>
      </c>
      <c r="D7">
        <f t="shared" si="1"/>
        <v>4</v>
      </c>
      <c r="E7">
        <v>4</v>
      </c>
      <c r="F7">
        <v>1</v>
      </c>
      <c r="G7" t="s">
        <v>93</v>
      </c>
      <c r="I7" t="s">
        <v>99</v>
      </c>
      <c r="K7" t="s">
        <v>113</v>
      </c>
    </row>
    <row r="8" spans="1:11">
      <c r="A8" s="2" t="s">
        <v>41</v>
      </c>
      <c r="B8" s="1" t="s">
        <v>108</v>
      </c>
      <c r="C8">
        <f t="shared" si="0"/>
        <v>18</v>
      </c>
      <c r="D8">
        <f t="shared" si="1"/>
        <v>0</v>
      </c>
      <c r="G8" t="s">
        <v>94</v>
      </c>
      <c r="I8" t="s">
        <v>100</v>
      </c>
      <c r="K8" t="s">
        <v>114</v>
      </c>
    </row>
    <row r="9" spans="1:11">
      <c r="B9" s="1" t="s">
        <v>109</v>
      </c>
      <c r="C9">
        <f t="shared" si="0"/>
        <v>16</v>
      </c>
      <c r="D9">
        <f t="shared" si="1"/>
        <v>6</v>
      </c>
      <c r="E9">
        <v>6</v>
      </c>
      <c r="F9">
        <v>1</v>
      </c>
      <c r="G9" t="s">
        <v>95</v>
      </c>
      <c r="I9" t="s">
        <v>101</v>
      </c>
    </row>
    <row r="10" spans="1:11">
      <c r="A10" s="2" t="s">
        <v>111</v>
      </c>
      <c r="B10" s="1" t="s">
        <v>115</v>
      </c>
      <c r="C10">
        <f t="shared" si="0"/>
        <v>1</v>
      </c>
      <c r="D10">
        <f t="shared" si="1"/>
        <v>4</v>
      </c>
      <c r="E10">
        <v>4</v>
      </c>
      <c r="F10">
        <v>1</v>
      </c>
      <c r="G10" t="s">
        <v>112</v>
      </c>
    </row>
    <row r="11" spans="1:11">
      <c r="A11" s="2" t="s">
        <v>67</v>
      </c>
      <c r="B11" s="1" t="s">
        <v>116</v>
      </c>
      <c r="C11">
        <f t="shared" si="0"/>
        <v>29</v>
      </c>
      <c r="D11">
        <f t="shared" si="1"/>
        <v>6</v>
      </c>
      <c r="E11">
        <v>6</v>
      </c>
      <c r="F11">
        <v>1</v>
      </c>
    </row>
    <row r="12" spans="1:11">
      <c r="A12" s="2" t="s">
        <v>71</v>
      </c>
      <c r="B12" s="1" t="s">
        <v>117</v>
      </c>
      <c r="C12">
        <f t="shared" si="0"/>
        <v>23</v>
      </c>
      <c r="D12">
        <f t="shared" si="1"/>
        <v>4</v>
      </c>
      <c r="E12">
        <v>4</v>
      </c>
      <c r="F12">
        <v>1</v>
      </c>
    </row>
    <row r="13" spans="1:11">
      <c r="A13" s="2" t="s">
        <v>73</v>
      </c>
      <c r="B13" s="1" t="s">
        <v>120</v>
      </c>
      <c r="C13">
        <f t="shared" si="0"/>
        <v>20</v>
      </c>
      <c r="D13">
        <f t="shared" si="1"/>
        <v>4</v>
      </c>
      <c r="E13">
        <v>4</v>
      </c>
      <c r="F13">
        <v>1</v>
      </c>
    </row>
    <row r="14" spans="1:11">
      <c r="B14" s="1" t="s">
        <v>118</v>
      </c>
      <c r="C14">
        <f t="shared" si="0"/>
        <v>15</v>
      </c>
      <c r="D14">
        <f t="shared" si="1"/>
        <v>4</v>
      </c>
      <c r="E14">
        <v>4</v>
      </c>
      <c r="F14">
        <v>1</v>
      </c>
    </row>
    <row r="15" spans="1:11">
      <c r="B15" s="1" t="s">
        <v>119</v>
      </c>
      <c r="C15">
        <f t="shared" si="0"/>
        <v>5</v>
      </c>
      <c r="D15">
        <f t="shared" si="1"/>
        <v>4</v>
      </c>
      <c r="E15">
        <v>4</v>
      </c>
      <c r="F15">
        <v>1</v>
      </c>
    </row>
    <row r="16" spans="1:11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レビュー</vt:lpstr>
      <vt:lpstr>format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2025-03-09T04:27:31Z</dcterms:modified>
</cp:coreProperties>
</file>