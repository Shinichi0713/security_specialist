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C07372C2-9C26-4246-BE13-E8C69B873949}" xr6:coauthVersionLast="47" xr6:coauthVersionMax="47" xr10:uidLastSave="{00000000-0000-0000-0000-000000000000}"/>
  <bookViews>
    <workbookView xWindow="7545" yWindow="1650" windowWidth="21600" windowHeight="13545"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 name="8" sheetId="12" r:id="rId10"/>
  </sheets>
  <functionGroups builtInGroupCount="19"/>
  <definedNames>
    <definedName name="_xlnm._FilterDatabase" localSheetId="2" hidden="1">'1'!$A$3:$G$167</definedName>
    <definedName name="_xlnm._FilterDatabase" localSheetId="3" hidden="1">'2'!$A$3:$F$168</definedName>
    <definedName name="_xlnm._FilterDatabase" localSheetId="4" hidden="1">'3'!$A$3:$K$168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6" i="12" l="1"/>
  <c r="D15" i="12"/>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E2" i="11"/>
  <c r="D2" i="11"/>
  <c r="E2" i="10"/>
  <c r="D2" i="10"/>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22" i="8"/>
  <c r="C21" i="8"/>
  <c r="D17" i="9"/>
  <c r="D16" i="9"/>
  <c r="D15" i="9"/>
  <c r="D14" i="9"/>
  <c r="D13" i="9"/>
  <c r="D12" i="9"/>
  <c r="D11" i="9"/>
  <c r="D10" i="9"/>
  <c r="D9" i="9"/>
  <c r="D8" i="9"/>
  <c r="D7" i="9"/>
  <c r="D6" i="9"/>
  <c r="D5" i="9"/>
  <c r="D4" i="9"/>
  <c r="D2" i="9" s="1"/>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6" i="8"/>
  <c r="D15" i="8"/>
  <c r="D14" i="8"/>
  <c r="D13" i="8"/>
  <c r="D12" i="8"/>
  <c r="D11" i="8"/>
  <c r="D10" i="8"/>
  <c r="D9" i="8"/>
  <c r="D8" i="8"/>
  <c r="D7" i="8"/>
  <c r="D6" i="8"/>
  <c r="D2" i="8" s="1"/>
  <c r="D5" i="8"/>
  <c r="D4"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0" i="8"/>
  <c r="C19" i="8"/>
  <c r="C18" i="8"/>
  <c r="C17" i="8"/>
  <c r="C16" i="8"/>
  <c r="C15" i="8"/>
  <c r="C14" i="8"/>
  <c r="C13" i="8"/>
  <c r="C12" i="8"/>
  <c r="C11" i="8"/>
  <c r="C10" i="8"/>
  <c r="C9" i="8"/>
  <c r="C8" i="8"/>
  <c r="C7" i="8"/>
  <c r="C6" i="8"/>
  <c r="C5" i="8"/>
  <c r="C4" i="8"/>
  <c r="E2" i="8"/>
  <c r="C38" i="5"/>
  <c r="C37" i="5"/>
  <c r="C36" i="5"/>
  <c r="C35" i="5"/>
  <c r="C34" i="5"/>
  <c r="C33" i="5"/>
  <c r="C32" i="5"/>
  <c r="C31" i="5"/>
  <c r="C30" i="7"/>
  <c r="C20" i="6"/>
  <c r="D24" i="7"/>
  <c r="D23" i="7"/>
  <c r="D22" i="7"/>
  <c r="D21" i="7"/>
  <c r="D20" i="7"/>
  <c r="D19" i="7"/>
  <c r="D18" i="7"/>
  <c r="D17" i="7"/>
  <c r="D16" i="7"/>
  <c r="D15" i="7"/>
  <c r="D14" i="7"/>
  <c r="D13" i="7"/>
  <c r="D12" i="7"/>
  <c r="D11" i="7"/>
  <c r="D10" i="7"/>
  <c r="D9" i="7"/>
  <c r="D8" i="7"/>
  <c r="D7" i="7"/>
  <c r="D6" i="7"/>
  <c r="D5" i="7"/>
  <c r="D4"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4" i="6"/>
  <c r="D2" i="7" l="1"/>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19" i="6"/>
  <c r="C18" i="6"/>
  <c r="C17" i="6"/>
  <c r="C16" i="6"/>
  <c r="C15" i="6"/>
  <c r="C14" i="6"/>
  <c r="C13" i="6"/>
  <c r="C12" i="6"/>
  <c r="C11" i="6"/>
  <c r="C10" i="6"/>
  <c r="C9" i="6"/>
  <c r="C8" i="6"/>
  <c r="C7" i="6"/>
  <c r="C6" i="6"/>
  <c r="C5" i="6"/>
  <c r="C4" i="6"/>
  <c r="E2" i="6"/>
  <c r="D2" i="6"/>
  <c r="D27" i="5"/>
  <c r="D26" i="5"/>
  <c r="D25" i="5"/>
  <c r="D24" i="5"/>
  <c r="D23" i="5"/>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<sst xmlns="http://schemas.openxmlformats.org/spreadsheetml/2006/main" count="482" uniqueCount="321">
  <si>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</si>
  <si>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</si>
  <si>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</si>
  <si>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</si>
  <si>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</si>
  <si>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</si>
  <si>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</si>
  <si>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</si>
  <si>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</si>
  <si>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</si>
  <si>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</si>
  <si>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</si>
  <si>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2023春</t>
  </si>
  <si>
    <t>2023春</t>
    <rPh sb="4" eb="5">
      <t>ハル</t>
    </rPh>
    <phoneticPr fontId="1"/>
  </si>
  <si>
    <t>webサイト沢山</t>
    <rPh sb="6" eb="8">
      <t>タクサン</t>
    </rPh>
    <phoneticPr fontId="1"/>
  </si>
  <si>
    <t>CISOが率いるセキュリティ</t>
    <rPh sb="5" eb="6">
      <t>ヒキ</t>
    </rPh>
    <phoneticPr fontId="1"/>
  </si>
  <si>
    <t>脆弱性診断</t>
    <rPh sb="0" eb="3">
      <t>ゼイジャクセイ</t>
    </rPh>
    <rPh sb="3" eb="5">
      <t>シンダン</t>
    </rPh>
    <phoneticPr fontId="1"/>
  </si>
  <si>
    <t>新規リリース</t>
    <rPh sb="0" eb="2">
      <t>シンキ</t>
    </rPh>
    <phoneticPr fontId="1"/>
  </si>
  <si>
    <t>セキュリティが競技して診断管理</t>
    <rPh sb="7" eb="9">
      <t>キョウギ</t>
    </rPh>
    <rPh sb="11" eb="13">
      <t>シンダン</t>
    </rPh>
    <rPh sb="13" eb="15">
      <t>カンリ</t>
    </rPh>
    <phoneticPr fontId="1"/>
  </si>
  <si>
    <t>PM2-2</t>
  </si>
  <si>
    <t>PM2-2</t>
    <phoneticPr fontId="1"/>
  </si>
  <si>
    <t>1</t>
    <phoneticPr fontId="1"/>
  </si>
  <si>
    <t>i:〇</t>
    <phoneticPr fontId="1"/>
  </si>
  <si>
    <t>h:〇</t>
    <phoneticPr fontId="1"/>
  </si>
  <si>
    <t>g:〇</t>
    <phoneticPr fontId="1"/>
  </si>
  <si>
    <t>f:×</t>
    <phoneticPr fontId="1"/>
  </si>
  <si>
    <t>e:〇</t>
    <phoneticPr fontId="1"/>
  </si>
  <si>
    <t>d:〇</t>
    <phoneticPr fontId="1"/>
  </si>
  <si>
    <t>c:×</t>
    <phoneticPr fontId="1"/>
  </si>
  <si>
    <t>b:×</t>
    <phoneticPr fontId="1"/>
  </si>
  <si>
    <t>a:〇</t>
    <phoneticPr fontId="1"/>
  </si>
  <si>
    <t>2-1</t>
    <phoneticPr fontId="1"/>
  </si>
  <si>
    <t>j:ウ</t>
    <phoneticPr fontId="1"/>
  </si>
  <si>
    <t>k:エ</t>
    <phoneticPr fontId="1"/>
  </si>
  <si>
    <t>l:ウ</t>
    <phoneticPr fontId="1"/>
  </si>
  <si>
    <t>2-2</t>
    <phoneticPr fontId="1"/>
  </si>
  <si>
    <t>{
       system: 4000,
       account: 11[1-9][0-9],
       service: オブジェクトストレージサービス,
       event: オブジェクトの削除
}</t>
    <rPh sb="107" eb="109">
      <t>サクジョ</t>
    </rPh>
    <phoneticPr fontId="1"/>
  </si>
  <si>
    <t>3-1</t>
    <phoneticPr fontId="1"/>
  </si>
  <si>
    <t>m: 新日記サービス</t>
    <rPh sb="3" eb="6">
      <t>シンニッキ</t>
    </rPh>
    <phoneticPr fontId="1"/>
  </si>
  <si>
    <t>n: サービスT</t>
    <phoneticPr fontId="1"/>
  </si>
  <si>
    <t>o: サービスT</t>
    <phoneticPr fontId="1"/>
  </si>
  <si>
    <t>3-2</t>
    <phoneticPr fontId="1"/>
  </si>
  <si>
    <t>p: 3</t>
    <phoneticPr fontId="1"/>
  </si>
  <si>
    <t>q: 6</t>
    <phoneticPr fontId="1"/>
  </si>
  <si>
    <t>3-3</t>
    <phoneticPr fontId="1"/>
  </si>
  <si>
    <t>ウ、エ</t>
    <phoneticPr fontId="1"/>
  </si>
  <si>
    <t>4-1</t>
    <phoneticPr fontId="1"/>
  </si>
  <si>
    <t>実在する会員のクライアントシークレットを推測することは困難であるため</t>
    <rPh sb="0" eb="2">
      <t>ジツザイ</t>
    </rPh>
    <rPh sb="4" eb="6">
      <t>カイイン</t>
    </rPh>
    <rPh sb="20" eb="22">
      <t>スイソク</t>
    </rPh>
    <rPh sb="27" eb="29">
      <t>コンナン</t>
    </rPh>
    <phoneticPr fontId="1"/>
  </si>
  <si>
    <t>4-2</t>
    <phoneticPr fontId="1"/>
  </si>
  <si>
    <t>懸賞コードのSHA-256のハッシュ値をbase64urlエンコードした値と、チャレンジコードの値が一致するか検証する</t>
    <rPh sb="0" eb="2">
      <t>ケンショウ</t>
    </rPh>
    <rPh sb="18" eb="19">
      <t>アタイ</t>
    </rPh>
    <rPh sb="36" eb="37">
      <t>アタイ</t>
    </rPh>
    <rPh sb="48" eb="49">
      <t>アタイ</t>
    </rPh>
    <rPh sb="50" eb="52">
      <t>イッチ</t>
    </rPh>
    <rPh sb="55" eb="57">
      <t>ケンショウ</t>
    </rPh>
    <phoneticPr fontId="1"/>
  </si>
  <si>
    <t>5-1</t>
    <phoneticPr fontId="1"/>
  </si>
  <si>
    <t>sauceコードの変更履歴よりZファイルの差分情報より取得した</t>
    <rPh sb="9" eb="11">
      <t>ヘンコウ</t>
    </rPh>
    <rPh sb="11" eb="13">
      <t>リレキ</t>
    </rPh>
    <rPh sb="21" eb="25">
      <t>サブンジョウホウ</t>
    </rPh>
    <rPh sb="27" eb="29">
      <t>シュトク</t>
    </rPh>
    <phoneticPr fontId="1"/>
  </si>
  <si>
    <t>5-2</t>
    <phoneticPr fontId="1"/>
  </si>
  <si>
    <t>開発者が、自分のアップロードしたファイルを承認する権限を削除する</t>
    <rPh sb="0" eb="2">
      <t>カイハツ</t>
    </rPh>
    <rPh sb="2" eb="3">
      <t>シャ</t>
    </rPh>
    <rPh sb="5" eb="7">
      <t>ジブン</t>
    </rPh>
    <rPh sb="21" eb="23">
      <t>ショウニン</t>
    </rPh>
    <rPh sb="25" eb="27">
      <t>ケンゲン</t>
    </rPh>
    <rPh sb="28" eb="30">
      <t>サクジョ</t>
    </rPh>
    <phoneticPr fontId="1"/>
  </si>
  <si>
    <t>5-3</t>
    <phoneticPr fontId="1"/>
  </si>
  <si>
    <t>X社CIにはダウンロードする権限のみを付与する</t>
    <rPh sb="1" eb="2">
      <t>シャ</t>
    </rPh>
    <rPh sb="14" eb="16">
      <t>ケンゲン</t>
    </rPh>
    <rPh sb="19" eb="21">
      <t>フヨ</t>
    </rPh>
    <phoneticPr fontId="1"/>
  </si>
  <si>
    <t>PM1-2</t>
  </si>
  <si>
    <t>PM1-2</t>
    <phoneticPr fontId="1"/>
  </si>
  <si>
    <t>パッシブ</t>
    <phoneticPr fontId="1"/>
  </si>
  <si>
    <t>修飾</t>
    <rPh sb="0" eb="2">
      <t>シュウショク</t>
    </rPh>
    <phoneticPr fontId="1"/>
  </si>
  <si>
    <t>コネクト</t>
    <phoneticPr fontId="1"/>
  </si>
  <si>
    <t>バインド</t>
    <phoneticPr fontId="1"/>
  </si>
  <si>
    <t>2-3により起動した3-3のポートへの通信が1-3で拒否されているため</t>
    <rPh sb="6" eb="8">
      <t>キドウ</t>
    </rPh>
    <rPh sb="19" eb="21">
      <t>ツウシン</t>
    </rPh>
    <rPh sb="26" eb="28">
      <t>キョヒ</t>
    </rPh>
    <phoneticPr fontId="1"/>
  </si>
  <si>
    <t>2-3</t>
    <phoneticPr fontId="1"/>
  </si>
  <si>
    <t>2-4により起動した3-4のポートへの通信が1-4で許可されているため</t>
    <rPh sb="6" eb="8">
      <t>キドウ</t>
    </rPh>
    <rPh sb="19" eb="21">
      <t>ツウシン</t>
    </rPh>
    <rPh sb="26" eb="28">
      <t>キョカ</t>
    </rPh>
    <phoneticPr fontId="1"/>
  </si>
  <si>
    <t>2-4</t>
    <phoneticPr fontId="1"/>
  </si>
  <si>
    <t>e: 1365</t>
    <phoneticPr fontId="1"/>
  </si>
  <si>
    <t>TXTレコードには、自由な文字列を指定することが出来るため</t>
    <rPh sb="10" eb="12">
      <t>ジユウ</t>
    </rPh>
    <rPh sb="13" eb="16">
      <t>モジレツ</t>
    </rPh>
    <rPh sb="17" eb="19">
      <t>シテイ</t>
    </rPh>
    <rPh sb="24" eb="26">
      <t>デキ</t>
    </rPh>
    <phoneticPr fontId="1"/>
  </si>
  <si>
    <t>攻撃者から内容の変更されている可能性があるため</t>
    <rPh sb="0" eb="3">
      <t>コウゲキシャ</t>
    </rPh>
    <rPh sb="5" eb="7">
      <t>ナイヨウ</t>
    </rPh>
    <rPh sb="8" eb="10">
      <t>ヘンコウ</t>
    </rPh>
    <rPh sb="15" eb="18">
      <t>カノウセイ</t>
    </rPh>
    <phoneticPr fontId="1"/>
  </si>
  <si>
    <t>受付サーバー</t>
    <rPh sb="0" eb="2">
      <t>ウケツケ</t>
    </rPh>
    <phoneticPr fontId="1"/>
  </si>
  <si>
    <t>PM1-3</t>
  </si>
  <si>
    <t>PM1-3</t>
    <phoneticPr fontId="1"/>
  </si>
  <si>
    <t>ネットワークは６名運用</t>
    <rPh sb="8" eb="9">
      <t>メイ</t>
    </rPh>
    <rPh sb="9" eb="11">
      <t>ウンヨウ</t>
    </rPh>
    <phoneticPr fontId="1"/>
  </si>
  <si>
    <t>a: ストレージ</t>
    <phoneticPr fontId="1"/>
  </si>
  <si>
    <t>b: 営業支援</t>
    <rPh sb="3" eb="7">
      <t>エイギョウシエン</t>
    </rPh>
    <phoneticPr fontId="1"/>
  </si>
  <si>
    <t>c: 経営支援</t>
    <rPh sb="3" eb="7">
      <t>ケイエイシエン</t>
    </rPh>
    <phoneticPr fontId="1"/>
  </si>
  <si>
    <t>d: web会議</t>
    <rPh sb="6" eb="8">
      <t>カイギ</t>
    </rPh>
    <phoneticPr fontId="1"/>
  </si>
  <si>
    <t>Lサービス；IDaaS</t>
    <phoneticPr fontId="1"/>
  </si>
  <si>
    <t>UTM</t>
    <phoneticPr fontId="1"/>
  </si>
  <si>
    <t>IpsecのVPN</t>
    <phoneticPr fontId="1"/>
  </si>
  <si>
    <t>1-1</t>
    <phoneticPr fontId="1"/>
  </si>
  <si>
    <t>b: イ</t>
    <phoneticPr fontId="1"/>
  </si>
  <si>
    <t>a: ア</t>
    <phoneticPr fontId="1"/>
  </si>
  <si>
    <t>c: ウ</t>
    <phoneticPr fontId="1"/>
  </si>
  <si>
    <t>1-2</t>
    <phoneticPr fontId="1"/>
  </si>
  <si>
    <t>Lサービスによって、本社UTMからの通信のみ許可されているため</t>
    <rPh sb="10" eb="12">
      <t>ホンシャ</t>
    </rPh>
    <rPh sb="18" eb="20">
      <t>ツウシン</t>
    </rPh>
    <rPh sb="22" eb="24">
      <t>キョカ</t>
    </rPh>
    <phoneticPr fontId="1"/>
  </si>
  <si>
    <t>R-PCを貸与</t>
    <rPh sb="5" eb="7">
      <t>タイヨ</t>
    </rPh>
    <phoneticPr fontId="1"/>
  </si>
  <si>
    <t>ネットワーク逼迫</t>
    <rPh sb="6" eb="8">
      <t>ヒッパク</t>
    </rPh>
    <phoneticPr fontId="1"/>
  </si>
  <si>
    <t>d: ア</t>
    <phoneticPr fontId="1"/>
  </si>
  <si>
    <t>e: ウ</t>
    <phoneticPr fontId="1"/>
  </si>
  <si>
    <t>f: イ</t>
    <phoneticPr fontId="1"/>
  </si>
  <si>
    <t>URLカテゴリと利用者IDでフィルタ</t>
    <rPh sb="8" eb="11">
      <t>リヨウシャ</t>
    </rPh>
    <phoneticPr fontId="1"/>
  </si>
  <si>
    <t>イ</t>
    <phoneticPr fontId="1"/>
  </si>
  <si>
    <t>CHAP: 認証する側がチャレンジコード、認証される側はハッシュ化して、認証</t>
    <rPh sb="6" eb="8">
      <t>ニンショウ</t>
    </rPh>
    <rPh sb="10" eb="11">
      <t>ガワ</t>
    </rPh>
    <rPh sb="21" eb="23">
      <t>ニンショウ</t>
    </rPh>
    <rPh sb="26" eb="27">
      <t>ガワ</t>
    </rPh>
    <rPh sb="32" eb="33">
      <t>カ</t>
    </rPh>
    <rPh sb="36" eb="38">
      <t>ニンショウ</t>
    </rPh>
    <phoneticPr fontId="1"/>
  </si>
  <si>
    <t>Pサービス導入後</t>
    <rPh sb="5" eb="8">
      <t>ドウニュウゴ</t>
    </rPh>
    <phoneticPr fontId="1"/>
  </si>
  <si>
    <t>プロキシサーバーではなくPサービスを経由させる</t>
    <rPh sb="18" eb="20">
      <t>ケイユ</t>
    </rPh>
    <phoneticPr fontId="1"/>
  </si>
  <si>
    <t>Lサービスに設定</t>
    <rPh sb="6" eb="8">
      <t>セッテイ</t>
    </rPh>
    <phoneticPr fontId="1"/>
  </si>
  <si>
    <t>送信元制限機能で、営業所UTMのグローバルIPアドレスを設定する</t>
    <rPh sb="0" eb="3">
      <t>ソウシンモト</t>
    </rPh>
    <rPh sb="3" eb="5">
      <t>セイゲン</t>
    </rPh>
    <rPh sb="5" eb="7">
      <t>キノウ</t>
    </rPh>
    <rPh sb="9" eb="12">
      <t>エイギョウショ</t>
    </rPh>
    <rPh sb="28" eb="30">
      <t>セッテイ</t>
    </rPh>
    <phoneticPr fontId="1"/>
  </si>
  <si>
    <t>ア</t>
    <phoneticPr fontId="1"/>
  </si>
  <si>
    <t>3-4</t>
    <phoneticPr fontId="1"/>
  </si>
  <si>
    <t>h: 4</t>
    <phoneticPr fontId="1"/>
  </si>
  <si>
    <t>i: 2</t>
    <phoneticPr fontId="1"/>
  </si>
  <si>
    <t>3-5</t>
    <phoneticPr fontId="1"/>
  </si>
  <si>
    <t>あ：4</t>
    <phoneticPr fontId="1"/>
  </si>
  <si>
    <t>い：3</t>
    <phoneticPr fontId="1"/>
  </si>
  <si>
    <t>j: https://△△△-a.jp/</t>
    <phoneticPr fontId="1"/>
  </si>
  <si>
    <t>2研究開発の従業員</t>
    <rPh sb="1" eb="5">
      <t>ケンキュウカイハツ</t>
    </rPh>
    <rPh sb="6" eb="9">
      <t>ジュウギョウイン</t>
    </rPh>
    <phoneticPr fontId="1"/>
  </si>
  <si>
    <t>l: 許可</t>
    <rPh sb="3" eb="5">
      <t>キョカ</t>
    </rPh>
    <phoneticPr fontId="1"/>
  </si>
  <si>
    <t>m: 外部ストレージサービス</t>
    <rPh sb="3" eb="5">
      <t>ガイブ</t>
    </rPh>
    <phoneticPr fontId="1"/>
  </si>
  <si>
    <t>n: すべて</t>
    <phoneticPr fontId="1"/>
  </si>
  <si>
    <t>o: 禁止</t>
    <rPh sb="3" eb="5">
      <t>キンシ</t>
    </rPh>
    <phoneticPr fontId="1"/>
  </si>
  <si>
    <t>コミュニティ名</t>
    <rPh sb="6" eb="7">
      <t>メイ</t>
    </rPh>
    <phoneticPr fontId="1"/>
  </si>
  <si>
    <t>2-3のコマンドが3-3のポートへの通信がFWの1-3によって拒否されているため</t>
    <rPh sb="18" eb="20">
      <t>ツウシン</t>
    </rPh>
    <rPh sb="31" eb="33">
      <t>キョヒ</t>
    </rPh>
    <phoneticPr fontId="1"/>
  </si>
  <si>
    <t>TXTレコードは任意の文字列を指定することが出来るため</t>
    <rPh sb="8" eb="10">
      <t>ニンイ</t>
    </rPh>
    <rPh sb="11" eb="14">
      <t>モジレツ</t>
    </rPh>
    <rPh sb="15" eb="17">
      <t>シテイ</t>
    </rPh>
    <rPh sb="22" eb="24">
      <t>デキ</t>
    </rPh>
    <phoneticPr fontId="1"/>
  </si>
  <si>
    <t>ダウンロードしたファイルの中身が異なる可能性があるため</t>
    <rPh sb="13" eb="15">
      <t>ナカミ</t>
    </rPh>
    <rPh sb="16" eb="17">
      <t>コト</t>
    </rPh>
    <rPh sb="19" eb="22">
      <t>カノウセイ</t>
    </rPh>
    <phoneticPr fontId="1"/>
  </si>
  <si>
    <t>cronコマンドは、Unix系システムで定期的にコマンドやスクリプトを実行するためのデーモンです。</t>
    <phoneticPr fontId="1"/>
  </si>
  <si>
    <t>受付サーバーで稼働しているファイルとことなる可能性があるため</t>
    <rPh sb="0" eb="2">
      <t>ウケツケ</t>
    </rPh>
    <rPh sb="7" eb="9">
      <t>カドウ</t>
    </rPh>
    <rPh sb="22" eb="25">
      <t>カノウセイ</t>
    </rPh>
    <phoneticPr fontId="1"/>
  </si>
  <si>
    <t>3-1</t>
  </si>
  <si>
    <t>3-2</t>
  </si>
  <si>
    <t>3-3</t>
  </si>
  <si>
    <t>3-4</t>
  </si>
  <si>
    <t>プロキシサーバーを介さず、Pサービスを経由する。</t>
    <rPh sb="9" eb="10">
      <t>カイ</t>
    </rPh>
    <rPh sb="19" eb="21">
      <t>ケイユ</t>
    </rPh>
    <phoneticPr fontId="1"/>
  </si>
  <si>
    <t>Pサービスはぷろきしとして機能している</t>
    <rPh sb="13" eb="15">
      <t>キノウ</t>
    </rPh>
    <phoneticPr fontId="1"/>
  </si>
  <si>
    <t>送信元制限機能に営業所のUTMのグローバルIPアドレスを設定する</t>
    <rPh sb="0" eb="3">
      <t>ソウシンモト</t>
    </rPh>
    <rPh sb="3" eb="5">
      <t>セイゲン</t>
    </rPh>
    <rPh sb="5" eb="7">
      <t>キノウ</t>
    </rPh>
    <rPh sb="8" eb="11">
      <t>エイギョウショ</t>
    </rPh>
    <rPh sb="28" eb="30">
      <t>セッテイ</t>
    </rPh>
    <phoneticPr fontId="1"/>
  </si>
  <si>
    <t>R-PCにせいげんする</t>
    <phoneticPr fontId="1"/>
  </si>
  <si>
    <t>い</t>
    <phoneticPr fontId="1"/>
  </si>
  <si>
    <t>h: 6</t>
    <phoneticPr fontId="1"/>
  </si>
  <si>
    <t>l:イ</t>
    <phoneticPr fontId="1"/>
  </si>
  <si>
    <t>q: 7</t>
    <phoneticPr fontId="1"/>
  </si>
  <si>
    <t>ウ、エ</t>
    <phoneticPr fontId="1"/>
  </si>
  <si>
    <t>認可コードの値を取得できていないため、アクセストークンを取得することができない</t>
    <rPh sb="0" eb="2">
      <t>ニンカ</t>
    </rPh>
    <rPh sb="6" eb="7">
      <t>アタイ</t>
    </rPh>
    <rPh sb="8" eb="10">
      <t>シュトク</t>
    </rPh>
    <rPh sb="28" eb="30">
      <t>シュトク</t>
    </rPh>
    <phoneticPr fontId="1"/>
  </si>
  <si>
    <t>検証コードのSHA-256によるハッシュ値をbase64urlエンコードした値とチャレンジコードとの一致を確認する</t>
    <rPh sb="0" eb="2">
      <t>ケンショウ</t>
    </rPh>
    <rPh sb="20" eb="21">
      <t>アタイ</t>
    </rPh>
    <rPh sb="38" eb="39">
      <t>アタイ</t>
    </rPh>
    <rPh sb="50" eb="52">
      <t>イッチ</t>
    </rPh>
    <rPh sb="53" eb="55">
      <t>カクニン</t>
    </rPh>
    <phoneticPr fontId="1"/>
  </si>
  <si>
    <t>2023秋</t>
    <rPh sb="4" eb="5">
      <t>アキ</t>
    </rPh>
    <phoneticPr fontId="1"/>
  </si>
  <si>
    <t>PM-3</t>
    <phoneticPr fontId="1"/>
  </si>
  <si>
    <t>Nサービス</t>
    <phoneticPr fontId="1"/>
  </si>
  <si>
    <t>CI</t>
    <phoneticPr fontId="1"/>
  </si>
  <si>
    <t>HTTPSでコミット</t>
    <phoneticPr fontId="1"/>
  </si>
  <si>
    <t>ビルドスクリプト</t>
    <phoneticPr fontId="1"/>
  </si>
  <si>
    <t>シークレット</t>
    <phoneticPr fontId="1"/>
  </si>
  <si>
    <t>フロントエンド</t>
    <phoneticPr fontId="1"/>
  </si>
  <si>
    <t>UDB</t>
    <phoneticPr fontId="1"/>
  </si>
  <si>
    <t>BE</t>
    <phoneticPr fontId="1"/>
  </si>
  <si>
    <t>仮想ネットワーク</t>
    <rPh sb="0" eb="2">
      <t>カソウ</t>
    </rPh>
    <phoneticPr fontId="1"/>
  </si>
  <si>
    <t>コンテナ上で実行するコマンドはリソースの操作が制限されることになる</t>
    <rPh sb="4" eb="5">
      <t>ウエ</t>
    </rPh>
    <rPh sb="6" eb="8">
      <t>ジッコウ</t>
    </rPh>
    <rPh sb="20" eb="22">
      <t>ソウサ</t>
    </rPh>
    <rPh sb="23" eb="25">
      <t>セイゲン</t>
    </rPh>
    <phoneticPr fontId="1"/>
  </si>
  <si>
    <t>ビルドスクリプトは任意のコマンドを実行可能</t>
    <rPh sb="9" eb="11">
      <t>ニンイ</t>
    </rPh>
    <rPh sb="17" eb="19">
      <t>ジッコウ</t>
    </rPh>
    <rPh sb="19" eb="21">
      <t>カノウ</t>
    </rPh>
    <phoneticPr fontId="1"/>
  </si>
  <si>
    <t>偽サイトに入力されたログイン情報を用いて、正規ユーザーになりすましてログインした</t>
    <rPh sb="0" eb="1">
      <t>ニセ</t>
    </rPh>
    <rPh sb="5" eb="7">
      <t>ニュウリョク</t>
    </rPh>
    <rPh sb="14" eb="16">
      <t>ジョウホウ</t>
    </rPh>
    <rPh sb="17" eb="18">
      <t>モチ</t>
    </rPh>
    <rPh sb="21" eb="23">
      <t>セイキ</t>
    </rPh>
    <phoneticPr fontId="1"/>
  </si>
  <si>
    <t>プロセスYのTLS</t>
    <phoneticPr fontId="1"/>
  </si>
  <si>
    <t>ヘッダーに別ドメインが指定</t>
    <rPh sb="5" eb="6">
      <t>ベツ</t>
    </rPh>
    <rPh sb="11" eb="13">
      <t>シテイ</t>
    </rPh>
    <phoneticPr fontId="1"/>
  </si>
  <si>
    <t>/procファイルシステムにアクセスして、情報を読み取った。</t>
    <rPh sb="21" eb="23">
      <t>ジョウホウ</t>
    </rPh>
    <rPh sb="24" eb="25">
      <t>ヨ</t>
    </rPh>
    <rPh sb="26" eb="27">
      <t>ト</t>
    </rPh>
    <phoneticPr fontId="1"/>
  </si>
  <si>
    <t>不正に発行されたサーバー証明書の利用を抑制する手段</t>
    <rPh sb="0" eb="2">
      <t>フセイ</t>
    </rPh>
    <rPh sb="3" eb="5">
      <t>ハッコウ</t>
    </rPh>
    <rPh sb="12" eb="15">
      <t>ショウメイショ</t>
    </rPh>
    <rPh sb="16" eb="18">
      <t>リヨウ</t>
    </rPh>
    <rPh sb="19" eb="21">
      <t>ヨクセイ</t>
    </rPh>
    <rPh sb="23" eb="25">
      <t>シュダン</t>
    </rPh>
    <phoneticPr fontId="1"/>
  </si>
  <si>
    <t>2-5</t>
    <phoneticPr fontId="1"/>
  </si>
  <si>
    <t>別途登録されたデバイスに対して、ワンタイムの認証情報を送付し、入力された情報を検証し本人認証する。</t>
    <rPh sb="0" eb="2">
      <t>ベット</t>
    </rPh>
    <rPh sb="2" eb="4">
      <t>トウロク</t>
    </rPh>
    <rPh sb="12" eb="13">
      <t>タイ</t>
    </rPh>
    <rPh sb="22" eb="24">
      <t>ニンショウ</t>
    </rPh>
    <rPh sb="24" eb="26">
      <t>ジョウホウ</t>
    </rPh>
    <rPh sb="27" eb="29">
      <t>ソウフ</t>
    </rPh>
    <rPh sb="31" eb="33">
      <t>ニュウリョク</t>
    </rPh>
    <rPh sb="36" eb="38">
      <t>ジョウホウ</t>
    </rPh>
    <rPh sb="39" eb="41">
      <t>ケンショウ</t>
    </rPh>
    <rPh sb="42" eb="46">
      <t>ホンニンニンショウ</t>
    </rPh>
    <phoneticPr fontId="1"/>
  </si>
  <si>
    <t>認証に用いる情報に含まれるオリジンおよび署名をサーバが確認する仕組み</t>
    <rPh sb="0" eb="2">
      <t>ニンショウ</t>
    </rPh>
    <rPh sb="3" eb="4">
      <t>モチ</t>
    </rPh>
    <rPh sb="6" eb="8">
      <t>ジョウホウ</t>
    </rPh>
    <rPh sb="9" eb="10">
      <t>フク</t>
    </rPh>
    <rPh sb="20" eb="22">
      <t>ショメイ</t>
    </rPh>
    <rPh sb="27" eb="29">
      <t>カクニン</t>
    </rPh>
    <rPh sb="31" eb="33">
      <t>シク</t>
    </rPh>
    <phoneticPr fontId="1"/>
  </si>
  <si>
    <t>2-6</t>
    <phoneticPr fontId="1"/>
  </si>
  <si>
    <t>P</t>
    <phoneticPr fontId="1"/>
  </si>
  <si>
    <t>Jストアにアップロードに使う</t>
    <rPh sb="12" eb="13">
      <t>ツカ</t>
    </rPh>
    <phoneticPr fontId="1"/>
  </si>
  <si>
    <t>有効なコード署名が負よされた不正なPアプリをJストアにアップロードする攻撃</t>
    <rPh sb="0" eb="2">
      <t>ユウコウ</t>
    </rPh>
    <rPh sb="6" eb="8">
      <t>ショメイ</t>
    </rPh>
    <rPh sb="9" eb="10">
      <t>フ</t>
    </rPh>
    <rPh sb="14" eb="16">
      <t>フセイ</t>
    </rPh>
    <rPh sb="35" eb="37">
      <t>コウゲキ</t>
    </rPh>
    <phoneticPr fontId="1"/>
  </si>
  <si>
    <t>STORE_API_KEYを無効化する</t>
    <rPh sb="14" eb="17">
      <t>ムコウカ</t>
    </rPh>
    <phoneticPr fontId="1"/>
  </si>
  <si>
    <t>攻撃者によるなりすましが困難となる</t>
    <rPh sb="0" eb="3">
      <t>コウゲキシャ</t>
    </rPh>
    <rPh sb="12" eb="14">
      <t>コンナン</t>
    </rPh>
    <phoneticPr fontId="1"/>
  </si>
  <si>
    <t>Pアプリを起動できない</t>
    <rPh sb="5" eb="7">
      <t>キドウ</t>
    </rPh>
    <phoneticPr fontId="1"/>
  </si>
  <si>
    <t>Pアプリをアップデートする</t>
    <phoneticPr fontId="1"/>
  </si>
  <si>
    <t>2023秋</t>
  </si>
  <si>
    <t>PM-3</t>
  </si>
  <si>
    <t>PM-4</t>
  </si>
  <si>
    <t>PM-4</t>
    <phoneticPr fontId="1"/>
  </si>
  <si>
    <t>リスクアセスメント</t>
    <phoneticPr fontId="1"/>
  </si>
  <si>
    <t>W社は運送会社</t>
    <rPh sb="1" eb="2">
      <t>シャ</t>
    </rPh>
    <rPh sb="3" eb="7">
      <t>ウンソウカイシャ</t>
    </rPh>
    <phoneticPr fontId="1"/>
  </si>
  <si>
    <t>Sサービスに受注j方法</t>
    <rPh sb="6" eb="8">
      <t>ジュチュウ</t>
    </rPh>
    <rPh sb="9" eb="11">
      <t>ホウホウ</t>
    </rPh>
    <phoneticPr fontId="1"/>
  </si>
  <si>
    <t>受注情報＝Z情報</t>
    <rPh sb="0" eb="4">
      <t>ジュチュウジョウホウ</t>
    </rPh>
    <rPh sb="6" eb="8">
      <t>ジョウホウ</t>
    </rPh>
    <phoneticPr fontId="1"/>
  </si>
  <si>
    <t>１日のZ情報は10～50</t>
    <rPh sb="1" eb="2">
      <t>ニチ</t>
    </rPh>
    <rPh sb="4" eb="6">
      <t>ジョウホウ</t>
    </rPh>
    <phoneticPr fontId="1"/>
  </si>
  <si>
    <t>2重の脅迫</t>
    <rPh sb="1" eb="2">
      <t>ジュウ</t>
    </rPh>
    <rPh sb="3" eb="5">
      <t>キョウハク</t>
    </rPh>
    <phoneticPr fontId="1"/>
  </si>
  <si>
    <t>時刻同期</t>
    <rPh sb="0" eb="2">
      <t>ジコク</t>
    </rPh>
    <rPh sb="2" eb="4">
      <t>ドウキ</t>
    </rPh>
    <phoneticPr fontId="1"/>
  </si>
  <si>
    <t>一括出力機能</t>
    <rPh sb="0" eb="2">
      <t>イッカツ</t>
    </rPh>
    <rPh sb="2" eb="4">
      <t>シュツリョク</t>
    </rPh>
    <rPh sb="4" eb="6">
      <t>キノウ</t>
    </rPh>
    <phoneticPr fontId="1"/>
  </si>
  <si>
    <t>E社にアセスメント</t>
    <rPh sb="1" eb="2">
      <t>シャ</t>
    </rPh>
    <phoneticPr fontId="1"/>
  </si>
  <si>
    <t>デバイスパッチはOK</t>
    <phoneticPr fontId="1"/>
  </si>
  <si>
    <t>FWはインターネット通信NG</t>
    <rPh sb="10" eb="12">
      <t>ツウシン</t>
    </rPh>
    <phoneticPr fontId="1"/>
  </si>
  <si>
    <t>メールマルウェア</t>
    <phoneticPr fontId="1"/>
  </si>
  <si>
    <t>USBダメ</t>
    <phoneticPr fontId="1"/>
  </si>
  <si>
    <t>論理意識は高い</t>
    <rPh sb="0" eb="2">
      <t>ロンリ</t>
    </rPh>
    <rPh sb="2" eb="4">
      <t>イシキ</t>
    </rPh>
    <rPh sb="5" eb="6">
      <t>タカ</t>
    </rPh>
    <phoneticPr fontId="1"/>
  </si>
  <si>
    <t>ID＋PWで周知</t>
    <rPh sb="6" eb="8">
      <t>シュウチ</t>
    </rPh>
    <phoneticPr fontId="1"/>
  </si>
  <si>
    <t>PWのメモがある</t>
    <phoneticPr fontId="1"/>
  </si>
  <si>
    <t>ア：10，１１，１２，１３</t>
    <phoneticPr fontId="1"/>
  </si>
  <si>
    <t>イ：大</t>
    <rPh sb="2" eb="3">
      <t>オオ</t>
    </rPh>
    <phoneticPr fontId="1"/>
  </si>
  <si>
    <t>ウ：C</t>
    <phoneticPr fontId="1"/>
  </si>
  <si>
    <t>エ：ログイン可能なIpアドレスをW社に制限する</t>
    <rPh sb="6" eb="8">
      <t>カノウ</t>
    </rPh>
    <rPh sb="17" eb="18">
      <t>シャ</t>
    </rPh>
    <rPh sb="19" eb="21">
      <t>セイゲン</t>
    </rPh>
    <phoneticPr fontId="1"/>
  </si>
  <si>
    <t>配送管理員が閲覧するWebサイトで、脆弱性を利用して、アクセスした際に未知のマルウェアダウンロードするようにサイトのページを改ざんする</t>
    <rPh sb="0" eb="4">
      <t>ハイソウカンリ</t>
    </rPh>
    <rPh sb="4" eb="5">
      <t>イン</t>
    </rPh>
    <rPh sb="6" eb="8">
      <t>エツラン</t>
    </rPh>
    <rPh sb="18" eb="21">
      <t>ゼイジャクセイ</t>
    </rPh>
    <rPh sb="22" eb="24">
      <t>リヨウ</t>
    </rPh>
    <rPh sb="33" eb="34">
      <t>サイ</t>
    </rPh>
    <rPh sb="35" eb="37">
      <t>ミチ</t>
    </rPh>
    <rPh sb="62" eb="63">
      <t>カイ</t>
    </rPh>
    <phoneticPr fontId="1"/>
  </si>
  <si>
    <t>い：ダウンロードしたマルウェアがPC内を探索し、情報を攻撃者に対して送出する</t>
    <rPh sb="18" eb="19">
      <t>ナイ</t>
    </rPh>
    <rPh sb="20" eb="22">
      <t>タンサク</t>
    </rPh>
    <rPh sb="24" eb="26">
      <t>ジョウホウ</t>
    </rPh>
    <rPh sb="27" eb="30">
      <t>コウゲキシャ</t>
    </rPh>
    <rPh sb="31" eb="32">
      <t>タイ</t>
    </rPh>
    <rPh sb="34" eb="36">
      <t>ソウシュツ</t>
    </rPh>
    <phoneticPr fontId="1"/>
  </si>
  <si>
    <t>う：2、3、6、9、10</t>
    <phoneticPr fontId="1"/>
  </si>
  <si>
    <t>え：中</t>
    <rPh sb="2" eb="3">
      <t>ナカ</t>
    </rPh>
    <phoneticPr fontId="1"/>
  </si>
  <si>
    <t>お：低</t>
    <rPh sb="2" eb="3">
      <t>ヒク</t>
    </rPh>
    <phoneticPr fontId="1"/>
  </si>
  <si>
    <t>か：D</t>
    <phoneticPr fontId="1"/>
  </si>
  <si>
    <t>き：ローカルPCにZ情報を保持しないようにする</t>
    <rPh sb="10" eb="12">
      <t>ジョウホウ</t>
    </rPh>
    <rPh sb="13" eb="15">
      <t>ホジ</t>
    </rPh>
    <phoneticPr fontId="1"/>
  </si>
  <si>
    <t>プロキシサーバーURLフィルタリングを利用して必要なサイトへのアクセスに制限する</t>
    <rPh sb="19" eb="21">
      <t>リヨウ</t>
    </rPh>
    <rPh sb="23" eb="25">
      <t>ヒツヨウ</t>
    </rPh>
    <rPh sb="36" eb="38">
      <t>セイゲン</t>
    </rPh>
    <phoneticPr fontId="1"/>
  </si>
  <si>
    <t>3</t>
    <phoneticPr fontId="1"/>
  </si>
  <si>
    <t>a: 5, 10, 12</t>
    <phoneticPr fontId="1"/>
  </si>
  <si>
    <t>b: 2, 3, 4, 6</t>
    <phoneticPr fontId="1"/>
  </si>
  <si>
    <t>間違い直し</t>
    <rPh sb="0" eb="2">
      <t>マチガ</t>
    </rPh>
    <rPh sb="3" eb="4">
      <t>ナオ</t>
    </rPh>
    <phoneticPr fontId="1"/>
  </si>
  <si>
    <t>百貨店</t>
    <rPh sb="0" eb="3">
      <t>ヒャッカテン</t>
    </rPh>
    <phoneticPr fontId="1"/>
  </si>
  <si>
    <t>Z情報を参照する</t>
    <rPh sb="1" eb="3">
      <t>ジョウホウ</t>
    </rPh>
    <rPh sb="4" eb="6">
      <t>サンショウ</t>
    </rPh>
    <phoneticPr fontId="1"/>
  </si>
  <si>
    <t>Z情報＝受注情報</t>
    <rPh sb="1" eb="3">
      <t>ジョウホウ</t>
    </rPh>
    <rPh sb="4" eb="8">
      <t>ジュチュウジョウホウ</t>
    </rPh>
    <phoneticPr fontId="1"/>
  </si>
  <si>
    <t>IDとPWで認証</t>
    <rPh sb="6" eb="8">
      <t>ニンショウ</t>
    </rPh>
    <phoneticPr fontId="1"/>
  </si>
  <si>
    <t>ウェアんタイムパスワード</t>
    <phoneticPr fontId="1"/>
  </si>
  <si>
    <t>エ：G百貨店で、Sサービスへのログイン可能なIPアドレスをW社プロキシだけに設定する</t>
    <rPh sb="3" eb="6">
      <t>ヒャッカテン</t>
    </rPh>
    <rPh sb="19" eb="21">
      <t>カノウ</t>
    </rPh>
    <rPh sb="30" eb="31">
      <t>シャ</t>
    </rPh>
    <rPh sb="38" eb="40">
      <t>セッテイ</t>
    </rPh>
    <phoneticPr fontId="1"/>
  </si>
  <si>
    <t>W社の社員がアクセスするサイトをサイトの脆弱性を利用して、アクセス時に未知のマルウェアがダウンロード出来るように改ざんする。</t>
    <rPh sb="1" eb="2">
      <t>シャ</t>
    </rPh>
    <rPh sb="3" eb="5">
      <t>シャイン</t>
    </rPh>
    <rPh sb="20" eb="23">
      <t>ゼイジャクセイ</t>
    </rPh>
    <rPh sb="24" eb="26">
      <t>リヨウ</t>
    </rPh>
    <rPh sb="33" eb="34">
      <t>ジ</t>
    </rPh>
    <rPh sb="35" eb="37">
      <t>ミチ</t>
    </rPh>
    <rPh sb="50" eb="52">
      <t>デキ</t>
    </rPh>
    <rPh sb="56" eb="57">
      <t>カイ</t>
    </rPh>
    <phoneticPr fontId="1"/>
  </si>
  <si>
    <t>イ：W社社員のPCにマルウェアをダウンロードして、キー入力を監視して、配送管理課員がSサービスにログインされ、Z情報がPCに保存される。</t>
    <rPh sb="3" eb="4">
      <t>シャ</t>
    </rPh>
    <rPh sb="4" eb="6">
      <t>シャイン</t>
    </rPh>
    <rPh sb="27" eb="29">
      <t>ニュウリョク</t>
    </rPh>
    <rPh sb="30" eb="32">
      <t>カンシ</t>
    </rPh>
    <rPh sb="35" eb="39">
      <t>ハイソウカンリ</t>
    </rPh>
    <rPh sb="39" eb="41">
      <t>カイン</t>
    </rPh>
    <rPh sb="56" eb="58">
      <t>ジョウホウ</t>
    </rPh>
    <rPh sb="62" eb="64">
      <t>ホゾン</t>
    </rPh>
    <phoneticPr fontId="1"/>
  </si>
  <si>
    <t>う：2, 3, 6</t>
    <phoneticPr fontId="1"/>
  </si>
  <si>
    <t>え：大</t>
    <rPh sb="2" eb="3">
      <t>オオ</t>
    </rPh>
    <phoneticPr fontId="1"/>
  </si>
  <si>
    <t>か：C</t>
    <phoneticPr fontId="1"/>
  </si>
  <si>
    <t>き：プロキシサーバーのURLフィルタリング機能の設定を変更して、配送管理PCからアクセスを制限する</t>
    <rPh sb="21" eb="23">
      <t>キノウ</t>
    </rPh>
    <rPh sb="24" eb="26">
      <t>セッテイ</t>
    </rPh>
    <rPh sb="27" eb="29">
      <t>ヘンコウ</t>
    </rPh>
    <rPh sb="32" eb="36">
      <t>ハイソウカンリ</t>
    </rPh>
    <rPh sb="45" eb="47">
      <t>セイゲン</t>
    </rPh>
    <phoneticPr fontId="1"/>
  </si>
  <si>
    <t>見直し</t>
    <rPh sb="0" eb="2">
      <t>ミナオ</t>
    </rPh>
    <phoneticPr fontId="1"/>
  </si>
  <si>
    <t>N社CIサービス提供</t>
    <rPh sb="1" eb="2">
      <t>シャ</t>
    </rPh>
    <rPh sb="8" eb="10">
      <t>テイキョウ</t>
    </rPh>
    <phoneticPr fontId="1"/>
  </si>
  <si>
    <t>シークレット機能</t>
    <rPh sb="6" eb="8">
      <t>キノウ</t>
    </rPh>
    <phoneticPr fontId="1"/>
  </si>
  <si>
    <t>WEBサーバにAPIキー登録</t>
    <rPh sb="12" eb="14">
      <t>トウロク</t>
    </rPh>
    <phoneticPr fontId="1"/>
  </si>
  <si>
    <t>コミット通知</t>
    <rPh sb="4" eb="6">
      <t>ツウチ</t>
    </rPh>
    <phoneticPr fontId="1"/>
  </si>
  <si>
    <t>リポジトリ特定してVCSホストやSSH鍵から取得</t>
    <rPh sb="5" eb="7">
      <t>トクテイ</t>
    </rPh>
    <rPh sb="19" eb="20">
      <t>カギ</t>
    </rPh>
    <rPh sb="22" eb="24">
      <t>シュトク</t>
    </rPh>
    <phoneticPr fontId="1"/>
  </si>
  <si>
    <t>バックエンドを選択</t>
    <rPh sb="7" eb="9">
      <t>センタク</t>
    </rPh>
    <phoneticPr fontId="1"/>
  </si>
  <si>
    <t>CIデーモンに情報送信</t>
    <rPh sb="7" eb="9">
      <t>ジョウホウ</t>
    </rPh>
    <rPh sb="9" eb="11">
      <t>ソウシン</t>
    </rPh>
    <phoneticPr fontId="1"/>
  </si>
  <si>
    <t>ウ, エ</t>
    <phoneticPr fontId="1"/>
  </si>
  <si>
    <t>Uさんが入力したTOTPを取得して、クラウド管理者サイトに入力してログインした。</t>
    <rPh sb="4" eb="6">
      <t>ニュウリョク</t>
    </rPh>
    <rPh sb="13" eb="15">
      <t>シュトク</t>
    </rPh>
    <rPh sb="22" eb="25">
      <t>カンリシャ</t>
    </rPh>
    <rPh sb="29" eb="31">
      <t>ニュウリョク</t>
    </rPh>
    <phoneticPr fontId="1"/>
  </si>
  <si>
    <t>認証に用いる情報にふくまれるオリジンと署名をサーバーが確認する仕組み</t>
    <rPh sb="0" eb="2">
      <t>ニンショウ</t>
    </rPh>
    <rPh sb="3" eb="4">
      <t>モチ</t>
    </rPh>
    <rPh sb="6" eb="8">
      <t>ジョウホウ</t>
    </rPh>
    <rPh sb="19" eb="21">
      <t>ショメイ</t>
    </rPh>
    <rPh sb="27" eb="29">
      <t>カクニン</t>
    </rPh>
    <rPh sb="31" eb="33">
      <t>シク</t>
    </rPh>
    <phoneticPr fontId="1"/>
  </si>
  <si>
    <t>NサービスよりSTORE_API_KEYを削除する。</t>
    <rPh sb="21" eb="23">
      <t>サクジョ</t>
    </rPh>
    <phoneticPr fontId="1"/>
  </si>
  <si>
    <t>秘密鍵が漏れないという利点</t>
    <rPh sb="0" eb="3">
      <t>ヒミツカギ</t>
    </rPh>
    <rPh sb="4" eb="5">
      <t>モ</t>
    </rPh>
    <rPh sb="11" eb="13">
      <t>リテン</t>
    </rPh>
    <phoneticPr fontId="1"/>
  </si>
  <si>
    <t>認証に用いる情報に含まれるオリジンおよび署名をサーバーが確認する仕組み</t>
    <rPh sb="0" eb="2">
      <t>ニンショウ</t>
    </rPh>
    <rPh sb="3" eb="4">
      <t>モチ</t>
    </rPh>
    <rPh sb="6" eb="8">
      <t>ジョウホウ</t>
    </rPh>
    <rPh sb="9" eb="10">
      <t>フク</t>
    </rPh>
    <rPh sb="20" eb="22">
      <t>ショメイ</t>
    </rPh>
    <rPh sb="28" eb="30">
      <t>カクニン</t>
    </rPh>
    <rPh sb="32" eb="34">
      <t>シク</t>
    </rPh>
    <phoneticPr fontId="1"/>
  </si>
  <si>
    <t>ECサイト</t>
    <phoneticPr fontId="1"/>
  </si>
  <si>
    <t>アプリQHTTPS</t>
    <phoneticPr fontId="1"/>
  </si>
  <si>
    <t>セッションID</t>
    <phoneticPr fontId="1"/>
  </si>
  <si>
    <t>レビュータイトルを出力する前にエスケープ処理を行う</t>
    <rPh sb="9" eb="11">
      <t>シュツリョク</t>
    </rPh>
    <rPh sb="13" eb="14">
      <t>マエ</t>
    </rPh>
    <rPh sb="20" eb="22">
      <t>ショリ</t>
    </rPh>
    <rPh sb="23" eb="24">
      <t>オコナ</t>
    </rPh>
    <phoneticPr fontId="1"/>
  </si>
  <si>
    <t>2</t>
    <phoneticPr fontId="1"/>
  </si>
  <si>
    <t>HTMLがコメントアウトされてスクリプトがひとつづつ送信されるような文字列の送出を繰り返し行った</t>
    <rPh sb="26" eb="28">
      <t>ソウシン</t>
    </rPh>
    <rPh sb="34" eb="37">
      <t>モジレツ</t>
    </rPh>
    <rPh sb="38" eb="40">
      <t>ソウシュツ</t>
    </rPh>
    <rPh sb="41" eb="42">
      <t>ク</t>
    </rPh>
    <rPh sb="43" eb="44">
      <t>カエ</t>
    </rPh>
    <rPh sb="45" eb="46">
      <t>オコナ</t>
    </rPh>
    <phoneticPr fontId="1"/>
  </si>
  <si>
    <t>レスポンスタイプをDOMとすると、リクエストを読み込める</t>
    <rPh sb="23" eb="24">
      <t>ヨ</t>
    </rPh>
    <rPh sb="25" eb="26">
      <t>コ</t>
    </rPh>
    <phoneticPr fontId="1"/>
  </si>
  <si>
    <t>リクエストを送信</t>
    <rPh sb="6" eb="8">
      <t>ソウシン</t>
    </rPh>
    <phoneticPr fontId="1"/>
  </si>
  <si>
    <t>リクエストより取得したトークンを画像とともにアップロードする</t>
    <rPh sb="7" eb="9">
      <t>シュトク</t>
    </rPh>
    <rPh sb="16" eb="18">
      <t>ガゾウ</t>
    </rPh>
    <phoneticPr fontId="1"/>
  </si>
  <si>
    <t>ページに表示されたアップロード画像をダウンロードすることで取得する</t>
    <rPh sb="4" eb="6">
      <t>ヒョウジ</t>
    </rPh>
    <rPh sb="15" eb="17">
      <t>ガゾウ</t>
    </rPh>
    <rPh sb="29" eb="31">
      <t>シュトク</t>
    </rPh>
    <phoneticPr fontId="1"/>
  </si>
  <si>
    <t>ECサイトの正規会員に成りすましてログインする</t>
    <rPh sb="6" eb="10">
      <t>セイキカイイン</t>
    </rPh>
    <rPh sb="11" eb="12">
      <t>ナ</t>
    </rPh>
    <phoneticPr fontId="1"/>
  </si>
  <si>
    <t>4</t>
    <phoneticPr fontId="1"/>
  </si>
  <si>
    <t>アクセス元と同じオリジンによるスクリプト以外は実行できない</t>
    <rPh sb="4" eb="5">
      <t>モト</t>
    </rPh>
    <rPh sb="6" eb="7">
      <t>オナ</t>
    </rPh>
    <rPh sb="20" eb="22">
      <t>イガイ</t>
    </rPh>
    <rPh sb="23" eb="25">
      <t>ジッコウ</t>
    </rPh>
    <phoneticPr fontId="1"/>
  </si>
  <si>
    <t>スクリプトと別ドメインのURLに対してcookieが送られない仕組み</t>
    <rPh sb="6" eb="7">
      <t>ベツ</t>
    </rPh>
    <rPh sb="16" eb="17">
      <t>タイ</t>
    </rPh>
    <rPh sb="26" eb="27">
      <t>オク</t>
    </rPh>
    <rPh sb="31" eb="33">
      <t>シク</t>
    </rPh>
    <phoneticPr fontId="1"/>
  </si>
  <si>
    <t>PM-1</t>
    <phoneticPr fontId="1"/>
  </si>
  <si>
    <t>VCSにコミットする</t>
    <phoneticPr fontId="1"/>
  </si>
  <si>
    <t>ci.shという名称のスクリプト</t>
    <rPh sb="8" eb="10">
      <t>メイショウ</t>
    </rPh>
    <phoneticPr fontId="1"/>
  </si>
  <si>
    <t>不正なサイトに入力されたTOTPを使って、有効期限内に正規サイトにログインする</t>
    <rPh sb="0" eb="2">
      <t>フセイ</t>
    </rPh>
    <rPh sb="7" eb="9">
      <t>ニュウリョク</t>
    </rPh>
    <rPh sb="17" eb="18">
      <t>ツカ</t>
    </rPh>
    <rPh sb="21" eb="26">
      <t>ユウコウキゲンナイ</t>
    </rPh>
    <rPh sb="27" eb="29">
      <t>セイキ</t>
    </rPh>
    <phoneticPr fontId="1"/>
  </si>
  <si>
    <t>環境変数</t>
    <rPh sb="0" eb="4">
      <t>カンキョウヘンスウ</t>
    </rPh>
    <phoneticPr fontId="1"/>
  </si>
  <si>
    <t>/procファイルを閲覧の上、シークレットを読み取る</t>
    <rPh sb="10" eb="12">
      <t>エツラン</t>
    </rPh>
    <rPh sb="13" eb="14">
      <t>ウエ</t>
    </rPh>
    <rPh sb="22" eb="23">
      <t>ヨ</t>
    </rPh>
    <rPh sb="24" eb="25">
      <t>ト</t>
    </rPh>
    <phoneticPr fontId="1"/>
  </si>
  <si>
    <t>Pアプリ</t>
    <phoneticPr fontId="1"/>
  </si>
  <si>
    <t>Jストア</t>
    <phoneticPr fontId="1"/>
  </si>
  <si>
    <t>JアプリのN社のアプリを、別アプリに置き換えて、ダウンロードした利用者の端末に感染させる</t>
    <rPh sb="6" eb="7">
      <t>シャ</t>
    </rPh>
    <rPh sb="13" eb="14">
      <t>ベツ</t>
    </rPh>
    <rPh sb="18" eb="19">
      <t>オ</t>
    </rPh>
    <rPh sb="20" eb="21">
      <t>カ</t>
    </rPh>
    <rPh sb="32" eb="35">
      <t>リヨウシャ</t>
    </rPh>
    <rPh sb="36" eb="38">
      <t>タンマツ</t>
    </rPh>
    <rPh sb="39" eb="41">
      <t>カンセン</t>
    </rPh>
    <phoneticPr fontId="1"/>
  </si>
  <si>
    <t>認証用APIキーを削除する</t>
    <rPh sb="0" eb="2">
      <t>ニンショウ</t>
    </rPh>
    <rPh sb="2" eb="3">
      <t>ヨウ</t>
    </rPh>
    <rPh sb="9" eb="11">
      <t>サクジョ</t>
    </rPh>
    <phoneticPr fontId="1"/>
  </si>
  <si>
    <t>FIPSの認証をうけたHSM</t>
    <rPh sb="5" eb="7">
      <t>ニンショウ</t>
    </rPh>
    <phoneticPr fontId="1"/>
  </si>
  <si>
    <t>秘密キーの持ち出しが出来ない</t>
    <rPh sb="0" eb="2">
      <t>ヒミツ</t>
    </rPh>
    <rPh sb="5" eb="6">
      <t>モ</t>
    </rPh>
    <rPh sb="7" eb="8">
      <t>ダ</t>
    </rPh>
    <rPh sb="10" eb="12">
      <t>デキ</t>
    </rPh>
    <phoneticPr fontId="1"/>
  </si>
  <si>
    <t>再インストールしなおす</t>
    <rPh sb="0" eb="1">
      <t>サイ</t>
    </rPh>
    <phoneticPr fontId="1"/>
  </si>
  <si>
    <t>間違い直し</t>
    <rPh sb="0" eb="2">
      <t>マチガ</t>
    </rPh>
    <rPh sb="3" eb="4">
      <t>ナオ</t>
    </rPh>
    <phoneticPr fontId="1"/>
  </si>
  <si>
    <t>EC事業</t>
    <rPh sb="2" eb="4">
      <t>ジギョウ</t>
    </rPh>
    <phoneticPr fontId="1"/>
  </si>
  <si>
    <t>アプリQで運営</t>
    <rPh sb="5" eb="7">
      <t>ウンエイ</t>
    </rPh>
    <phoneticPr fontId="1"/>
  </si>
  <si>
    <t>HTTPSでアクセスし開発運用</t>
    <rPh sb="11" eb="13">
      <t>カイハツ</t>
    </rPh>
    <rPh sb="13" eb="15">
      <t>ウンヨウ</t>
    </rPh>
    <phoneticPr fontId="1"/>
  </si>
  <si>
    <t>商品レビュー</t>
    <rPh sb="0" eb="2">
      <t>ショウヒン</t>
    </rPh>
    <phoneticPr fontId="1"/>
  </si>
  <si>
    <t>会員IDとパスワード</t>
    <rPh sb="0" eb="2">
      <t>カイイン</t>
    </rPh>
    <phoneticPr fontId="1"/>
  </si>
  <si>
    <t>レビュータイトル</t>
    <phoneticPr fontId="1"/>
  </si>
  <si>
    <t>自友紀述</t>
    <rPh sb="0" eb="4">
      <t>ジユキジュツ</t>
    </rPh>
    <phoneticPr fontId="1"/>
  </si>
  <si>
    <t>画像をアップロードして設定するページ</t>
    <rPh sb="0" eb="2">
      <t>ガゾウ</t>
    </rPh>
    <rPh sb="11" eb="13">
      <t>セッテイ</t>
    </rPh>
    <phoneticPr fontId="1"/>
  </si>
  <si>
    <t>トークンが一致した場合に更新することが出来る</t>
    <rPh sb="5" eb="7">
      <t>イッチ</t>
    </rPh>
    <rPh sb="9" eb="11">
      <t>バアイ</t>
    </rPh>
    <rPh sb="12" eb="14">
      <t>コウシン</t>
    </rPh>
    <rPh sb="19" eb="21">
      <t>デキ</t>
    </rPh>
    <phoneticPr fontId="1"/>
  </si>
  <si>
    <t>ページVに表示されるレビューがすく兄</t>
    <rPh sb="5" eb="7">
      <t>ヒョウジ</t>
    </rPh>
    <rPh sb="17" eb="18">
      <t>アニ</t>
    </rPh>
    <phoneticPr fontId="1"/>
  </si>
  <si>
    <t>1-2</t>
    <phoneticPr fontId="1"/>
  </si>
  <si>
    <t>scriptが埋め込まれているため</t>
    <rPh sb="7" eb="8">
      <t>ウ</t>
    </rPh>
    <rPh sb="9" eb="10">
      <t>コ</t>
    </rPh>
    <phoneticPr fontId="1"/>
  </si>
  <si>
    <t>読み込んだHTMLファイルの内容をエスケープ処理を行う</t>
    <rPh sb="0" eb="1">
      <t>ヨ</t>
    </rPh>
    <rPh sb="2" eb="3">
      <t>コ</t>
    </rPh>
    <rPh sb="14" eb="16">
      <t>ナイヨウ</t>
    </rPh>
    <rPh sb="22" eb="24">
      <t>ショリ</t>
    </rPh>
    <rPh sb="25" eb="26">
      <t>オコナ</t>
    </rPh>
    <phoneticPr fontId="1"/>
  </si>
  <si>
    <t>2</t>
    <phoneticPr fontId="1"/>
  </si>
  <si>
    <t>HTMLがコメントアウトされ一つのスクリプトになるような投稿を複数回に分けて実行した</t>
    <rPh sb="14" eb="15">
      <t>ヒト</t>
    </rPh>
    <rPh sb="28" eb="30">
      <t>トウコウ</t>
    </rPh>
    <rPh sb="31" eb="34">
      <t>フクスウカイ</t>
    </rPh>
    <rPh sb="35" eb="36">
      <t>ワ</t>
    </rPh>
    <rPh sb="38" eb="40">
      <t>ジッコウ</t>
    </rPh>
    <phoneticPr fontId="1"/>
  </si>
  <si>
    <t>3-1</t>
    <phoneticPr fontId="1"/>
  </si>
  <si>
    <t>リクエストから取得したトークンを、アップロードの画像ファイルに含めて、指定のURLに送出している</t>
    <rPh sb="7" eb="9">
      <t>シュトク</t>
    </rPh>
    <rPh sb="24" eb="26">
      <t>ガゾウ</t>
    </rPh>
    <rPh sb="31" eb="32">
      <t>フク</t>
    </rPh>
    <rPh sb="35" eb="37">
      <t>シテイ</t>
    </rPh>
    <rPh sb="42" eb="44">
      <t>ソウシュツ</t>
    </rPh>
    <phoneticPr fontId="1"/>
  </si>
  <si>
    <t>3-2</t>
    <phoneticPr fontId="1"/>
  </si>
  <si>
    <t>表示された画面の画像データをダウンロードして、内容に含まれるトークンを取得する</t>
    <rPh sb="0" eb="2">
      <t>ヒョウジ</t>
    </rPh>
    <rPh sb="5" eb="7">
      <t>ガメン</t>
    </rPh>
    <rPh sb="8" eb="10">
      <t>ガゾウ</t>
    </rPh>
    <rPh sb="23" eb="25">
      <t>ナイヨウ</t>
    </rPh>
    <rPh sb="26" eb="27">
      <t>フク</t>
    </rPh>
    <rPh sb="35" eb="37">
      <t>シュトク</t>
    </rPh>
    <phoneticPr fontId="1"/>
  </si>
  <si>
    <t>3-3</t>
    <phoneticPr fontId="1"/>
  </si>
  <si>
    <t>ECサイトにログインして、Qアプリを操作する</t>
    <rPh sb="18" eb="20">
      <t>ソウサ</t>
    </rPh>
    <phoneticPr fontId="1"/>
  </si>
  <si>
    <t>4</t>
    <phoneticPr fontId="1"/>
  </si>
  <si>
    <t>スクリプトと別ドメインのURLに対してcookieが送られない仕組み</t>
    <rPh sb="6" eb="7">
      <t>ベツ</t>
    </rPh>
    <rPh sb="16" eb="17">
      <t>タイ</t>
    </rPh>
    <rPh sb="26" eb="27">
      <t>オク</t>
    </rPh>
    <rPh sb="31" eb="33">
      <t>シク</t>
    </rPh>
    <phoneticPr fontId="1"/>
  </si>
  <si>
    <t>見直し</t>
    <rPh sb="0" eb="2">
      <t>ミナオ</t>
    </rPh>
    <phoneticPr fontId="1"/>
  </si>
  <si>
    <t>VCSにコミット</t>
    <phoneticPr fontId="1"/>
  </si>
  <si>
    <t>ソースコードを自動的にコンパイルする目的</t>
    <rPh sb="7" eb="10">
      <t>ジドウテキ</t>
    </rPh>
    <rPh sb="18" eb="20">
      <t>モクテキ</t>
    </rPh>
    <phoneticPr fontId="1"/>
  </si>
  <si>
    <t>VCSではリポジトリで管理</t>
    <rPh sb="11" eb="13">
      <t>カンリ</t>
    </rPh>
    <phoneticPr fontId="1"/>
  </si>
  <si>
    <t>ci.shシェル</t>
    <phoneticPr fontId="1"/>
  </si>
  <si>
    <t>ビルドを実行するシェルに設定するEB</t>
    <rPh sb="4" eb="6">
      <t>ジッコウ</t>
    </rPh>
    <rPh sb="12" eb="14">
      <t>セッテイ</t>
    </rPh>
    <phoneticPr fontId="1"/>
  </si>
  <si>
    <t>サービス利用者が登録する機能</t>
    <rPh sb="4" eb="7">
      <t>リヨウシャ</t>
    </rPh>
    <rPh sb="8" eb="10">
      <t>トウロク</t>
    </rPh>
    <rPh sb="12" eb="14">
      <t>キノウ</t>
    </rPh>
    <phoneticPr fontId="1"/>
  </si>
  <si>
    <t>生体認証の認証あとに、認証に用いる情報に含まれるオリジンおよび署名をサーバーが確認する仕組み</t>
    <rPh sb="0" eb="4">
      <t>セイタイニンショウ</t>
    </rPh>
    <rPh sb="5" eb="7">
      <t>ニンショウ</t>
    </rPh>
    <rPh sb="11" eb="13">
      <t>ニンショウ</t>
    </rPh>
    <rPh sb="14" eb="15">
      <t>モチ</t>
    </rPh>
    <rPh sb="17" eb="19">
      <t>ジョウホウ</t>
    </rPh>
    <rPh sb="20" eb="21">
      <t>フク</t>
    </rPh>
    <rPh sb="31" eb="33">
      <t>ショメイ</t>
    </rPh>
    <rPh sb="39" eb="41">
      <t>カクニン</t>
    </rPh>
    <rPh sb="43" eb="45">
      <t>シク</t>
    </rPh>
    <phoneticPr fontId="1"/>
  </si>
  <si>
    <t>認証用APIキーを削除する</t>
    <rPh sb="0" eb="2">
      <t>ニンショウ</t>
    </rPh>
    <rPh sb="2" eb="3">
      <t>ヨウ</t>
    </rPh>
    <rPh sb="9" eb="11">
      <t>サクジョ</t>
    </rPh>
    <phoneticPr fontId="1"/>
  </si>
  <si>
    <t>W社地域運送会社</t>
    <rPh sb="1" eb="2">
      <t>シャ</t>
    </rPh>
    <rPh sb="2" eb="8">
      <t>チイキウンソウカイシャ</t>
    </rPh>
    <phoneticPr fontId="1"/>
  </si>
  <si>
    <t>本社事務所と倉庫</t>
    <rPh sb="0" eb="2">
      <t>ホンシャ</t>
    </rPh>
    <rPh sb="2" eb="5">
      <t>ジムショ</t>
    </rPh>
    <rPh sb="6" eb="8">
      <t>ソウコ</t>
    </rPh>
    <phoneticPr fontId="1"/>
  </si>
  <si>
    <t>G百貨店SaaSに登録</t>
    <rPh sb="1" eb="4">
      <t>ヒャッカテン</t>
    </rPh>
    <rPh sb="9" eb="11">
      <t>トウロク</t>
    </rPh>
    <phoneticPr fontId="1"/>
  </si>
  <si>
    <t>在庫管理</t>
    <rPh sb="0" eb="4">
      <t>ザイコカンリ</t>
    </rPh>
    <phoneticPr fontId="1"/>
  </si>
  <si>
    <t>Z情報</t>
    <rPh sb="1" eb="3">
      <t>ジョウホウ</t>
    </rPh>
    <phoneticPr fontId="1"/>
  </si>
  <si>
    <t>配送管理SaaS</t>
    <rPh sb="0" eb="2">
      <t>ハイソウ</t>
    </rPh>
    <rPh sb="2" eb="4">
      <t>カンリ</t>
    </rPh>
    <phoneticPr fontId="1"/>
  </si>
  <si>
    <t>配送の情報</t>
    <rPh sb="0" eb="2">
      <t>ハイソウ</t>
    </rPh>
    <rPh sb="3" eb="5">
      <t>ジョウホウ</t>
    </rPh>
    <phoneticPr fontId="1"/>
  </si>
  <si>
    <t>ランサム</t>
    <phoneticPr fontId="1"/>
  </si>
  <si>
    <t>セキュリティコンサルE社に依頼い</t>
    <rPh sb="11" eb="12">
      <t>シャ</t>
    </rPh>
    <rPh sb="13" eb="15">
      <t>イライ</t>
    </rPh>
    <phoneticPr fontId="1"/>
  </si>
  <si>
    <t>リスクアセスメントの開始</t>
    <rPh sb="10" eb="12">
      <t>カイシ</t>
    </rPh>
    <phoneticPr fontId="1"/>
  </si>
  <si>
    <t>時刻同期のワンタイムパスワードによる認証</t>
    <rPh sb="0" eb="4">
      <t>ジコクドウキ</t>
    </rPh>
    <rPh sb="18" eb="20">
      <t>ニンショウ</t>
    </rPh>
    <phoneticPr fontId="1"/>
  </si>
  <si>
    <t>ログインを許可するアクセス元IPアドレス</t>
    <rPh sb="5" eb="7">
      <t>キョカ</t>
    </rPh>
    <rPh sb="13" eb="14">
      <t>モト</t>
    </rPh>
    <phoneticPr fontId="1"/>
  </si>
  <si>
    <t>ログインを許さないIPアドレス</t>
    <rPh sb="5" eb="6">
      <t>ユル</t>
    </rPh>
    <phoneticPr fontId="1"/>
  </si>
  <si>
    <t>契約ごとに設定される操作ログを参照すること</t>
    <rPh sb="0" eb="2">
      <t>ケイヤク</t>
    </rPh>
    <rPh sb="5" eb="7">
      <t>セッテイ</t>
    </rPh>
    <rPh sb="10" eb="12">
      <t>ソウサ</t>
    </rPh>
    <rPh sb="15" eb="17">
      <t>サンショウ</t>
    </rPh>
    <phoneticPr fontId="1"/>
  </si>
  <si>
    <t>スマートで脆弱性プログラムの適用は遅滞なく</t>
    <rPh sb="5" eb="8">
      <t>ゼイジャクセイ</t>
    </rPh>
    <rPh sb="14" eb="16">
      <t>テキヨウ</t>
    </rPh>
    <rPh sb="17" eb="19">
      <t>チタイ</t>
    </rPh>
    <phoneticPr fontId="1"/>
  </si>
  <si>
    <t>リスク源</t>
    <rPh sb="3" eb="4">
      <t>ミナモト</t>
    </rPh>
    <phoneticPr fontId="1"/>
  </si>
  <si>
    <t>被害の大きさ</t>
    <rPh sb="0" eb="2">
      <t>ヒガイ</t>
    </rPh>
    <rPh sb="3" eb="4">
      <t>オオ</t>
    </rPh>
    <phoneticPr fontId="1"/>
  </si>
  <si>
    <t>1</t>
    <phoneticPr fontId="1"/>
  </si>
  <si>
    <t>リスクアセスメントを進めるとして</t>
    <rPh sb="10" eb="11">
      <t>スス</t>
    </rPh>
    <phoneticPr fontId="1"/>
  </si>
  <si>
    <t>設定状況を</t>
    <rPh sb="0" eb="4">
      <t>セッテイジョウキョウ</t>
    </rPh>
    <phoneticPr fontId="1"/>
  </si>
  <si>
    <t>ア: 10, 11, 12, 13</t>
    <phoneticPr fontId="1"/>
  </si>
  <si>
    <t>イ: 大</t>
    <rPh sb="3" eb="4">
      <t>オオ</t>
    </rPh>
    <phoneticPr fontId="1"/>
  </si>
  <si>
    <t>ウ: C</t>
    <phoneticPr fontId="1"/>
  </si>
  <si>
    <t>エ: Sサービスにアクセス可能なIPアドレスをW社のもののみに制限する</t>
    <rPh sb="13" eb="15">
      <t>カノウ</t>
    </rPh>
    <rPh sb="24" eb="25">
      <t>シャ</t>
    </rPh>
    <rPh sb="31" eb="33">
      <t>セイゲン</t>
    </rPh>
    <phoneticPr fontId="1"/>
  </si>
  <si>
    <t>2-1</t>
    <phoneticPr fontId="1"/>
  </si>
  <si>
    <t>サイバー攻撃</t>
    <rPh sb="4" eb="6">
      <t>コウゲキ</t>
    </rPh>
    <phoneticPr fontId="1"/>
  </si>
  <si>
    <t>IDとPWがターゲット</t>
    <phoneticPr fontId="1"/>
  </si>
  <si>
    <t>あ：配送員に未知のマルウェアをダウンロードするURLを仕込んだメールを送付して、未知のマルウェアより配送員のアカウントを取得、攻撃者に送出する</t>
    <rPh sb="2" eb="5">
      <t>ハイソウイン</t>
    </rPh>
    <rPh sb="6" eb="8">
      <t>ミチ</t>
    </rPh>
    <rPh sb="27" eb="29">
      <t>シコ</t>
    </rPh>
    <rPh sb="35" eb="37">
      <t>ソウフ</t>
    </rPh>
    <rPh sb="40" eb="42">
      <t>ミチ</t>
    </rPh>
    <rPh sb="50" eb="53">
      <t>ハイソウイン</t>
    </rPh>
    <rPh sb="60" eb="62">
      <t>シュトク</t>
    </rPh>
    <rPh sb="63" eb="66">
      <t>コウゲキシャ</t>
    </rPh>
    <rPh sb="67" eb="69">
      <t>ソウシュツ</t>
    </rPh>
    <phoneticPr fontId="1"/>
  </si>
  <si>
    <t>い：未知のマルウェアより取得したIDとパスワードを用いて、攻撃者がSサービスにログインして、Z情報を取得する。</t>
    <rPh sb="2" eb="4">
      <t>ミチ</t>
    </rPh>
    <rPh sb="12" eb="14">
      <t>シュトク</t>
    </rPh>
    <rPh sb="25" eb="26">
      <t>モチ</t>
    </rPh>
    <rPh sb="29" eb="32">
      <t>コウゲキシャ</t>
    </rPh>
    <rPh sb="47" eb="49">
      <t>ジョウホウ</t>
    </rPh>
    <rPh sb="50" eb="52">
      <t>シュトク</t>
    </rPh>
    <phoneticPr fontId="1"/>
  </si>
  <si>
    <t>う：2, 4, 5, 9</t>
    <phoneticPr fontId="1"/>
  </si>
  <si>
    <t>え: 大</t>
    <rPh sb="3" eb="4">
      <t>ダイ</t>
    </rPh>
    <phoneticPr fontId="1"/>
  </si>
  <si>
    <t>お: 低い</t>
    <rPh sb="3" eb="4">
      <t>ヒク</t>
    </rPh>
    <phoneticPr fontId="1"/>
  </si>
  <si>
    <t>か: C</t>
    <phoneticPr fontId="1"/>
  </si>
  <si>
    <t>2-2</t>
    <phoneticPr fontId="1"/>
  </si>
  <si>
    <t>き: すべてのPCとサーバーにアノマリ検知型のマルウェア対策ソフトを導入する</t>
    <rPh sb="19" eb="21">
      <t>ケンチ</t>
    </rPh>
    <rPh sb="21" eb="22">
      <t>カタ</t>
    </rPh>
    <rPh sb="28" eb="30">
      <t>タイサク</t>
    </rPh>
    <rPh sb="34" eb="36">
      <t>ドウニュウ</t>
    </rPh>
    <phoneticPr fontId="1"/>
  </si>
  <si>
    <t>3</t>
    <phoneticPr fontId="1"/>
  </si>
  <si>
    <t>a: 5, 10, 11</t>
    <phoneticPr fontId="1"/>
  </si>
  <si>
    <t>b: 2, 3, 4</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</si>
</sst>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9"/>
  <sheetViews>
    <sheetView tabSelected="1" workbookViewId="0">
      <selection activeCell="G8" sqref="G8"/>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19</v>
      </c>
      <c r="D2">
        <v>82</v>
      </c>
      <c r="E2">
        <v>100</v>
      </c>
    </row>
    <row r="3" spans="1:6">
      <c r="A3">
        <v>2</v>
      </c>
      <c r="B3" s="2" t="s">
        <v>12</v>
      </c>
      <c r="C3" s="2" t="s">
        <v>56</v>
      </c>
      <c r="D3">
        <v>40</v>
      </c>
      <c r="E3">
        <v>50</v>
      </c>
    </row>
    <row r="4" spans="1:6">
      <c r="A4">
        <v>3</v>
      </c>
      <c r="B4" s="2" t="s">
        <v>12</v>
      </c>
      <c r="C4" s="2" t="s">
        <v>70</v>
      </c>
      <c r="D4">
        <v>46</v>
      </c>
      <c r="E4">
        <v>50</v>
      </c>
    </row>
    <row r="5" spans="1:6">
      <c r="A5">
        <v>4</v>
      </c>
      <c r="B5" s="2" t="s">
        <v>161</v>
      </c>
      <c r="C5" s="2" t="s">
        <v>162</v>
      </c>
      <c r="D5">
        <v>32</v>
      </c>
      <c r="E5">
        <v>50</v>
      </c>
    </row>
    <row r="6" spans="1:6">
      <c r="A6">
        <v>5</v>
      </c>
      <c r="B6" s="2" t="s">
        <v>161</v>
      </c>
      <c r="C6" s="2" t="s">
        <v>163</v>
      </c>
      <c r="D6">
        <v>29</v>
      </c>
      <c r="E6">
        <v>50</v>
      </c>
    </row>
    <row r="7" spans="1:6">
      <c r="A7">
        <v>6</v>
      </c>
      <c r="B7" s="2" t="s">
        <v>161</v>
      </c>
      <c r="C7" s="2" t="s">
        <v>163</v>
      </c>
      <c r="D7">
        <v>25</v>
      </c>
      <c r="E7">
        <v>50</v>
      </c>
    </row>
    <row r="8" spans="1:6">
      <c r="A8">
        <v>7</v>
      </c>
      <c r="B8" s="2" t="s">
        <v>161</v>
      </c>
      <c r="C8" s="2" t="s">
        <v>162</v>
      </c>
      <c r="D8">
        <v>43</v>
      </c>
      <c r="E8">
        <v>50</v>
      </c>
    </row>
    <row r="9" spans="1:6">
      <c r="A9">
        <v>8</v>
      </c>
      <c r="B9" s="2" t="s">
        <v>161</v>
      </c>
      <c r="C9" s="2" t="s">
        <v>163</v>
      </c>
      <c r="D9">
        <v>36</v>
      </c>
      <c r="E9">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28A4C-D5A9-4E32-A16F-7B0F8BD0916D}">
  <sheetPr codeName="Sheet4"/>
  <dimension ref="A1:G167"/>
  <sheetViews>
    <sheetView zoomScale="85" zoomScaleNormal="85" workbookViewId="0">
      <pane xSplit="1" ySplit="3" topLeftCell="B26" activePane="bottomRight" state="frozen"/>
      <selection pane="topRight" activeCell="B1" sqref="B1"/>
      <selection pane="bottomLeft" activeCell="A4" sqref="A4"/>
      <selection pane="bottomRight" activeCell="D43" sqref="D43"/>
    </sheetView>
  </sheetViews>
  <sheetFormatPr defaultRowHeight="18.75"/>
  <cols>
    <col min="1" max="1" width="9" style="2"/>
    <col min="2" max="2" width="58.125" style="1" customWidth="1"/>
    <col min="3" max="3" width="9.75" customWidth="1"/>
  </cols>
  <sheetData>
    <row r="1" spans="1:7">
      <c r="A1" s="2" t="s">
        <v>0</v>
      </c>
      <c r="B1" s="1" t="s">
        <v>13</v>
      </c>
    </row>
    <row r="2" spans="1:7">
      <c r="A2" s="2" t="s">
        <v>2</v>
      </c>
      <c r="B2" s="3" t="s">
        <v>20</v>
      </c>
      <c r="D2">
        <f>SUM(D4:D1000)</f>
        <v>82</v>
      </c>
      <c r="E2">
        <f>SUM(E4:E1000)</f>
        <v>100</v>
      </c>
    </row>
    <row r="3" spans="1:7">
      <c r="A3" s="2" t="s">
        <v>1</v>
      </c>
      <c r="B3" s="1" t="s">
        <v>3</v>
      </c>
      <c r="C3" t="s">
        <v>6</v>
      </c>
      <c r="D3" t="s">
        <v>4</v>
      </c>
      <c r="E3" t="s">
        <v>5</v>
      </c>
    </row>
    <row r="4" spans="1:7">
      <c r="A4" s="2" t="s">
        <v>21</v>
      </c>
      <c r="B4" s="1" t="s">
        <v>30</v>
      </c>
      <c r="C4">
        <f>IF(B4&lt;&gt;"",LEN(B4),"")</f>
        <v>3</v>
      </c>
      <c r="D4">
        <f>E4*F4</f>
        <v>2</v>
      </c>
      <c r="E4">
        <v>2</v>
      </c>
      <c r="F4">
        <v>1</v>
      </c>
      <c r="G4" t="s">
        <v>14</v>
      </c>
    </row>
    <row r="5" spans="1:7">
      <c r="B5" s="1" t="s">
        <v>29</v>
      </c>
      <c r="C5">
        <f t="shared" ref="C5:C68" si="0">IF(B5&lt;&gt;"",LEN(B5),"")</f>
        <v>3</v>
      </c>
      <c r="D5">
        <f t="shared" ref="D5:D27" si="1">E5*F5</f>
        <v>2</v>
      </c>
      <c r="E5">
        <v>2</v>
      </c>
      <c r="F5">
        <v>1</v>
      </c>
      <c r="G5" t="s">
        <v>15</v>
      </c>
    </row>
    <row r="6" spans="1:7">
      <c r="B6" s="1" t="s">
        <v>28</v>
      </c>
      <c r="C6">
        <f t="shared" si="0"/>
        <v>3</v>
      </c>
      <c r="D6">
        <f t="shared" si="1"/>
        <v>2</v>
      </c>
      <c r="E6">
        <v>2</v>
      </c>
      <c r="F6">
        <v>1</v>
      </c>
      <c r="G6" t="s">
        <v>16</v>
      </c>
    </row>
    <row r="7" spans="1:7">
      <c r="B7" s="1" t="s">
        <v>27</v>
      </c>
      <c r="C7">
        <f t="shared" si="0"/>
        <v>3</v>
      </c>
      <c r="D7">
        <f t="shared" si="1"/>
        <v>2</v>
      </c>
      <c r="E7">
        <v>2</v>
      </c>
      <c r="F7">
        <v>1</v>
      </c>
      <c r="G7" t="s">
        <v>17</v>
      </c>
    </row>
    <row r="8" spans="1:7">
      <c r="B8" s="1" t="s">
        <v>26</v>
      </c>
      <c r="C8">
        <f t="shared" si="0"/>
        <v>3</v>
      </c>
      <c r="D8">
        <f t="shared" si="1"/>
        <v>2</v>
      </c>
      <c r="E8">
        <v>2</v>
      </c>
      <c r="F8">
        <v>1</v>
      </c>
      <c r="G8" t="s">
        <v>18</v>
      </c>
    </row>
    <row r="9" spans="1:7">
      <c r="B9" s="1" t="s">
        <v>25</v>
      </c>
      <c r="C9">
        <f t="shared" si="0"/>
        <v>3</v>
      </c>
      <c r="D9">
        <f t="shared" si="1"/>
        <v>2</v>
      </c>
      <c r="E9">
        <v>2</v>
      </c>
      <c r="F9">
        <v>1</v>
      </c>
    </row>
    <row r="10" spans="1:7">
      <c r="B10" s="1" t="s">
        <v>24</v>
      </c>
      <c r="C10">
        <f t="shared" si="0"/>
        <v>3</v>
      </c>
      <c r="D10">
        <f t="shared" si="1"/>
        <v>2</v>
      </c>
      <c r="E10">
        <v>2</v>
      </c>
      <c r="F10">
        <v>1</v>
      </c>
    </row>
    <row r="11" spans="1:7">
      <c r="B11" s="1" t="s">
        <v>23</v>
      </c>
      <c r="C11">
        <f t="shared" si="0"/>
        <v>3</v>
      </c>
      <c r="D11">
        <f t="shared" si="1"/>
        <v>2</v>
      </c>
      <c r="E11">
        <v>2</v>
      </c>
      <c r="F11">
        <v>1</v>
      </c>
    </row>
    <row r="12" spans="1:7">
      <c r="B12" s="1" t="s">
        <v>22</v>
      </c>
      <c r="C12">
        <f t="shared" si="0"/>
        <v>3</v>
      </c>
      <c r="D12">
        <f t="shared" si="1"/>
        <v>2</v>
      </c>
      <c r="E12">
        <v>2</v>
      </c>
      <c r="F12">
        <v>1</v>
      </c>
    </row>
    <row r="13" spans="1:7">
      <c r="A13" s="2" t="s">
        <v>31</v>
      </c>
      <c r="B13" s="1" t="s">
        <v>32</v>
      </c>
      <c r="C13">
        <f t="shared" si="0"/>
        <v>3</v>
      </c>
      <c r="D13">
        <f t="shared" si="1"/>
        <v>2</v>
      </c>
      <c r="E13">
        <v>2</v>
      </c>
      <c r="F13">
        <v>1</v>
      </c>
    </row>
    <row r="14" spans="1:7">
      <c r="B14" s="1" t="s">
        <v>33</v>
      </c>
      <c r="C14">
        <f t="shared" si="0"/>
        <v>3</v>
      </c>
      <c r="D14">
        <f t="shared" si="1"/>
        <v>2</v>
      </c>
      <c r="E14">
        <v>2</v>
      </c>
      <c r="F14">
        <v>1</v>
      </c>
    </row>
    <row r="15" spans="1:7">
      <c r="A15" s="4"/>
      <c r="B15" s="5" t="s">
        <v>34</v>
      </c>
      <c r="C15" s="6">
        <f t="shared" si="0"/>
        <v>3</v>
      </c>
      <c r="D15" s="6">
        <f t="shared" si="1"/>
        <v>0</v>
      </c>
      <c r="E15" s="6">
        <v>2</v>
      </c>
      <c r="F15" s="6">
        <v>0</v>
      </c>
    </row>
    <row r="16" spans="1:7" ht="112.5">
      <c r="A16" s="2" t="s">
        <v>35</v>
      </c>
      <c r="B16" s="1" t="s">
        <v>36</v>
      </c>
      <c r="C16">
        <f t="shared" si="0"/>
        <v>111</v>
      </c>
      <c r="D16">
        <f t="shared" si="1"/>
        <v>6</v>
      </c>
      <c r="E16">
        <v>6</v>
      </c>
      <c r="F16">
        <v>1</v>
      </c>
    </row>
    <row r="17" spans="1:6">
      <c r="A17" s="2" t="s">
        <v>37</v>
      </c>
      <c r="B17" s="1" t="s">
        <v>38</v>
      </c>
      <c r="C17">
        <f t="shared" si="0"/>
        <v>10</v>
      </c>
      <c r="D17">
        <f t="shared" si="1"/>
        <v>6</v>
      </c>
      <c r="E17">
        <v>6</v>
      </c>
      <c r="F17">
        <v>1</v>
      </c>
    </row>
    <row r="18" spans="1:6">
      <c r="B18" s="1" t="s">
        <v>39</v>
      </c>
      <c r="C18">
        <f t="shared" si="0"/>
        <v>8</v>
      </c>
      <c r="D18">
        <f t="shared" si="1"/>
        <v>6</v>
      </c>
      <c r="E18">
        <v>6</v>
      </c>
      <c r="F18">
        <v>1</v>
      </c>
    </row>
    <row r="19" spans="1:6">
      <c r="B19" s="1" t="s">
        <v>40</v>
      </c>
      <c r="C19">
        <f t="shared" si="0"/>
        <v>8</v>
      </c>
      <c r="D19">
        <f t="shared" si="1"/>
        <v>6</v>
      </c>
      <c r="E19">
        <v>6</v>
      </c>
      <c r="F19">
        <v>1</v>
      </c>
    </row>
    <row r="20" spans="1:6">
      <c r="A20" s="2" t="s">
        <v>41</v>
      </c>
      <c r="B20" s="1" t="s">
        <v>42</v>
      </c>
      <c r="C20">
        <f t="shared" si="0"/>
        <v>4</v>
      </c>
      <c r="D20">
        <f t="shared" si="1"/>
        <v>3</v>
      </c>
      <c r="E20">
        <v>3</v>
      </c>
      <c r="F20">
        <v>1</v>
      </c>
    </row>
    <row r="21" spans="1:6">
      <c r="A21" s="4"/>
      <c r="B21" s="5" t="s">
        <v>43</v>
      </c>
      <c r="C21" s="6">
        <f t="shared" si="0"/>
        <v>4</v>
      </c>
      <c r="D21" s="6">
        <f t="shared" si="1"/>
        <v>0</v>
      </c>
      <c r="E21" s="6">
        <v>3</v>
      </c>
      <c r="F21" s="6">
        <v>0</v>
      </c>
    </row>
    <row r="22" spans="1:6">
      <c r="A22" s="2" t="s">
        <v>44</v>
      </c>
      <c r="B22" s="1" t="s">
        <v>45</v>
      </c>
      <c r="C22">
        <f t="shared" si="0"/>
        <v>3</v>
      </c>
      <c r="D22">
        <f t="shared" si="1"/>
        <v>4</v>
      </c>
      <c r="E22">
        <v>4</v>
      </c>
      <c r="F22">
        <v>1</v>
      </c>
    </row>
    <row r="23" spans="1:6" ht="37.5">
      <c r="A23" s="4" t="s">
        <v>46</v>
      </c>
      <c r="B23" s="5" t="s">
        <v>47</v>
      </c>
      <c r="C23" s="6">
        <f t="shared" si="0"/>
        <v>34</v>
      </c>
      <c r="D23" s="6">
        <f t="shared" si="1"/>
        <v>0</v>
      </c>
      <c r="E23" s="6">
        <v>8</v>
      </c>
      <c r="F23" s="6">
        <v>0</v>
      </c>
    </row>
    <row r="24" spans="1:6" ht="37.5">
      <c r="A24" s="4" t="s">
        <v>48</v>
      </c>
      <c r="B24" s="5" t="s">
        <v>49</v>
      </c>
      <c r="C24" s="6">
        <f t="shared" si="0"/>
        <v>59</v>
      </c>
      <c r="D24" s="6">
        <f t="shared" si="1"/>
        <v>5</v>
      </c>
      <c r="E24" s="6">
        <v>10</v>
      </c>
      <c r="F24" s="6">
        <v>0.5</v>
      </c>
    </row>
    <row r="25" spans="1:6">
      <c r="A25" s="2" t="s">
        <v>50</v>
      </c>
      <c r="B25" s="1" t="s">
        <v>51</v>
      </c>
      <c r="C25">
        <f t="shared" si="0"/>
        <v>31</v>
      </c>
      <c r="D25">
        <f t="shared" si="1"/>
        <v>8</v>
      </c>
      <c r="E25">
        <v>8</v>
      </c>
      <c r="F25">
        <v>1</v>
      </c>
    </row>
    <row r="26" spans="1:6" ht="37.5">
      <c r="A26" s="2" t="s">
        <v>52</v>
      </c>
      <c r="B26" s="1" t="s">
        <v>53</v>
      </c>
      <c r="C26">
        <f t="shared" si="0"/>
        <v>32</v>
      </c>
      <c r="D26">
        <f t="shared" si="1"/>
        <v>8</v>
      </c>
      <c r="E26">
        <v>8</v>
      </c>
      <c r="F26">
        <v>1</v>
      </c>
    </row>
    <row r="27" spans="1:6">
      <c r="A27" s="2" t="s">
        <v>54</v>
      </c>
      <c r="B27" s="1" t="s">
        <v>55</v>
      </c>
      <c r="C27">
        <f t="shared" si="0"/>
        <v>23</v>
      </c>
      <c r="D27">
        <f t="shared" si="1"/>
        <v>8</v>
      </c>
      <c r="E27">
        <v>8</v>
      </c>
      <c r="F27">
        <v>1</v>
      </c>
    </row>
    <row r="28" spans="1:6">
      <c r="C28" t="str">
        <f t="shared" si="0"/>
        <v/>
      </c>
    </row>
    <row r="29" spans="1:6">
      <c r="C29" t="str">
        <f t="shared" si="0"/>
        <v/>
      </c>
    </row>
    <row r="30" spans="1:6">
      <c r="A30" s="2" t="s">
        <v>1</v>
      </c>
      <c r="B30" s="1" t="s">
        <v>3</v>
      </c>
      <c r="C30" t="s">
        <v>6</v>
      </c>
      <c r="D30" t="s">
        <v>4</v>
      </c>
      <c r="E30" t="s">
        <v>5</v>
      </c>
    </row>
    <row r="31" spans="1:6">
      <c r="A31" s="2" t="s">
        <v>31</v>
      </c>
      <c r="B31" s="1" t="s">
        <v>32</v>
      </c>
      <c r="C31">
        <f t="shared" ref="C31:C38" si="2">IF(B31&lt;&gt;"",LEN(B31),"")</f>
        <v>3</v>
      </c>
      <c r="F31">
        <v>1</v>
      </c>
    </row>
    <row r="32" spans="1:6">
      <c r="B32" s="1" t="s">
        <v>33</v>
      </c>
      <c r="C32">
        <f t="shared" si="2"/>
        <v>3</v>
      </c>
      <c r="F32">
        <v>1</v>
      </c>
    </row>
    <row r="33" spans="1:6">
      <c r="B33" s="1" t="s">
        <v>127</v>
      </c>
      <c r="C33">
        <f t="shared" si="2"/>
        <v>3</v>
      </c>
      <c r="F33">
        <v>1</v>
      </c>
    </row>
    <row r="34" spans="1:6">
      <c r="A34" s="2" t="s">
        <v>41</v>
      </c>
      <c r="B34" s="1" t="s">
        <v>42</v>
      </c>
      <c r="C34">
        <f t="shared" si="2"/>
        <v>4</v>
      </c>
      <c r="F34">
        <v>1</v>
      </c>
    </row>
    <row r="35" spans="1:6">
      <c r="B35" s="1" t="s">
        <v>128</v>
      </c>
      <c r="C35">
        <f t="shared" si="2"/>
        <v>4</v>
      </c>
      <c r="F35">
        <v>1</v>
      </c>
    </row>
    <row r="36" spans="1:6">
      <c r="A36" s="2" t="s">
        <v>44</v>
      </c>
      <c r="B36" s="1" t="s">
        <v>129</v>
      </c>
      <c r="C36">
        <f t="shared" si="2"/>
        <v>3</v>
      </c>
      <c r="F36">
        <v>1</v>
      </c>
    </row>
    <row r="37" spans="1:6" ht="37.5">
      <c r="A37" s="2" t="s">
        <v>46</v>
      </c>
      <c r="B37" s="1" t="s">
        <v>130</v>
      </c>
      <c r="C37">
        <f t="shared" si="2"/>
        <v>39</v>
      </c>
      <c r="F37">
        <v>1</v>
      </c>
    </row>
    <row r="38" spans="1:6" ht="37.5">
      <c r="A38" s="2" t="s">
        <v>48</v>
      </c>
      <c r="B38" s="1" t="s">
        <v>131</v>
      </c>
      <c r="C38">
        <f t="shared" si="2"/>
        <v>57</v>
      </c>
      <c r="F38">
        <v>1</v>
      </c>
    </row>
    <row r="39" spans="1:6">
      <c r="C39" t="str">
        <f t="shared" si="0"/>
        <v/>
      </c>
    </row>
    <row r="40" spans="1:6">
      <c r="C40" t="str">
        <f t="shared" si="0"/>
        <v/>
      </c>
    </row>
    <row r="41" spans="1:6">
      <c r="C41" t="str">
        <f t="shared" si="0"/>
        <v/>
      </c>
    </row>
    <row r="42" spans="1:6">
      <c r="C42" t="str">
        <f t="shared" si="0"/>
        <v/>
      </c>
    </row>
    <row r="43" spans="1:6">
      <c r="C43" t="str">
        <f t="shared" si="0"/>
        <v/>
      </c>
    </row>
    <row r="44" spans="1:6">
      <c r="C44" t="str">
        <f t="shared" si="0"/>
        <v/>
      </c>
    </row>
    <row r="45" spans="1:6">
      <c r="C45" t="str">
        <f t="shared" si="0"/>
        <v/>
      </c>
    </row>
    <row r="46" spans="1:6">
      <c r="C46" t="str">
        <f t="shared" si="0"/>
        <v/>
      </c>
    </row>
    <row r="47" spans="1:6">
      <c r="C47" t="str">
        <f t="shared" si="0"/>
        <v/>
      </c>
    </row>
    <row r="48" spans="1:6">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autoFilter ref="A3:G167" xr:uid="{B6F28A4C-D5A9-4E32-A16F-7B0F8BD0916D}"/>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85705-F82C-43BF-81B0-E3DE7D67D6B0}">
  <sheetPr codeName="Sheet5"/>
  <dimension ref="A1:F168"/>
  <sheetViews>
    <sheetView zoomScale="85" zoomScaleNormal="85" workbookViewId="0">
      <pane xSplit="1" ySplit="3" topLeftCell="B4" activePane="bottomRight" state="frozen"/>
      <selection pane="topRight" activeCell="B1" sqref="B1"/>
      <selection pane="bottomLeft" activeCell="A4" sqref="A4"/>
      <selection pane="bottomRight" activeCell="B25" sqref="B25"/>
    </sheetView>
  </sheetViews>
  <sheetFormatPr defaultRowHeight="18.75"/>
  <cols>
    <col min="1" max="1" width="9" style="2"/>
    <col min="2" max="2" width="53.125" style="1" customWidth="1"/>
    <col min="3" max="3" width="9.75" customWidth="1"/>
  </cols>
  <sheetData>
    <row r="1" spans="1:6">
      <c r="A1" s="2" t="s">
        <v>0</v>
      </c>
      <c r="B1" s="1" t="s">
        <v>13</v>
      </c>
    </row>
    <row r="2" spans="1:6">
      <c r="A2" s="2" t="s">
        <v>2</v>
      </c>
      <c r="B2" s="3" t="s">
        <v>57</v>
      </c>
      <c r="D2">
        <f>SUM(D4:D1001)</f>
        <v>40</v>
      </c>
      <c r="E2">
        <f>SUM(E4:E1001)</f>
        <v>50</v>
      </c>
    </row>
    <row r="3" spans="1:6">
      <c r="A3" s="2" t="s">
        <v>1</v>
      </c>
      <c r="B3" s="1" t="s">
        <v>3</v>
      </c>
      <c r="C3" t="s">
        <v>6</v>
      </c>
      <c r="D3" t="s">
        <v>4</v>
      </c>
      <c r="E3" t="s">
        <v>5</v>
      </c>
    </row>
    <row r="4" spans="1:6">
      <c r="A4" s="2" t="s">
        <v>21</v>
      </c>
      <c r="B4" s="1" t="s">
        <v>58</v>
      </c>
      <c r="C4">
        <f>IF(B4&lt;&gt;"",LEN(B4),"")</f>
        <v>4</v>
      </c>
      <c r="D4">
        <f>E4*F4</f>
        <v>4</v>
      </c>
      <c r="E4">
        <v>4</v>
      </c>
      <c r="F4">
        <v>1</v>
      </c>
    </row>
    <row r="5" spans="1:6">
      <c r="A5" s="2" t="s">
        <v>31</v>
      </c>
      <c r="B5" s="1" t="s">
        <v>59</v>
      </c>
      <c r="C5">
        <f t="shared" ref="C5:C69" si="0">IF(B5&lt;&gt;"",LEN(B5),"")</f>
        <v>2</v>
      </c>
      <c r="D5">
        <f t="shared" ref="D5:D13" si="1">E5*F5</f>
        <v>0</v>
      </c>
      <c r="E5">
        <v>4</v>
      </c>
      <c r="F5">
        <v>0</v>
      </c>
    </row>
    <row r="6" spans="1:6">
      <c r="A6" s="2" t="s">
        <v>35</v>
      </c>
      <c r="B6" s="1" t="s">
        <v>61</v>
      </c>
      <c r="C6">
        <f t="shared" si="0"/>
        <v>4</v>
      </c>
      <c r="D6">
        <f t="shared" si="1"/>
        <v>4</v>
      </c>
      <c r="E6">
        <v>4</v>
      </c>
      <c r="F6">
        <v>1</v>
      </c>
    </row>
    <row r="7" spans="1:6" ht="37.5">
      <c r="B7" s="1" t="s">
        <v>62</v>
      </c>
      <c r="C7">
        <f t="shared" si="0"/>
        <v>35</v>
      </c>
      <c r="D7">
        <f t="shared" si="1"/>
        <v>6</v>
      </c>
      <c r="E7">
        <v>6</v>
      </c>
      <c r="F7">
        <v>1</v>
      </c>
    </row>
    <row r="8" spans="1:6">
      <c r="A8" s="2" t="s">
        <v>63</v>
      </c>
      <c r="B8" s="1" t="s">
        <v>60</v>
      </c>
      <c r="C8">
        <f t="shared" si="0"/>
        <v>4</v>
      </c>
      <c r="D8">
        <f t="shared" si="1"/>
        <v>4</v>
      </c>
      <c r="E8">
        <v>4</v>
      </c>
      <c r="F8">
        <v>1</v>
      </c>
    </row>
    <row r="9" spans="1:6" ht="37.5">
      <c r="B9" s="1" t="s">
        <v>64</v>
      </c>
      <c r="C9">
        <f t="shared" si="0"/>
        <v>35</v>
      </c>
      <c r="D9">
        <f t="shared" si="1"/>
        <v>6</v>
      </c>
      <c r="E9">
        <v>6</v>
      </c>
      <c r="F9">
        <v>1</v>
      </c>
    </row>
    <row r="10" spans="1:6">
      <c r="A10" s="2" t="s">
        <v>65</v>
      </c>
      <c r="B10" s="1" t="s">
        <v>66</v>
      </c>
      <c r="C10">
        <f t="shared" si="0"/>
        <v>7</v>
      </c>
      <c r="D10">
        <f t="shared" si="1"/>
        <v>4</v>
      </c>
      <c r="E10">
        <v>4</v>
      </c>
      <c r="F10">
        <v>1</v>
      </c>
    </row>
    <row r="11" spans="1:6">
      <c r="A11" s="2" t="s">
        <v>37</v>
      </c>
      <c r="B11" s="1" t="s">
        <v>67</v>
      </c>
      <c r="C11">
        <f t="shared" si="0"/>
        <v>29</v>
      </c>
      <c r="D11">
        <f t="shared" si="1"/>
        <v>6</v>
      </c>
      <c r="E11">
        <v>6</v>
      </c>
      <c r="F11">
        <v>1</v>
      </c>
    </row>
    <row r="12" spans="1:6">
      <c r="A12" s="2" t="s">
        <v>41</v>
      </c>
      <c r="B12" s="1" t="s">
        <v>68</v>
      </c>
      <c r="C12">
        <f t="shared" si="0"/>
        <v>23</v>
      </c>
      <c r="D12">
        <f t="shared" si="1"/>
        <v>0</v>
      </c>
      <c r="E12">
        <v>6</v>
      </c>
      <c r="F12">
        <v>0</v>
      </c>
    </row>
    <row r="13" spans="1:6">
      <c r="A13" s="2" t="s">
        <v>44</v>
      </c>
      <c r="B13" s="1" t="s">
        <v>69</v>
      </c>
      <c r="C13">
        <f t="shared" si="0"/>
        <v>6</v>
      </c>
      <c r="D13">
        <f t="shared" si="1"/>
        <v>6</v>
      </c>
      <c r="E13">
        <v>6</v>
      </c>
      <c r="F13">
        <v>1</v>
      </c>
    </row>
    <row r="14" spans="1:6">
      <c r="C14" t="str">
        <f t="shared" si="0"/>
        <v/>
      </c>
    </row>
    <row r="15" spans="1:6">
      <c r="C15" t="str">
        <f t="shared" si="0"/>
        <v/>
      </c>
    </row>
    <row r="16" spans="1:6">
      <c r="C16" t="str">
        <f t="shared" si="0"/>
        <v/>
      </c>
    </row>
    <row r="17" spans="1:6">
      <c r="C17" t="str">
        <f t="shared" si="0"/>
        <v/>
      </c>
    </row>
    <row r="18" spans="1:6">
      <c r="A18" s="2" t="s">
        <v>31</v>
      </c>
      <c r="B18" s="1" t="s">
        <v>111</v>
      </c>
      <c r="C18">
        <f t="shared" si="0"/>
        <v>7</v>
      </c>
      <c r="F18">
        <v>1</v>
      </c>
    </row>
    <row r="19" spans="1:6">
      <c r="A19" s="2" t="s">
        <v>35</v>
      </c>
      <c r="B19" s="1" t="s">
        <v>61</v>
      </c>
      <c r="C19">
        <f t="shared" si="0"/>
        <v>4</v>
      </c>
      <c r="F19">
        <v>1</v>
      </c>
    </row>
    <row r="20" spans="1:6" ht="37.5">
      <c r="B20" s="1" t="s">
        <v>112</v>
      </c>
      <c r="C20">
        <f t="shared" si="0"/>
        <v>40</v>
      </c>
      <c r="F20">
        <v>1</v>
      </c>
    </row>
    <row r="21" spans="1:6">
      <c r="A21" s="2" t="s">
        <v>37</v>
      </c>
      <c r="B21" s="1" t="s">
        <v>113</v>
      </c>
      <c r="C21">
        <f t="shared" si="0"/>
        <v>27</v>
      </c>
      <c r="F21">
        <v>1</v>
      </c>
    </row>
    <row r="22" spans="1:6">
      <c r="A22" s="2" t="s">
        <v>41</v>
      </c>
      <c r="B22" s="1" t="s">
        <v>114</v>
      </c>
      <c r="C22">
        <f t="shared" si="0"/>
        <v>27</v>
      </c>
      <c r="F22">
        <v>1</v>
      </c>
    </row>
    <row r="23" spans="1:6">
      <c r="C23" t="str">
        <f t="shared" si="0"/>
        <v/>
      </c>
    </row>
    <row r="24" spans="1:6" ht="37.5">
      <c r="B24" s="1" t="s">
        <v>116</v>
      </c>
      <c r="C24">
        <f t="shared" si="0"/>
        <v>30</v>
      </c>
    </row>
    <row r="25" spans="1:6" ht="37.5">
      <c r="B25" s="1" t="s">
        <v>115</v>
      </c>
      <c r="C25">
        <f t="shared" si="0"/>
        <v>49</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F168" xr:uid="{4A185705-F82C-43BF-81B0-E3DE7D67D6B0}"/>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086DB-1AC5-4A38-8EB6-52191F3DEE12}">
  <sheetPr codeName="Sheet6"/>
  <dimension ref="A1:K168"/>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1">
      <c r="A1" s="2" t="s">
        <v>0</v>
      </c>
      <c r="B1" s="1" t="s">
        <v>13</v>
      </c>
    </row>
    <row r="2" spans="1:11">
      <c r="A2" s="2" t="s">
        <v>2</v>
      </c>
      <c r="B2" s="3" t="s">
        <v>71</v>
      </c>
      <c r="D2">
        <f>SUM(D4:D1001)</f>
        <v>46</v>
      </c>
      <c r="E2">
        <f>SUM(E4:E1001)</f>
        <v>50</v>
      </c>
    </row>
    <row r="3" spans="1:11">
      <c r="A3" s="2" t="s">
        <v>1</v>
      </c>
      <c r="B3" s="1" t="s">
        <v>3</v>
      </c>
      <c r="C3" t="s">
        <v>6</v>
      </c>
      <c r="D3" t="s">
        <v>4</v>
      </c>
      <c r="E3" t="s">
        <v>5</v>
      </c>
    </row>
    <row r="4" spans="1:11">
      <c r="A4" s="2" t="s">
        <v>80</v>
      </c>
      <c r="B4" s="1" t="s">
        <v>82</v>
      </c>
      <c r="C4">
        <f>IF(B4&lt;&gt;"",LEN(B4),"")</f>
        <v>4</v>
      </c>
      <c r="D4">
        <f>E4*F4</f>
        <v>2</v>
      </c>
      <c r="E4">
        <v>2</v>
      </c>
      <c r="F4">
        <v>1</v>
      </c>
      <c r="G4" t="s">
        <v>72</v>
      </c>
      <c r="I4" t="s">
        <v>79</v>
      </c>
      <c r="K4" t="s">
        <v>93</v>
      </c>
    </row>
    <row r="5" spans="1:11">
      <c r="B5" s="1" t="s">
        <v>81</v>
      </c>
      <c r="C5">
        <f t="shared" ref="C5:C69" si="0">IF(B5&lt;&gt;"",LEN(B5),"")</f>
        <v>4</v>
      </c>
      <c r="D5">
        <f t="shared" ref="D5:D24" si="1">E5*F5</f>
        <v>2</v>
      </c>
      <c r="E5">
        <v>2</v>
      </c>
      <c r="F5">
        <v>1</v>
      </c>
      <c r="G5" t="s">
        <v>73</v>
      </c>
      <c r="I5" t="s">
        <v>86</v>
      </c>
    </row>
    <row r="6" spans="1:11">
      <c r="B6" s="1" t="s">
        <v>83</v>
      </c>
      <c r="C6">
        <f t="shared" si="0"/>
        <v>4</v>
      </c>
      <c r="D6">
        <f t="shared" si="1"/>
        <v>2</v>
      </c>
      <c r="E6">
        <v>2</v>
      </c>
      <c r="F6">
        <v>1</v>
      </c>
      <c r="G6" t="s">
        <v>74</v>
      </c>
      <c r="I6" t="s">
        <v>87</v>
      </c>
    </row>
    <row r="7" spans="1:11" ht="37.5">
      <c r="A7" s="2" t="s">
        <v>84</v>
      </c>
      <c r="B7" s="1" t="s">
        <v>85</v>
      </c>
      <c r="C7">
        <f t="shared" si="0"/>
        <v>31</v>
      </c>
      <c r="D7">
        <f t="shared" si="1"/>
        <v>4</v>
      </c>
      <c r="E7">
        <v>4</v>
      </c>
      <c r="F7">
        <v>1</v>
      </c>
      <c r="G7" t="s">
        <v>75</v>
      </c>
      <c r="I7" t="s">
        <v>91</v>
      </c>
    </row>
    <row r="8" spans="1:11">
      <c r="A8" s="2" t="s">
        <v>31</v>
      </c>
      <c r="B8" s="1" t="s">
        <v>88</v>
      </c>
      <c r="C8">
        <f t="shared" si="0"/>
        <v>4</v>
      </c>
      <c r="D8">
        <f t="shared" si="1"/>
        <v>2</v>
      </c>
      <c r="E8">
        <v>2</v>
      </c>
      <c r="F8">
        <v>1</v>
      </c>
      <c r="G8" t="s">
        <v>76</v>
      </c>
      <c r="I8" t="s">
        <v>94</v>
      </c>
    </row>
    <row r="9" spans="1:11">
      <c r="B9" s="1" t="s">
        <v>89</v>
      </c>
      <c r="C9">
        <f t="shared" si="0"/>
        <v>4</v>
      </c>
      <c r="D9">
        <f t="shared" si="1"/>
        <v>2</v>
      </c>
      <c r="E9">
        <v>2</v>
      </c>
      <c r="F9">
        <v>1</v>
      </c>
      <c r="G9" t="s">
        <v>77</v>
      </c>
      <c r="I9" t="s">
        <v>96</v>
      </c>
    </row>
    <row r="10" spans="1:11">
      <c r="B10" s="1" t="s">
        <v>90</v>
      </c>
      <c r="C10">
        <f t="shared" si="0"/>
        <v>4</v>
      </c>
      <c r="D10">
        <f t="shared" si="1"/>
        <v>2</v>
      </c>
      <c r="E10">
        <v>2</v>
      </c>
      <c r="F10">
        <v>1</v>
      </c>
      <c r="G10" t="s">
        <v>78</v>
      </c>
    </row>
    <row r="11" spans="1:11">
      <c r="A11" s="2" t="s">
        <v>35</v>
      </c>
      <c r="B11" s="1" t="s">
        <v>92</v>
      </c>
      <c r="C11">
        <f t="shared" si="0"/>
        <v>1</v>
      </c>
      <c r="D11">
        <f t="shared" si="1"/>
        <v>2</v>
      </c>
      <c r="E11">
        <v>2</v>
      </c>
      <c r="F11">
        <v>1</v>
      </c>
    </row>
    <row r="12" spans="1:11">
      <c r="A12" s="2" t="s">
        <v>37</v>
      </c>
      <c r="B12" s="1" t="s">
        <v>95</v>
      </c>
      <c r="C12">
        <f t="shared" si="0"/>
        <v>23</v>
      </c>
      <c r="D12">
        <f t="shared" si="1"/>
        <v>4</v>
      </c>
      <c r="E12">
        <v>4</v>
      </c>
      <c r="F12">
        <v>1</v>
      </c>
    </row>
    <row r="13" spans="1:11" ht="37.5">
      <c r="A13" s="2" t="s">
        <v>41</v>
      </c>
      <c r="B13" s="1" t="s">
        <v>97</v>
      </c>
      <c r="C13">
        <f t="shared" si="0"/>
        <v>32</v>
      </c>
      <c r="D13">
        <f t="shared" si="1"/>
        <v>6</v>
      </c>
      <c r="E13">
        <v>6</v>
      </c>
      <c r="F13">
        <v>1</v>
      </c>
    </row>
    <row r="14" spans="1:11">
      <c r="A14" s="2" t="s">
        <v>44</v>
      </c>
      <c r="B14" s="1" t="s">
        <v>98</v>
      </c>
      <c r="C14">
        <f t="shared" si="0"/>
        <v>1</v>
      </c>
      <c r="D14">
        <f t="shared" si="1"/>
        <v>0</v>
      </c>
      <c r="E14">
        <v>2</v>
      </c>
      <c r="F14">
        <v>0</v>
      </c>
    </row>
    <row r="15" spans="1:11">
      <c r="A15" s="2" t="s">
        <v>99</v>
      </c>
      <c r="B15" s="1" t="s">
        <v>100</v>
      </c>
      <c r="C15">
        <f t="shared" si="0"/>
        <v>4</v>
      </c>
      <c r="D15">
        <f t="shared" si="1"/>
        <v>0</v>
      </c>
      <c r="E15">
        <v>2</v>
      </c>
      <c r="F15">
        <v>0</v>
      </c>
    </row>
    <row r="16" spans="1:11">
      <c r="B16" s="1" t="s">
        <v>101</v>
      </c>
      <c r="C16">
        <f t="shared" si="0"/>
        <v>4</v>
      </c>
      <c r="D16">
        <f t="shared" si="1"/>
        <v>2</v>
      </c>
      <c r="E16">
        <v>2</v>
      </c>
      <c r="F16">
        <v>1</v>
      </c>
    </row>
    <row r="17" spans="1:7">
      <c r="A17" s="2" t="s">
        <v>102</v>
      </c>
      <c r="B17" s="1" t="s">
        <v>103</v>
      </c>
      <c r="C17">
        <f t="shared" si="0"/>
        <v>3</v>
      </c>
      <c r="D17">
        <f t="shared" si="1"/>
        <v>2</v>
      </c>
      <c r="E17">
        <v>2</v>
      </c>
      <c r="F17">
        <v>1</v>
      </c>
    </row>
    <row r="18" spans="1:7">
      <c r="B18" s="1" t="s">
        <v>104</v>
      </c>
      <c r="C18">
        <f t="shared" si="0"/>
        <v>3</v>
      </c>
      <c r="D18">
        <f t="shared" si="1"/>
        <v>2</v>
      </c>
      <c r="E18">
        <v>2</v>
      </c>
      <c r="F18">
        <v>1</v>
      </c>
    </row>
    <row r="19" spans="1:7">
      <c r="B19" s="1" t="s">
        <v>105</v>
      </c>
      <c r="C19">
        <f t="shared" si="0"/>
        <v>20</v>
      </c>
      <c r="D19">
        <f t="shared" si="1"/>
        <v>2</v>
      </c>
      <c r="E19">
        <v>2</v>
      </c>
      <c r="F19">
        <v>1</v>
      </c>
    </row>
    <row r="20" spans="1:7">
      <c r="B20" s="1" t="s">
        <v>106</v>
      </c>
      <c r="C20">
        <f t="shared" si="0"/>
        <v>9</v>
      </c>
      <c r="D20">
        <f t="shared" si="1"/>
        <v>2</v>
      </c>
      <c r="E20">
        <v>2</v>
      </c>
      <c r="F20">
        <v>1</v>
      </c>
    </row>
    <row r="21" spans="1:7">
      <c r="B21" s="1" t="s">
        <v>107</v>
      </c>
      <c r="C21">
        <f t="shared" si="0"/>
        <v>5</v>
      </c>
      <c r="D21">
        <f t="shared" si="1"/>
        <v>2</v>
      </c>
      <c r="E21">
        <v>2</v>
      </c>
      <c r="F21">
        <v>1</v>
      </c>
    </row>
    <row r="22" spans="1:7">
      <c r="B22" s="1" t="s">
        <v>108</v>
      </c>
      <c r="C22">
        <f t="shared" si="0"/>
        <v>14</v>
      </c>
      <c r="D22">
        <f t="shared" si="1"/>
        <v>2</v>
      </c>
      <c r="E22">
        <v>2</v>
      </c>
      <c r="F22">
        <v>1</v>
      </c>
    </row>
    <row r="23" spans="1:7">
      <c r="B23" s="1" t="s">
        <v>109</v>
      </c>
      <c r="C23">
        <f t="shared" si="0"/>
        <v>6</v>
      </c>
      <c r="D23">
        <f t="shared" si="1"/>
        <v>2</v>
      </c>
      <c r="E23">
        <v>2</v>
      </c>
      <c r="F23">
        <v>1</v>
      </c>
    </row>
    <row r="24" spans="1:7">
      <c r="B24" s="1" t="s">
        <v>110</v>
      </c>
      <c r="C24">
        <f t="shared" si="0"/>
        <v>5</v>
      </c>
      <c r="D24">
        <f t="shared" si="1"/>
        <v>2</v>
      </c>
      <c r="E24">
        <v>2</v>
      </c>
      <c r="F24">
        <v>1</v>
      </c>
    </row>
    <row r="25" spans="1:7">
      <c r="C25" t="str">
        <f t="shared" si="0"/>
        <v/>
      </c>
    </row>
    <row r="26" spans="1:7">
      <c r="C26" t="str">
        <f t="shared" si="0"/>
        <v/>
      </c>
    </row>
    <row r="27" spans="1:7">
      <c r="A27" s="2" t="s">
        <v>117</v>
      </c>
      <c r="B27" s="1" t="s">
        <v>121</v>
      </c>
      <c r="C27">
        <f t="shared" si="0"/>
        <v>24</v>
      </c>
      <c r="F27">
        <v>1</v>
      </c>
      <c r="G27" t="s">
        <v>122</v>
      </c>
    </row>
    <row r="28" spans="1:7" ht="37.5">
      <c r="A28" s="2" t="s">
        <v>118</v>
      </c>
      <c r="B28" s="1" t="s">
        <v>123</v>
      </c>
      <c r="C28">
        <f t="shared" si="0"/>
        <v>32</v>
      </c>
      <c r="F28">
        <v>1</v>
      </c>
    </row>
    <row r="29" spans="1:7">
      <c r="A29" s="2" t="s">
        <v>119</v>
      </c>
      <c r="B29" s="1" t="s">
        <v>124</v>
      </c>
      <c r="C29">
        <f t="shared" si="0"/>
        <v>11</v>
      </c>
    </row>
    <row r="30" spans="1:7">
      <c r="B30" s="1" t="s">
        <v>125</v>
      </c>
      <c r="C30">
        <f t="shared" si="0"/>
        <v>1</v>
      </c>
      <c r="F30">
        <v>1</v>
      </c>
    </row>
    <row r="31" spans="1:7">
      <c r="A31" s="2" t="s">
        <v>120</v>
      </c>
      <c r="B31" s="1" t="s">
        <v>126</v>
      </c>
      <c r="C31">
        <f t="shared" si="0"/>
        <v>4</v>
      </c>
      <c r="F31">
        <v>1</v>
      </c>
    </row>
    <row r="32" spans="1:7">
      <c r="B32" s="1" t="s">
        <v>101</v>
      </c>
      <c r="C32">
        <f t="shared" si="0"/>
        <v>4</v>
      </c>
      <c r="F32">
        <v>1</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K168" xr:uid="{334086DB-1AC5-4A38-8EB6-52191F3DEE1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874-227C-492C-B90D-77DD204AD0F9}">
  <sheetPr codeName="Sheet7"/>
  <dimension ref="A1:K168"/>
  <sheetViews>
    <sheetView zoomScale="85" zoomScaleNormal="85" workbookViewId="0">
      <pane xSplit="1" ySplit="3" topLeftCell="B4"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875" style="1" customWidth="1"/>
    <col min="3" max="3" width="9.75" customWidth="1"/>
  </cols>
  <sheetData>
    <row r="1" spans="1:11">
      <c r="A1" s="2" t="s">
        <v>0</v>
      </c>
      <c r="B1" s="1" t="s">
        <v>132</v>
      </c>
    </row>
    <row r="2" spans="1:11">
      <c r="A2" s="2" t="s">
        <v>2</v>
      </c>
      <c r="B2" s="3" t="s">
        <v>133</v>
      </c>
      <c r="D2">
        <f>SUM(D4:D16)</f>
        <v>32</v>
      </c>
      <c r="E2">
        <f>SUM(E4:E1001)</f>
        <v>50</v>
      </c>
    </row>
    <row r="3" spans="1:11">
      <c r="A3" s="2" t="s">
        <v>1</v>
      </c>
      <c r="B3" s="1" t="s">
        <v>3</v>
      </c>
      <c r="C3" t="s">
        <v>6</v>
      </c>
      <c r="D3" t="s">
        <v>4</v>
      </c>
      <c r="E3" t="s">
        <v>5</v>
      </c>
    </row>
    <row r="4" spans="1:11">
      <c r="A4" s="2" t="s">
        <v>21</v>
      </c>
      <c r="B4" s="1" t="s">
        <v>45</v>
      </c>
      <c r="C4">
        <f>IF(B4&lt;&gt;"",LEN(B4),"")</f>
        <v>3</v>
      </c>
      <c r="D4">
        <f>E4*F4</f>
        <v>4</v>
      </c>
      <c r="E4">
        <v>4</v>
      </c>
      <c r="F4">
        <v>1</v>
      </c>
      <c r="G4" t="s">
        <v>134</v>
      </c>
      <c r="I4" t="s">
        <v>139</v>
      </c>
      <c r="K4" t="s">
        <v>144</v>
      </c>
    </row>
    <row r="5" spans="1:11" ht="37.5">
      <c r="A5" s="2" t="s">
        <v>31</v>
      </c>
      <c r="B5" s="1" t="s">
        <v>145</v>
      </c>
      <c r="C5">
        <f t="shared" ref="C5:C69" si="0">IF(B5&lt;&gt;"",LEN(B5),"")</f>
        <v>40</v>
      </c>
      <c r="D5">
        <f t="shared" ref="D5:D16" si="1">E5*F5</f>
        <v>3</v>
      </c>
      <c r="E5">
        <v>6</v>
      </c>
      <c r="F5">
        <v>0.5</v>
      </c>
      <c r="G5" t="s">
        <v>135</v>
      </c>
      <c r="I5" t="s">
        <v>140</v>
      </c>
      <c r="K5" t="s">
        <v>146</v>
      </c>
    </row>
    <row r="6" spans="1:11">
      <c r="A6" s="4" t="s">
        <v>35</v>
      </c>
      <c r="B6" s="1" t="s">
        <v>92</v>
      </c>
      <c r="C6">
        <f t="shared" si="0"/>
        <v>1</v>
      </c>
      <c r="D6">
        <f t="shared" si="1"/>
        <v>0</v>
      </c>
      <c r="E6">
        <v>3</v>
      </c>
      <c r="F6">
        <v>0</v>
      </c>
      <c r="G6" t="s">
        <v>136</v>
      </c>
      <c r="I6" t="s">
        <v>141</v>
      </c>
      <c r="K6" t="s">
        <v>147</v>
      </c>
    </row>
    <row r="7" spans="1:11">
      <c r="A7" s="2" t="s">
        <v>63</v>
      </c>
      <c r="B7" s="1" t="s">
        <v>92</v>
      </c>
      <c r="C7">
        <f t="shared" si="0"/>
        <v>1</v>
      </c>
      <c r="D7">
        <f t="shared" si="1"/>
        <v>3</v>
      </c>
      <c r="E7">
        <v>3</v>
      </c>
      <c r="F7">
        <v>1</v>
      </c>
      <c r="G7" t="s">
        <v>137</v>
      </c>
      <c r="I7" t="s">
        <v>142</v>
      </c>
      <c r="K7" t="s">
        <v>149</v>
      </c>
    </row>
    <row r="8" spans="1:11">
      <c r="A8" s="2" t="s">
        <v>65</v>
      </c>
      <c r="B8" s="1" t="s">
        <v>148</v>
      </c>
      <c r="C8">
        <f t="shared" si="0"/>
        <v>30</v>
      </c>
      <c r="D8">
        <f t="shared" si="1"/>
        <v>4</v>
      </c>
      <c r="E8">
        <v>4</v>
      </c>
      <c r="F8">
        <v>1</v>
      </c>
      <c r="G8" t="s">
        <v>138</v>
      </c>
      <c r="I8" t="s">
        <v>143</v>
      </c>
    </row>
    <row r="9" spans="1:11" ht="37.5">
      <c r="A9" s="2" t="s">
        <v>150</v>
      </c>
      <c r="B9" s="1" t="s">
        <v>151</v>
      </c>
      <c r="C9">
        <f t="shared" si="0"/>
        <v>49</v>
      </c>
      <c r="D9">
        <f t="shared" si="1"/>
        <v>0</v>
      </c>
      <c r="E9">
        <v>6</v>
      </c>
      <c r="F9">
        <v>0</v>
      </c>
      <c r="K9" t="s">
        <v>154</v>
      </c>
    </row>
    <row r="10" spans="1:11" ht="37.5">
      <c r="B10" s="1" t="s">
        <v>152</v>
      </c>
      <c r="C10">
        <f t="shared" si="0"/>
        <v>34</v>
      </c>
      <c r="D10">
        <f t="shared" si="1"/>
        <v>0</v>
      </c>
      <c r="K10" t="s">
        <v>155</v>
      </c>
    </row>
    <row r="11" spans="1:11">
      <c r="A11" s="2" t="s">
        <v>153</v>
      </c>
      <c r="B11" s="1" t="s">
        <v>98</v>
      </c>
      <c r="C11">
        <f t="shared" si="0"/>
        <v>1</v>
      </c>
      <c r="D11">
        <f t="shared" si="1"/>
        <v>4</v>
      </c>
      <c r="E11">
        <v>4</v>
      </c>
      <c r="F11">
        <v>1</v>
      </c>
    </row>
    <row r="12" spans="1:11" ht="37.5">
      <c r="A12" s="2" t="s">
        <v>37</v>
      </c>
      <c r="B12" s="1" t="s">
        <v>156</v>
      </c>
      <c r="C12">
        <f t="shared" si="0"/>
        <v>37</v>
      </c>
      <c r="D12">
        <f t="shared" si="1"/>
        <v>6</v>
      </c>
      <c r="E12">
        <v>6</v>
      </c>
      <c r="F12">
        <v>1</v>
      </c>
    </row>
    <row r="13" spans="1:11">
      <c r="A13" s="2" t="s">
        <v>41</v>
      </c>
      <c r="B13" s="1" t="s">
        <v>157</v>
      </c>
      <c r="C13">
        <f t="shared" si="0"/>
        <v>19</v>
      </c>
      <c r="D13">
        <f t="shared" si="1"/>
        <v>2</v>
      </c>
      <c r="E13">
        <v>4</v>
      </c>
      <c r="F13">
        <v>0.5</v>
      </c>
    </row>
    <row r="14" spans="1:11">
      <c r="A14" s="2" t="s">
        <v>44</v>
      </c>
      <c r="B14" s="1" t="s">
        <v>158</v>
      </c>
      <c r="C14">
        <f t="shared" si="0"/>
        <v>17</v>
      </c>
      <c r="D14">
        <f t="shared" si="1"/>
        <v>0</v>
      </c>
      <c r="E14">
        <v>4</v>
      </c>
      <c r="F14">
        <v>0</v>
      </c>
    </row>
    <row r="15" spans="1:11">
      <c r="A15" s="2" t="s">
        <v>99</v>
      </c>
      <c r="B15" s="1" t="s">
        <v>159</v>
      </c>
      <c r="C15">
        <f t="shared" si="0"/>
        <v>11</v>
      </c>
      <c r="D15">
        <f t="shared" si="1"/>
        <v>3</v>
      </c>
      <c r="E15">
        <v>3</v>
      </c>
      <c r="F15">
        <v>1</v>
      </c>
    </row>
    <row r="16" spans="1:11">
      <c r="B16" s="1" t="s">
        <v>160</v>
      </c>
      <c r="C16">
        <f t="shared" si="0"/>
        <v>13</v>
      </c>
      <c r="D16">
        <f t="shared" si="1"/>
        <v>3</v>
      </c>
      <c r="E16">
        <v>3</v>
      </c>
      <c r="F16">
        <v>1</v>
      </c>
    </row>
    <row r="17" spans="1:7">
      <c r="C17" t="str">
        <f t="shared" si="0"/>
        <v/>
      </c>
    </row>
    <row r="18" spans="1:7">
      <c r="C18" t="str">
        <f t="shared" si="0"/>
        <v/>
      </c>
    </row>
    <row r="19" spans="1:7">
      <c r="C19" t="str">
        <f t="shared" si="0"/>
        <v/>
      </c>
    </row>
    <row r="20" spans="1:7">
      <c r="B20" s="1" t="s">
        <v>209</v>
      </c>
      <c r="C20">
        <f t="shared" si="0"/>
        <v>3</v>
      </c>
      <c r="G20" t="s">
        <v>210</v>
      </c>
    </row>
    <row r="21" spans="1:7">
      <c r="A21" s="2" t="s">
        <v>21</v>
      </c>
      <c r="B21" s="1" t="s">
        <v>217</v>
      </c>
      <c r="C21">
        <f t="shared" si="0"/>
        <v>4</v>
      </c>
      <c r="D21">
        <v>1</v>
      </c>
    </row>
    <row r="22" spans="1:7" ht="37.5">
      <c r="A22" s="2" t="s">
        <v>31</v>
      </c>
      <c r="B22" s="1" t="s">
        <v>218</v>
      </c>
      <c r="C22">
        <f t="shared" si="0"/>
        <v>40</v>
      </c>
      <c r="D22">
        <v>1</v>
      </c>
      <c r="G22" t="s">
        <v>211</v>
      </c>
    </row>
    <row r="23" spans="1:7">
      <c r="A23" s="2" t="s">
        <v>35</v>
      </c>
      <c r="B23" s="1" t="s">
        <v>98</v>
      </c>
      <c r="C23">
        <f t="shared" si="0"/>
        <v>1</v>
      </c>
      <c r="D23">
        <v>1</v>
      </c>
      <c r="G23" t="s">
        <v>212</v>
      </c>
    </row>
    <row r="24" spans="1:7" ht="37.5">
      <c r="A24" s="2" t="s">
        <v>150</v>
      </c>
      <c r="B24" s="1" t="s">
        <v>219</v>
      </c>
      <c r="C24">
        <f t="shared" si="0"/>
        <v>34</v>
      </c>
      <c r="D24">
        <v>0</v>
      </c>
      <c r="G24" t="s">
        <v>213</v>
      </c>
    </row>
    <row r="25" spans="1:7">
      <c r="A25" s="2" t="s">
        <v>41</v>
      </c>
      <c r="B25" s="1" t="s">
        <v>220</v>
      </c>
      <c r="C25">
        <f t="shared" si="0"/>
        <v>26</v>
      </c>
      <c r="D25">
        <v>1</v>
      </c>
      <c r="G25" t="s">
        <v>214</v>
      </c>
    </row>
    <row r="26" spans="1:7">
      <c r="A26" s="2" t="s">
        <v>44</v>
      </c>
      <c r="B26" s="1" t="s">
        <v>221</v>
      </c>
      <c r="C26">
        <f t="shared" si="0"/>
        <v>13</v>
      </c>
      <c r="D26">
        <v>0</v>
      </c>
      <c r="G26" t="s">
        <v>215</v>
      </c>
    </row>
    <row r="27" spans="1:7" ht="37.5">
      <c r="B27" s="1" t="s">
        <v>222</v>
      </c>
      <c r="C27">
        <f t="shared" si="0"/>
        <v>35</v>
      </c>
      <c r="G27" t="s">
        <v>216</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7048-5CC2-4DBA-ABE7-3CC73015DE70}">
  <sheetPr codeName="Sheet8"/>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4.625" style="1" customWidth="1"/>
    <col min="3" max="3" width="9.75" customWidth="1"/>
  </cols>
  <sheetData>
    <row r="1" spans="1:11">
      <c r="A1" s="2" t="s">
        <v>0</v>
      </c>
      <c r="B1" s="1" t="s">
        <v>132</v>
      </c>
    </row>
    <row r="2" spans="1:11">
      <c r="A2" s="2" t="s">
        <v>2</v>
      </c>
      <c r="B2" s="3" t="s">
        <v>164</v>
      </c>
      <c r="D2">
        <f>SUM(D4:D17)</f>
        <v>29</v>
      </c>
      <c r="E2">
        <f>SUM(E4:E1000)</f>
        <v>50</v>
      </c>
    </row>
    <row r="3" spans="1:11">
      <c r="A3" s="2" t="s">
        <v>1</v>
      </c>
      <c r="B3" s="1" t="s">
        <v>3</v>
      </c>
      <c r="C3" t="s">
        <v>6</v>
      </c>
      <c r="D3" t="s">
        <v>4</v>
      </c>
      <c r="E3" t="s">
        <v>5</v>
      </c>
    </row>
    <row r="4" spans="1:11">
      <c r="A4" s="2" t="s">
        <v>21</v>
      </c>
      <c r="B4" s="1" t="s">
        <v>181</v>
      </c>
      <c r="C4">
        <f>IF(B4&lt;&gt;"",LEN(B4),"")</f>
        <v>13</v>
      </c>
      <c r="D4">
        <f>E4*F4</f>
        <v>3</v>
      </c>
      <c r="E4">
        <v>3</v>
      </c>
      <c r="F4">
        <v>1</v>
      </c>
      <c r="G4" t="s">
        <v>165</v>
      </c>
      <c r="I4" t="s">
        <v>172</v>
      </c>
      <c r="K4" t="s">
        <v>178</v>
      </c>
    </row>
    <row r="5" spans="1:11">
      <c r="B5" s="1" t="s">
        <v>182</v>
      </c>
      <c r="C5">
        <f t="shared" ref="C5:C68" si="0">IF(B5&lt;&gt;"",LEN(B5),"")</f>
        <v>3</v>
      </c>
      <c r="D5">
        <f t="shared" ref="D5:D17" si="1">E5*F5</f>
        <v>3</v>
      </c>
      <c r="E5">
        <v>3</v>
      </c>
      <c r="F5">
        <v>1</v>
      </c>
      <c r="G5" t="s">
        <v>166</v>
      </c>
      <c r="I5" t="s">
        <v>173</v>
      </c>
      <c r="K5" t="s">
        <v>179</v>
      </c>
    </row>
    <row r="6" spans="1:11">
      <c r="B6" s="1" t="s">
        <v>183</v>
      </c>
      <c r="C6">
        <f t="shared" si="0"/>
        <v>3</v>
      </c>
      <c r="D6">
        <f t="shared" si="1"/>
        <v>3</v>
      </c>
      <c r="E6">
        <v>3</v>
      </c>
      <c r="F6">
        <v>1</v>
      </c>
      <c r="G6" t="s">
        <v>167</v>
      </c>
      <c r="I6" t="s">
        <v>174</v>
      </c>
      <c r="K6" t="s">
        <v>180</v>
      </c>
    </row>
    <row r="7" spans="1:11">
      <c r="B7" s="1" t="s">
        <v>184</v>
      </c>
      <c r="C7">
        <f t="shared" si="0"/>
        <v>23</v>
      </c>
      <c r="D7">
        <f t="shared" si="1"/>
        <v>3</v>
      </c>
      <c r="E7">
        <v>6</v>
      </c>
      <c r="F7">
        <v>0.5</v>
      </c>
      <c r="G7" t="s">
        <v>168</v>
      </c>
      <c r="I7" t="s">
        <v>175</v>
      </c>
      <c r="K7" t="s">
        <v>197</v>
      </c>
    </row>
    <row r="8" spans="1:11" ht="37.5">
      <c r="A8" s="2" t="s">
        <v>31</v>
      </c>
      <c r="B8" s="1" t="s">
        <v>185</v>
      </c>
      <c r="C8">
        <f t="shared" si="0"/>
        <v>67</v>
      </c>
      <c r="D8">
        <f t="shared" si="1"/>
        <v>5</v>
      </c>
      <c r="E8">
        <v>5</v>
      </c>
      <c r="F8">
        <v>1</v>
      </c>
      <c r="G8" t="s">
        <v>169</v>
      </c>
      <c r="I8" t="s">
        <v>176</v>
      </c>
      <c r="K8" t="s">
        <v>198</v>
      </c>
    </row>
    <row r="9" spans="1:11" ht="37.5">
      <c r="A9" s="2" t="s">
        <v>35</v>
      </c>
      <c r="B9" s="1" t="s">
        <v>186</v>
      </c>
      <c r="C9">
        <f t="shared" si="0"/>
        <v>38</v>
      </c>
      <c r="D9">
        <f t="shared" si="1"/>
        <v>5</v>
      </c>
      <c r="E9">
        <v>5</v>
      </c>
      <c r="F9">
        <v>1</v>
      </c>
      <c r="G9" t="s">
        <v>170</v>
      </c>
      <c r="I9" t="s">
        <v>177</v>
      </c>
      <c r="K9" t="s">
        <v>199</v>
      </c>
    </row>
    <row r="10" spans="1:11">
      <c r="B10" s="1" t="s">
        <v>187</v>
      </c>
      <c r="C10">
        <f t="shared" si="0"/>
        <v>12</v>
      </c>
      <c r="D10">
        <f t="shared" si="1"/>
        <v>0</v>
      </c>
      <c r="E10">
        <v>3</v>
      </c>
      <c r="F10">
        <v>0</v>
      </c>
      <c r="G10" t="s">
        <v>171</v>
      </c>
      <c r="I10" t="s">
        <v>200</v>
      </c>
      <c r="K10" t="s">
        <v>201</v>
      </c>
    </row>
    <row r="11" spans="1:11">
      <c r="B11" s="1" t="s">
        <v>188</v>
      </c>
      <c r="C11">
        <f t="shared" si="0"/>
        <v>3</v>
      </c>
      <c r="D11">
        <f t="shared" si="1"/>
        <v>0</v>
      </c>
      <c r="E11">
        <v>3</v>
      </c>
      <c r="F11">
        <v>0</v>
      </c>
    </row>
    <row r="12" spans="1:11">
      <c r="B12" s="1" t="s">
        <v>189</v>
      </c>
      <c r="C12">
        <f t="shared" si="0"/>
        <v>3</v>
      </c>
      <c r="D12">
        <f t="shared" si="1"/>
        <v>3</v>
      </c>
      <c r="E12">
        <v>3</v>
      </c>
      <c r="F12">
        <v>1</v>
      </c>
    </row>
    <row r="13" spans="1:11">
      <c r="B13" s="1" t="s">
        <v>190</v>
      </c>
      <c r="C13">
        <f t="shared" si="0"/>
        <v>3</v>
      </c>
      <c r="D13">
        <f t="shared" si="1"/>
        <v>0</v>
      </c>
      <c r="E13">
        <v>3</v>
      </c>
      <c r="F13">
        <v>0</v>
      </c>
    </row>
    <row r="14" spans="1:11">
      <c r="B14" s="1" t="s">
        <v>191</v>
      </c>
      <c r="C14">
        <f t="shared" si="0"/>
        <v>23</v>
      </c>
      <c r="D14">
        <f t="shared" si="1"/>
        <v>0</v>
      </c>
      <c r="E14">
        <v>5</v>
      </c>
      <c r="F14">
        <v>0</v>
      </c>
    </row>
    <row r="15" spans="1:11" ht="37.5">
      <c r="B15" s="1" t="s">
        <v>192</v>
      </c>
      <c r="C15">
        <f t="shared" si="0"/>
        <v>40</v>
      </c>
      <c r="D15">
        <f t="shared" si="1"/>
        <v>0</v>
      </c>
    </row>
    <row r="16" spans="1:11">
      <c r="A16" s="2" t="s">
        <v>193</v>
      </c>
      <c r="B16" s="1" t="s">
        <v>194</v>
      </c>
      <c r="C16">
        <f t="shared" si="0"/>
        <v>12</v>
      </c>
      <c r="D16">
        <f t="shared" si="1"/>
        <v>4</v>
      </c>
      <c r="E16">
        <v>4</v>
      </c>
      <c r="F16">
        <v>1</v>
      </c>
    </row>
    <row r="17" spans="1:6">
      <c r="B17" s="1" t="s">
        <v>195</v>
      </c>
      <c r="C17">
        <f t="shared" si="0"/>
        <v>13</v>
      </c>
      <c r="D17">
        <f t="shared" si="1"/>
        <v>0</v>
      </c>
      <c r="E17">
        <v>4</v>
      </c>
      <c r="F17">
        <v>0</v>
      </c>
    </row>
    <row r="18" spans="1:6">
      <c r="C18" t="str">
        <f t="shared" si="0"/>
        <v/>
      </c>
    </row>
    <row r="19" spans="1:6">
      <c r="B19" s="1" t="s">
        <v>196</v>
      </c>
      <c r="C19">
        <f t="shared" si="0"/>
        <v>5</v>
      </c>
    </row>
    <row r="20" spans="1:6" ht="37.5">
      <c r="A20" s="2" t="s">
        <v>21</v>
      </c>
      <c r="B20" s="1" t="s">
        <v>202</v>
      </c>
      <c r="C20">
        <f t="shared" si="0"/>
        <v>42</v>
      </c>
      <c r="D20">
        <v>1</v>
      </c>
    </row>
    <row r="21" spans="1:6" ht="37.5">
      <c r="A21" s="2" t="s">
        <v>31</v>
      </c>
      <c r="B21" s="1" t="s">
        <v>203</v>
      </c>
      <c r="C21">
        <f t="shared" si="0"/>
        <v>62</v>
      </c>
      <c r="D21">
        <v>1</v>
      </c>
    </row>
    <row r="22" spans="1:6" ht="37.5">
      <c r="A22" s="2" t="s">
        <v>35</v>
      </c>
      <c r="B22" s="1" t="s">
        <v>204</v>
      </c>
      <c r="C22">
        <f t="shared" si="0"/>
        <v>68</v>
      </c>
      <c r="D22">
        <v>1</v>
      </c>
    </row>
    <row r="23" spans="1:6">
      <c r="B23" s="1" t="s">
        <v>205</v>
      </c>
      <c r="C23">
        <f t="shared" si="0"/>
        <v>9</v>
      </c>
      <c r="D23">
        <v>1</v>
      </c>
    </row>
    <row r="24" spans="1:6">
      <c r="B24" s="1" t="s">
        <v>206</v>
      </c>
      <c r="C24">
        <f t="shared" si="0"/>
        <v>3</v>
      </c>
      <c r="D24">
        <v>1</v>
      </c>
    </row>
    <row r="25" spans="1:6">
      <c r="B25" s="1" t="s">
        <v>189</v>
      </c>
      <c r="C25">
        <f t="shared" si="0"/>
        <v>3</v>
      </c>
      <c r="D25">
        <v>1</v>
      </c>
    </row>
    <row r="26" spans="1:6">
      <c r="B26" s="1" t="s">
        <v>207</v>
      </c>
      <c r="C26">
        <f t="shared" si="0"/>
        <v>3</v>
      </c>
      <c r="D26">
        <v>1</v>
      </c>
    </row>
    <row r="27" spans="1:6" ht="37.5">
      <c r="B27" s="1" t="s">
        <v>208</v>
      </c>
      <c r="C27">
        <f t="shared" si="0"/>
        <v>49</v>
      </c>
      <c r="D27">
        <v>1</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93AB-A047-4718-92F9-55CCACE70580}">
  <sheetPr codeName="Sheet9"/>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2.625" style="1" customWidth="1"/>
    <col min="3" max="3" width="9.75" customWidth="1"/>
  </cols>
  <sheetData>
    <row r="1" spans="1:13">
      <c r="A1" s="2" t="s">
        <v>0</v>
      </c>
      <c r="B1" s="1" t="s">
        <v>132</v>
      </c>
    </row>
    <row r="2" spans="1:13">
      <c r="A2" s="2" t="s">
        <v>2</v>
      </c>
      <c r="B2" s="3" t="s">
        <v>237</v>
      </c>
      <c r="D2">
        <f>SUM(D4:D12)</f>
        <v>25</v>
      </c>
      <c r="E2">
        <f>SUM(E4:E12)</f>
        <v>50</v>
      </c>
    </row>
    <row r="3" spans="1:13">
      <c r="A3" s="2" t="s">
        <v>1</v>
      </c>
      <c r="B3" s="1" t="s">
        <v>3</v>
      </c>
      <c r="C3" t="s">
        <v>6</v>
      </c>
      <c r="D3" t="s">
        <v>4</v>
      </c>
      <c r="E3" t="s">
        <v>5</v>
      </c>
    </row>
    <row r="4" spans="1:13">
      <c r="A4" s="2" t="s">
        <v>80</v>
      </c>
      <c r="B4" s="1" t="s">
        <v>92</v>
      </c>
      <c r="C4">
        <f>IF(B4&lt;&gt;"",LEN(B4),"")</f>
        <v>1</v>
      </c>
      <c r="D4">
        <f>E4*F4</f>
        <v>6</v>
      </c>
      <c r="E4">
        <v>6</v>
      </c>
      <c r="F4">
        <v>1</v>
      </c>
      <c r="G4" t="s">
        <v>223</v>
      </c>
      <c r="I4" t="s">
        <v>229</v>
      </c>
      <c r="K4" t="s">
        <v>254</v>
      </c>
      <c r="M4" t="s">
        <v>260</v>
      </c>
    </row>
    <row r="5" spans="1:13">
      <c r="A5" s="2" t="s">
        <v>84</v>
      </c>
      <c r="B5" s="1" t="s">
        <v>226</v>
      </c>
      <c r="C5">
        <f t="shared" ref="C5:C68" si="0">IF(B5&lt;&gt;"",LEN(B5),"")</f>
        <v>25</v>
      </c>
      <c r="D5">
        <f t="shared" ref="D5:D11" si="1">E5*F5</f>
        <v>0</v>
      </c>
      <c r="E5">
        <v>6</v>
      </c>
      <c r="F5">
        <v>0</v>
      </c>
      <c r="G5" t="s">
        <v>224</v>
      </c>
      <c r="I5" t="s">
        <v>230</v>
      </c>
      <c r="K5" t="s">
        <v>255</v>
      </c>
    </row>
    <row r="6" spans="1:13" ht="37.5">
      <c r="A6" s="2" t="s">
        <v>227</v>
      </c>
      <c r="B6" s="1" t="s">
        <v>228</v>
      </c>
      <c r="C6">
        <f t="shared" si="0"/>
        <v>48</v>
      </c>
      <c r="D6">
        <f t="shared" si="1"/>
        <v>4</v>
      </c>
      <c r="E6">
        <v>8</v>
      </c>
      <c r="F6">
        <v>0.5</v>
      </c>
      <c r="G6" t="s">
        <v>225</v>
      </c>
      <c r="I6" t="s">
        <v>251</v>
      </c>
      <c r="K6" t="s">
        <v>256</v>
      </c>
    </row>
    <row r="7" spans="1:13">
      <c r="A7" s="2" t="s">
        <v>37</v>
      </c>
      <c r="B7" s="1" t="s">
        <v>231</v>
      </c>
      <c r="C7">
        <f t="shared" si="0"/>
        <v>30</v>
      </c>
      <c r="D7">
        <f t="shared" si="1"/>
        <v>6</v>
      </c>
      <c r="E7">
        <v>6</v>
      </c>
      <c r="F7">
        <v>1</v>
      </c>
      <c r="G7" t="s">
        <v>262</v>
      </c>
      <c r="I7" t="s">
        <v>252</v>
      </c>
      <c r="K7" t="s">
        <v>257</v>
      </c>
    </row>
    <row r="8" spans="1:13">
      <c r="A8" s="2" t="s">
        <v>41</v>
      </c>
      <c r="B8" s="1" t="s">
        <v>232</v>
      </c>
      <c r="C8">
        <f t="shared" si="0"/>
        <v>33</v>
      </c>
      <c r="D8">
        <f t="shared" si="1"/>
        <v>6</v>
      </c>
      <c r="E8">
        <v>6</v>
      </c>
      <c r="F8">
        <v>1</v>
      </c>
      <c r="I8" t="s">
        <v>253</v>
      </c>
      <c r="K8" t="s">
        <v>258</v>
      </c>
    </row>
    <row r="9" spans="1:13">
      <c r="A9" s="2" t="s">
        <v>44</v>
      </c>
      <c r="B9" s="1" t="s">
        <v>233</v>
      </c>
      <c r="C9">
        <f t="shared" si="0"/>
        <v>23</v>
      </c>
      <c r="D9">
        <f t="shared" si="1"/>
        <v>3</v>
      </c>
      <c r="E9">
        <v>6</v>
      </c>
      <c r="F9">
        <v>0.5</v>
      </c>
      <c r="K9" t="s">
        <v>259</v>
      </c>
    </row>
    <row r="10" spans="1:13">
      <c r="A10" s="2" t="s">
        <v>234</v>
      </c>
      <c r="B10" s="1" t="s">
        <v>235</v>
      </c>
      <c r="C10">
        <f t="shared" si="0"/>
        <v>29</v>
      </c>
      <c r="D10">
        <f t="shared" si="1"/>
        <v>0</v>
      </c>
      <c r="E10">
        <v>6</v>
      </c>
      <c r="F10">
        <v>0</v>
      </c>
    </row>
    <row r="11" spans="1:13">
      <c r="B11" s="1" t="s">
        <v>236</v>
      </c>
      <c r="C11">
        <f t="shared" si="0"/>
        <v>34</v>
      </c>
      <c r="D11">
        <f t="shared" si="1"/>
        <v>0</v>
      </c>
      <c r="E11">
        <v>6</v>
      </c>
      <c r="F11">
        <v>0</v>
      </c>
    </row>
    <row r="12" spans="1:13">
      <c r="C12" t="str">
        <f t="shared" si="0"/>
        <v/>
      </c>
    </row>
    <row r="13" spans="1:13">
      <c r="A13" s="2" t="s">
        <v>250</v>
      </c>
      <c r="C13" t="str">
        <f t="shared" si="0"/>
        <v/>
      </c>
    </row>
    <row r="14" spans="1:13">
      <c r="A14" s="2" t="s">
        <v>261</v>
      </c>
      <c r="B14" s="1" t="s">
        <v>263</v>
      </c>
      <c r="C14">
        <f t="shared" si="0"/>
        <v>27</v>
      </c>
      <c r="D14">
        <v>1</v>
      </c>
    </row>
    <row r="15" spans="1:13" ht="37.5">
      <c r="A15" s="2" t="s">
        <v>264</v>
      </c>
      <c r="B15" s="1" t="s">
        <v>265</v>
      </c>
      <c r="C15">
        <f t="shared" si="0"/>
        <v>42</v>
      </c>
      <c r="D15">
        <v>0</v>
      </c>
    </row>
    <row r="16" spans="1:13" ht="37.5">
      <c r="B16" s="1" t="s">
        <v>265</v>
      </c>
      <c r="C16">
        <f t="shared" si="0"/>
        <v>42</v>
      </c>
    </row>
    <row r="17" spans="1:4" ht="37.5">
      <c r="A17" s="2" t="s">
        <v>266</v>
      </c>
      <c r="B17" s="1" t="s">
        <v>267</v>
      </c>
      <c r="C17">
        <f t="shared" si="0"/>
        <v>48</v>
      </c>
      <c r="D17">
        <v>1</v>
      </c>
    </row>
    <row r="18" spans="1:4" ht="37.5">
      <c r="A18" s="2" t="s">
        <v>268</v>
      </c>
      <c r="B18" s="1" t="s">
        <v>269</v>
      </c>
      <c r="C18">
        <f t="shared" si="0"/>
        <v>39</v>
      </c>
      <c r="D18">
        <v>1</v>
      </c>
    </row>
    <row r="19" spans="1:4">
      <c r="A19" s="2" t="s">
        <v>270</v>
      </c>
      <c r="B19" s="1" t="s">
        <v>271</v>
      </c>
      <c r="C19">
        <f t="shared" si="0"/>
        <v>22</v>
      </c>
      <c r="D19">
        <v>1</v>
      </c>
    </row>
    <row r="20" spans="1:4">
      <c r="A20" s="2" t="s">
        <v>272</v>
      </c>
      <c r="B20" s="1" t="s">
        <v>273</v>
      </c>
      <c r="C20">
        <f t="shared" si="0"/>
        <v>34</v>
      </c>
      <c r="D20">
        <v>1</v>
      </c>
    </row>
    <row r="21" spans="1:4">
      <c r="C21" t="str">
        <f t="shared" si="0"/>
        <v/>
      </c>
    </row>
    <row r="22" spans="1:4">
      <c r="C22" t="str">
        <f t="shared" si="0"/>
        <v/>
      </c>
    </row>
    <row r="23" spans="1:4">
      <c r="C23" t="str">
        <f t="shared" si="0"/>
        <v/>
      </c>
    </row>
    <row r="24" spans="1:4">
      <c r="C24" t="str">
        <f t="shared" si="0"/>
        <v/>
      </c>
    </row>
    <row r="25" spans="1:4">
      <c r="C25" t="str">
        <f t="shared" si="0"/>
        <v/>
      </c>
    </row>
    <row r="26" spans="1:4">
      <c r="C26" t="str">
        <f t="shared" si="0"/>
        <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C785A-C2EF-4617-A4E7-D5AE5B311D2D}">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L11" sqref="L11"/>
    </sheetView>
  </sheetViews>
  <sheetFormatPr defaultRowHeight="18.75"/>
  <cols>
    <col min="1" max="1" width="9" style="2"/>
    <col min="2" max="2" width="51.75" style="1" customWidth="1"/>
    <col min="3" max="3" width="9.75" customWidth="1"/>
  </cols>
  <sheetData>
    <row r="1" spans="1:11">
      <c r="A1" s="2" t="s">
        <v>0</v>
      </c>
      <c r="B1" s="1" t="s">
        <v>132</v>
      </c>
    </row>
    <row r="2" spans="1:11">
      <c r="A2" s="2" t="s">
        <v>2</v>
      </c>
      <c r="B2" s="3" t="s">
        <v>133</v>
      </c>
      <c r="D2">
        <f>SUM(D4:D16)</f>
        <v>43</v>
      </c>
      <c r="E2">
        <f>SUM(E4:E16)</f>
        <v>50</v>
      </c>
    </row>
    <row r="3" spans="1:11">
      <c r="A3" s="2" t="s">
        <v>1</v>
      </c>
      <c r="B3" s="1" t="s">
        <v>3</v>
      </c>
      <c r="C3" t="s">
        <v>6</v>
      </c>
      <c r="D3" t="s">
        <v>4</v>
      </c>
      <c r="E3" t="s">
        <v>5</v>
      </c>
    </row>
    <row r="4" spans="1:11">
      <c r="A4" s="2" t="s">
        <v>21</v>
      </c>
      <c r="B4" s="1" t="s">
        <v>45</v>
      </c>
      <c r="C4">
        <f>IF(B4&lt;&gt;"",LEN(B4),"")</f>
        <v>3</v>
      </c>
      <c r="D4">
        <f>E4*F4</f>
        <v>3</v>
      </c>
      <c r="E4">
        <v>3</v>
      </c>
      <c r="F4">
        <v>1</v>
      </c>
      <c r="G4" t="s">
        <v>134</v>
      </c>
      <c r="I4" t="s">
        <v>243</v>
      </c>
      <c r="K4" t="s">
        <v>275</v>
      </c>
    </row>
    <row r="5" spans="1:11" ht="37.5">
      <c r="A5" s="2" t="s">
        <v>31</v>
      </c>
      <c r="B5" s="1" t="s">
        <v>240</v>
      </c>
      <c r="C5">
        <f t="shared" ref="C5:C68" si="0">IF(B5&lt;&gt;"",LEN(B5),"")</f>
        <v>39</v>
      </c>
      <c r="D5">
        <f t="shared" ref="D5:D15" si="1">E5*F5</f>
        <v>5</v>
      </c>
      <c r="E5">
        <v>5</v>
      </c>
      <c r="F5">
        <v>1</v>
      </c>
      <c r="G5" t="s">
        <v>238</v>
      </c>
      <c r="I5" t="s">
        <v>244</v>
      </c>
      <c r="K5" t="s">
        <v>276</v>
      </c>
    </row>
    <row r="6" spans="1:11">
      <c r="A6" s="2" t="s">
        <v>35</v>
      </c>
      <c r="B6" s="1" t="s">
        <v>98</v>
      </c>
      <c r="C6">
        <f t="shared" si="0"/>
        <v>1</v>
      </c>
      <c r="D6">
        <f t="shared" si="1"/>
        <v>3</v>
      </c>
      <c r="E6">
        <v>3</v>
      </c>
      <c r="F6">
        <v>1</v>
      </c>
      <c r="G6" t="s">
        <v>239</v>
      </c>
      <c r="I6" t="s">
        <v>134</v>
      </c>
      <c r="K6" t="s">
        <v>277</v>
      </c>
    </row>
    <row r="7" spans="1:11">
      <c r="A7" s="2" t="s">
        <v>63</v>
      </c>
      <c r="B7" s="1" t="s">
        <v>92</v>
      </c>
      <c r="C7">
        <f t="shared" si="0"/>
        <v>1</v>
      </c>
      <c r="D7">
        <f t="shared" si="1"/>
        <v>3</v>
      </c>
      <c r="E7">
        <v>3</v>
      </c>
      <c r="F7">
        <v>1</v>
      </c>
      <c r="G7" t="s">
        <v>139</v>
      </c>
      <c r="I7" t="s">
        <v>247</v>
      </c>
      <c r="K7" t="s">
        <v>278</v>
      </c>
    </row>
    <row r="8" spans="1:11">
      <c r="A8" s="2" t="s">
        <v>65</v>
      </c>
      <c r="B8" s="1" t="s">
        <v>242</v>
      </c>
      <c r="C8">
        <f t="shared" si="0"/>
        <v>26</v>
      </c>
      <c r="D8">
        <f t="shared" si="1"/>
        <v>5</v>
      </c>
      <c r="E8">
        <v>5</v>
      </c>
      <c r="F8">
        <v>1</v>
      </c>
      <c r="G8" t="s">
        <v>241</v>
      </c>
      <c r="K8" t="s">
        <v>279</v>
      </c>
    </row>
    <row r="9" spans="1:11" ht="37.5">
      <c r="A9" s="2" t="s">
        <v>150</v>
      </c>
      <c r="B9" s="1" t="s">
        <v>222</v>
      </c>
      <c r="C9">
        <f t="shared" si="0"/>
        <v>35</v>
      </c>
      <c r="D9">
        <f t="shared" si="1"/>
        <v>0</v>
      </c>
      <c r="E9">
        <v>5</v>
      </c>
      <c r="F9">
        <v>0</v>
      </c>
      <c r="K9" t="s">
        <v>280</v>
      </c>
    </row>
    <row r="10" spans="1:11">
      <c r="A10" s="2" t="s">
        <v>153</v>
      </c>
      <c r="B10" s="1" t="s">
        <v>98</v>
      </c>
      <c r="C10">
        <f t="shared" si="0"/>
        <v>1</v>
      </c>
      <c r="D10">
        <f t="shared" si="1"/>
        <v>3</v>
      </c>
      <c r="E10">
        <v>3</v>
      </c>
      <c r="F10">
        <v>1</v>
      </c>
    </row>
    <row r="11" spans="1:11" ht="37.5">
      <c r="A11" s="2" t="s">
        <v>37</v>
      </c>
      <c r="B11" s="1" t="s">
        <v>245</v>
      </c>
      <c r="C11">
        <f t="shared" si="0"/>
        <v>44</v>
      </c>
      <c r="D11">
        <f t="shared" si="1"/>
        <v>5</v>
      </c>
      <c r="E11">
        <v>5</v>
      </c>
      <c r="F11">
        <v>1</v>
      </c>
    </row>
    <row r="12" spans="1:11">
      <c r="A12" s="2" t="s">
        <v>41</v>
      </c>
      <c r="B12" s="1" t="s">
        <v>246</v>
      </c>
      <c r="C12">
        <f t="shared" si="0"/>
        <v>13</v>
      </c>
      <c r="D12">
        <f t="shared" si="1"/>
        <v>3</v>
      </c>
      <c r="E12">
        <v>5</v>
      </c>
      <c r="F12">
        <v>0.6</v>
      </c>
    </row>
    <row r="13" spans="1:11">
      <c r="A13" s="2" t="s">
        <v>44</v>
      </c>
      <c r="B13" s="1" t="s">
        <v>248</v>
      </c>
      <c r="C13">
        <f t="shared" si="0"/>
        <v>14</v>
      </c>
      <c r="D13">
        <f t="shared" si="1"/>
        <v>5</v>
      </c>
      <c r="E13">
        <v>5</v>
      </c>
      <c r="F13">
        <v>1</v>
      </c>
    </row>
    <row r="14" spans="1:11">
      <c r="A14" s="2" t="s">
        <v>99</v>
      </c>
      <c r="B14" s="1" t="s">
        <v>159</v>
      </c>
      <c r="C14">
        <f t="shared" si="0"/>
        <v>11</v>
      </c>
      <c r="D14">
        <f t="shared" si="1"/>
        <v>4</v>
      </c>
      <c r="E14">
        <v>4</v>
      </c>
      <c r="F14">
        <v>1</v>
      </c>
    </row>
    <row r="15" spans="1:11">
      <c r="B15" s="1" t="s">
        <v>249</v>
      </c>
      <c r="C15">
        <f t="shared" si="0"/>
        <v>11</v>
      </c>
      <c r="D15">
        <f t="shared" si="1"/>
        <v>4</v>
      </c>
      <c r="E15">
        <v>4</v>
      </c>
      <c r="F15">
        <v>1</v>
      </c>
    </row>
    <row r="16" spans="1:11">
      <c r="C16" t="str">
        <f t="shared" si="0"/>
        <v/>
      </c>
    </row>
    <row r="17" spans="1:3">
      <c r="C17" t="str">
        <f t="shared" si="0"/>
        <v/>
      </c>
    </row>
    <row r="18" spans="1:3">
      <c r="C18" t="str">
        <f t="shared" si="0"/>
        <v/>
      </c>
    </row>
    <row r="19" spans="1:3">
      <c r="A19" s="2" t="s">
        <v>274</v>
      </c>
      <c r="C19" t="str">
        <f t="shared" si="0"/>
        <v/>
      </c>
    </row>
    <row r="20" spans="1:3" ht="37.5">
      <c r="A20" s="2" t="s">
        <v>150</v>
      </c>
      <c r="B20" s="1" t="s">
        <v>281</v>
      </c>
      <c r="C20">
        <f t="shared" si="0"/>
        <v>46</v>
      </c>
    </row>
    <row r="21" spans="1:3">
      <c r="A21" s="2" t="s">
        <v>41</v>
      </c>
      <c r="B21" s="1" t="s">
        <v>282</v>
      </c>
      <c r="C21">
        <f t="shared" si="0"/>
        <v>13</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AE82C-2442-499C-96BD-4505536812F2}">
  <sheetPr codeName="Sheet11"/>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F12" sqref="F12"/>
    </sheetView>
  </sheetViews>
  <sheetFormatPr defaultRowHeight="18.75"/>
  <cols>
    <col min="1" max="1" width="9" style="2"/>
    <col min="2" max="2" width="61" style="1" customWidth="1"/>
    <col min="3" max="3" width="9.75" customWidth="1"/>
  </cols>
  <sheetData>
    <row r="1" spans="1:13">
      <c r="A1" s="2" t="s">
        <v>0</v>
      </c>
      <c r="B1" s="1" t="s">
        <v>132</v>
      </c>
    </row>
    <row r="2" spans="1:13">
      <c r="A2" s="2" t="s">
        <v>2</v>
      </c>
      <c r="B2" s="3" t="s">
        <v>164</v>
      </c>
      <c r="D2">
        <f>SUM(D4:D1000)</f>
        <v>36</v>
      </c>
      <c r="E2">
        <f>SUM(E4:E1000)</f>
        <v>50</v>
      </c>
    </row>
    <row r="3" spans="1:13">
      <c r="A3" s="2" t="s">
        <v>1</v>
      </c>
      <c r="B3" s="1" t="s">
        <v>3</v>
      </c>
      <c r="C3" t="s">
        <v>6</v>
      </c>
      <c r="D3" t="s">
        <v>4</v>
      </c>
      <c r="E3" t="s">
        <v>5</v>
      </c>
    </row>
    <row r="4" spans="1:13">
      <c r="A4" s="2" t="s">
        <v>300</v>
      </c>
      <c r="B4" s="1" t="s">
        <v>303</v>
      </c>
      <c r="C4">
        <f>IF(B4&lt;&gt;"",LEN(B4),"")</f>
        <v>17</v>
      </c>
      <c r="D4">
        <f>E4*F4</f>
        <v>3</v>
      </c>
      <c r="E4">
        <v>3</v>
      </c>
      <c r="F4">
        <v>1</v>
      </c>
      <c r="G4" t="s">
        <v>283</v>
      </c>
      <c r="I4" t="s">
        <v>288</v>
      </c>
      <c r="K4" t="s">
        <v>293</v>
      </c>
      <c r="M4" t="s">
        <v>298</v>
      </c>
    </row>
    <row r="5" spans="1:13">
      <c r="B5" s="1" t="s">
        <v>304</v>
      </c>
      <c r="C5">
        <f t="shared" ref="C5:C68" si="0">IF(B5&lt;&gt;"",LEN(B5),"")</f>
        <v>4</v>
      </c>
      <c r="D5">
        <f t="shared" ref="D5:D16" si="1">E5*F5</f>
        <v>3</v>
      </c>
      <c r="E5">
        <v>3</v>
      </c>
      <c r="F5">
        <v>1</v>
      </c>
      <c r="G5" t="s">
        <v>284</v>
      </c>
      <c r="I5" t="s">
        <v>289</v>
      </c>
      <c r="K5" t="s">
        <v>294</v>
      </c>
      <c r="M5" t="s">
        <v>299</v>
      </c>
    </row>
    <row r="6" spans="1:13">
      <c r="B6" s="1" t="s">
        <v>305</v>
      </c>
      <c r="C6">
        <f t="shared" si="0"/>
        <v>4</v>
      </c>
      <c r="D6">
        <f t="shared" si="1"/>
        <v>3</v>
      </c>
      <c r="E6">
        <v>3</v>
      </c>
      <c r="F6">
        <v>1</v>
      </c>
      <c r="G6" t="s">
        <v>285</v>
      </c>
      <c r="I6" t="s">
        <v>290</v>
      </c>
      <c r="K6" t="s">
        <v>295</v>
      </c>
      <c r="M6" t="s">
        <v>298</v>
      </c>
    </row>
    <row r="7" spans="1:13">
      <c r="B7" s="1" t="s">
        <v>306</v>
      </c>
      <c r="C7">
        <f t="shared" si="0"/>
        <v>35</v>
      </c>
      <c r="D7">
        <f t="shared" si="1"/>
        <v>4</v>
      </c>
      <c r="E7">
        <v>4</v>
      </c>
      <c r="F7">
        <v>1</v>
      </c>
      <c r="G7" t="s">
        <v>286</v>
      </c>
      <c r="I7" t="s">
        <v>291</v>
      </c>
      <c r="K7" t="s">
        <v>296</v>
      </c>
      <c r="M7" t="s">
        <v>301</v>
      </c>
    </row>
    <row r="8" spans="1:13" ht="56.25">
      <c r="A8" s="2" t="s">
        <v>307</v>
      </c>
      <c r="B8" s="1" t="s">
        <v>310</v>
      </c>
      <c r="C8">
        <f t="shared" si="0"/>
        <v>71</v>
      </c>
      <c r="D8">
        <f t="shared" si="1"/>
        <v>6</v>
      </c>
      <c r="E8">
        <v>6</v>
      </c>
      <c r="F8">
        <v>1</v>
      </c>
      <c r="G8" t="s">
        <v>287</v>
      </c>
      <c r="I8" t="s">
        <v>292</v>
      </c>
      <c r="K8" t="s">
        <v>297</v>
      </c>
      <c r="M8" t="s">
        <v>302</v>
      </c>
    </row>
    <row r="9" spans="1:13" ht="37.5">
      <c r="A9" s="2" t="s">
        <v>316</v>
      </c>
      <c r="B9" s="1" t="s">
        <v>311</v>
      </c>
      <c r="C9">
        <f t="shared" si="0"/>
        <v>55</v>
      </c>
      <c r="D9">
        <f t="shared" si="1"/>
        <v>0</v>
      </c>
      <c r="E9">
        <v>5</v>
      </c>
      <c r="F9">
        <v>0</v>
      </c>
      <c r="G9" t="s">
        <v>308</v>
      </c>
      <c r="I9" t="s">
        <v>309</v>
      </c>
    </row>
    <row r="10" spans="1:13">
      <c r="B10" s="1" t="s">
        <v>312</v>
      </c>
      <c r="C10">
        <f t="shared" si="0"/>
        <v>12</v>
      </c>
      <c r="D10">
        <f t="shared" si="1"/>
        <v>0</v>
      </c>
      <c r="E10">
        <v>3</v>
      </c>
      <c r="F10">
        <v>0</v>
      </c>
    </row>
    <row r="11" spans="1:13">
      <c r="B11" s="1" t="s">
        <v>313</v>
      </c>
      <c r="C11">
        <f t="shared" si="0"/>
        <v>4</v>
      </c>
      <c r="D11">
        <f t="shared" si="1"/>
        <v>3</v>
      </c>
      <c r="E11">
        <v>3</v>
      </c>
      <c r="F11">
        <v>1</v>
      </c>
    </row>
    <row r="12" spans="1:13">
      <c r="B12" s="1" t="s">
        <v>314</v>
      </c>
      <c r="C12">
        <f t="shared" si="0"/>
        <v>5</v>
      </c>
      <c r="D12">
        <f t="shared" si="1"/>
        <v>0</v>
      </c>
      <c r="E12">
        <v>3</v>
      </c>
      <c r="F12">
        <v>0</v>
      </c>
    </row>
    <row r="13" spans="1:13">
      <c r="B13" s="1" t="s">
        <v>315</v>
      </c>
      <c r="C13">
        <f t="shared" si="0"/>
        <v>4</v>
      </c>
      <c r="D13">
        <f t="shared" si="1"/>
        <v>0</v>
      </c>
      <c r="E13">
        <v>3</v>
      </c>
      <c r="F13">
        <v>0</v>
      </c>
    </row>
    <row r="14" spans="1:13" ht="37.5">
      <c r="B14" s="1" t="s">
        <v>317</v>
      </c>
      <c r="C14">
        <f t="shared" si="0"/>
        <v>38</v>
      </c>
      <c r="D14">
        <f t="shared" si="1"/>
        <v>6</v>
      </c>
      <c r="E14">
        <v>6</v>
      </c>
      <c r="F14">
        <v>1</v>
      </c>
    </row>
    <row r="15" spans="1:13">
      <c r="A15" s="2" t="s">
        <v>318</v>
      </c>
      <c r="B15" s="1" t="s">
        <v>319</v>
      </c>
      <c r="C15">
        <f t="shared" si="0"/>
        <v>12</v>
      </c>
      <c r="D15">
        <f t="shared" si="1"/>
        <v>4</v>
      </c>
      <c r="E15">
        <v>4</v>
      </c>
      <c r="F15">
        <v>1</v>
      </c>
    </row>
    <row r="16" spans="1:13">
      <c r="B16" s="1" t="s">
        <v>320</v>
      </c>
      <c r="C16">
        <f t="shared" si="0"/>
        <v>10</v>
      </c>
      <c r="D16">
        <f t="shared" si="1"/>
        <v>4</v>
      </c>
      <c r="E16">
        <v>4</v>
      </c>
      <c r="F16">
        <v>1</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レビュー</vt:lpstr>
      <vt:lpstr>format</vt:lpstr>
      <vt:lpstr>1</vt:lpstr>
      <vt:lpstr>2</vt:lpstr>
      <vt:lpstr>3</vt:lpstr>
      <vt:lpstr>4</vt:lpstr>
      <vt:lpstr>5</vt:lpstr>
      <vt:lpstr>6</vt:lpstr>
      <vt:lpstr>7</vt:lpstr>
      <vt:lpstr>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2025-04-13T09:30:35Z</dcterms:modified>
</cp:coreProperties>
</file>