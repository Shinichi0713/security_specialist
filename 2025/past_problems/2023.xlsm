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oshinaga\Documents\Python Scripts\security_specialist\2025\past_problems\"/>
    </mc:Choice>
  </mc:AlternateContent>
  <xr:revisionPtr revIDLastSave="0" documentId="13_ncr:1_{E0817090-6011-4DC7-B7B1-9CEF9CCFD534}" xr6:coauthVersionLast="47" xr6:coauthVersionMax="47" xr10:uidLastSave="{00000000-0000-0000-0000-000000000000}"/>
  <bookViews>
    <workbookView xWindow="45" yWindow="285" windowWidth="16590" windowHeight="15210" activeTab="4" xr2:uid="{00000000-000D-0000-FFFF-FFFF00000000}"/>
  </bookViews>
  <sheets>
    <sheet name="レビュー" sheetId="2" r:id="rId1"/>
    <sheet name="format" sheetId="4" r:id="rId2"/>
    <sheet name="1" sheetId="5" r:id="rId3"/>
    <sheet name="2" sheetId="6" r:id="rId4"/>
    <sheet name="3" sheetId="7" r:id="rId5"/>
  </sheets>
  <functionGroups builtInGroupCount="19"/>
  <definedNames>
    <definedName name="_xlnm._FilterDatabase" localSheetId="3" hidden="1">'2'!$A$3:$F$168</definedName>
    <definedName name="_xlnm._FilterDatabase" localSheetId="4" hidden="1">'3'!$A$3:$K$168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0" i="7" l="1"/>
  <c r="C20" i="6"/>
  <c r="D24" i="7"/>
  <c r="D23" i="7"/>
  <c r="D22" i="7"/>
  <c r="D21" i="7"/>
  <c r="D20" i="7"/>
  <c r="D19" i="7"/>
  <c r="D18" i="7"/>
  <c r="D17" i="7"/>
  <c r="D16" i="7"/>
  <c r="D15" i="7"/>
  <c r="D14" i="7"/>
  <c r="D13" i="7"/>
  <c r="D12" i="7"/>
  <c r="D11" i="7"/>
  <c r="D10" i="7"/>
  <c r="D9" i="7"/>
  <c r="D8" i="7"/>
  <c r="D7" i="7"/>
  <c r="D6" i="7"/>
  <c r="D5" i="7"/>
  <c r="D4" i="7"/>
  <c r="C168" i="7"/>
  <c r="C167" i="7"/>
  <c r="C166" i="7"/>
  <c r="C165" i="7"/>
  <c r="C164" i="7"/>
  <c r="C163" i="7"/>
  <c r="C162" i="7"/>
  <c r="C161" i="7"/>
  <c r="C160" i="7"/>
  <c r="C159" i="7"/>
  <c r="C158" i="7"/>
  <c r="C157" i="7"/>
  <c r="C156" i="7"/>
  <c r="C155" i="7"/>
  <c r="C154" i="7"/>
  <c r="C153" i="7"/>
  <c r="C152" i="7"/>
  <c r="C151" i="7"/>
  <c r="C150" i="7"/>
  <c r="C149" i="7"/>
  <c r="C148" i="7"/>
  <c r="C147" i="7"/>
  <c r="C146" i="7"/>
  <c r="C145" i="7"/>
  <c r="C144" i="7"/>
  <c r="C143" i="7"/>
  <c r="C142" i="7"/>
  <c r="C141" i="7"/>
  <c r="C140" i="7"/>
  <c r="C139" i="7"/>
  <c r="C138" i="7"/>
  <c r="C137" i="7"/>
  <c r="C136" i="7"/>
  <c r="C135" i="7"/>
  <c r="C134" i="7"/>
  <c r="C133" i="7"/>
  <c r="C132" i="7"/>
  <c r="C131" i="7"/>
  <c r="C130" i="7"/>
  <c r="C129" i="7"/>
  <c r="C128" i="7"/>
  <c r="C127" i="7"/>
  <c r="C126" i="7"/>
  <c r="C125" i="7"/>
  <c r="C124" i="7"/>
  <c r="C123" i="7"/>
  <c r="C122" i="7"/>
  <c r="C121" i="7"/>
  <c r="C120" i="7"/>
  <c r="C119" i="7"/>
  <c r="C118" i="7"/>
  <c r="C117" i="7"/>
  <c r="C116" i="7"/>
  <c r="C115" i="7"/>
  <c r="C114" i="7"/>
  <c r="C113" i="7"/>
  <c r="C112" i="7"/>
  <c r="C111" i="7"/>
  <c r="C110" i="7"/>
  <c r="C109" i="7"/>
  <c r="C108" i="7"/>
  <c r="C107" i="7"/>
  <c r="C106" i="7"/>
  <c r="C105" i="7"/>
  <c r="C104" i="7"/>
  <c r="C103" i="7"/>
  <c r="C102" i="7"/>
  <c r="C101" i="7"/>
  <c r="C100" i="7"/>
  <c r="C99" i="7"/>
  <c r="C98" i="7"/>
  <c r="C97" i="7"/>
  <c r="C96" i="7"/>
  <c r="C95" i="7"/>
  <c r="C94" i="7"/>
  <c r="C93" i="7"/>
  <c r="C92" i="7"/>
  <c r="C91" i="7"/>
  <c r="C90" i="7"/>
  <c r="C89" i="7"/>
  <c r="C88" i="7"/>
  <c r="C87" i="7"/>
  <c r="C86" i="7"/>
  <c r="C85" i="7"/>
  <c r="C84" i="7"/>
  <c r="C83" i="7"/>
  <c r="C82" i="7"/>
  <c r="C81" i="7"/>
  <c r="C80" i="7"/>
  <c r="C79" i="7"/>
  <c r="C78" i="7"/>
  <c r="C77" i="7"/>
  <c r="C76" i="7"/>
  <c r="C75" i="7"/>
  <c r="C74" i="7"/>
  <c r="C73" i="7"/>
  <c r="C72" i="7"/>
  <c r="C71" i="7"/>
  <c r="C70" i="7"/>
  <c r="C69" i="7"/>
  <c r="C68" i="7"/>
  <c r="C67" i="7"/>
  <c r="C66" i="7"/>
  <c r="C65" i="7"/>
  <c r="C64" i="7"/>
  <c r="C63" i="7"/>
  <c r="C62" i="7"/>
  <c r="C61" i="7"/>
  <c r="C60" i="7"/>
  <c r="C59" i="7"/>
  <c r="C58" i="7"/>
  <c r="C57" i="7"/>
  <c r="C56" i="7"/>
  <c r="C55" i="7"/>
  <c r="C54" i="7"/>
  <c r="C53" i="7"/>
  <c r="C52" i="7"/>
  <c r="C51" i="7"/>
  <c r="C50" i="7"/>
  <c r="C49" i="7"/>
  <c r="C48" i="7"/>
  <c r="C47" i="7"/>
  <c r="C46" i="7"/>
  <c r="C45" i="7"/>
  <c r="C44" i="7"/>
  <c r="C43" i="7"/>
  <c r="C42" i="7"/>
  <c r="C41" i="7"/>
  <c r="C40" i="7"/>
  <c r="C39" i="7"/>
  <c r="C38" i="7"/>
  <c r="C37" i="7"/>
  <c r="C36" i="7"/>
  <c r="C35" i="7"/>
  <c r="C34" i="7"/>
  <c r="C33" i="7"/>
  <c r="C32" i="7"/>
  <c r="C31" i="7"/>
  <c r="C29" i="7"/>
  <c r="C28" i="7"/>
  <c r="C27" i="7"/>
  <c r="C26" i="7"/>
  <c r="C25" i="7"/>
  <c r="C24" i="7"/>
  <c r="C23" i="7"/>
  <c r="C22" i="7"/>
  <c r="C21" i="7"/>
  <c r="C20" i="7"/>
  <c r="C19" i="7"/>
  <c r="C18" i="7"/>
  <c r="C17" i="7"/>
  <c r="C16" i="7"/>
  <c r="C15" i="7"/>
  <c r="C14" i="7"/>
  <c r="C13" i="7"/>
  <c r="C12" i="7"/>
  <c r="C11" i="7"/>
  <c r="C10" i="7"/>
  <c r="C9" i="7"/>
  <c r="C8" i="7"/>
  <c r="C7" i="7"/>
  <c r="C6" i="7"/>
  <c r="C5" i="7"/>
  <c r="C4" i="7"/>
  <c r="E2" i="7"/>
  <c r="D13" i="6"/>
  <c r="D12" i="6"/>
  <c r="D11" i="6"/>
  <c r="D10" i="6"/>
  <c r="D9" i="6"/>
  <c r="D8" i="6"/>
  <c r="D7" i="6"/>
  <c r="D6" i="6"/>
  <c r="D5" i="6"/>
  <c r="D4" i="6"/>
  <c r="D2" i="7" l="1"/>
  <c r="C168" i="6"/>
  <c r="C167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E2" i="6"/>
  <c r="D2" i="6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2" i="5" s="1"/>
  <c r="D4" i="5"/>
  <c r="C167" i="5"/>
  <c r="C166" i="5"/>
  <c r="C165" i="5"/>
  <c r="C164" i="5"/>
  <c r="C163" i="5"/>
  <c r="C162" i="5"/>
  <c r="C161" i="5"/>
  <c r="C160" i="5"/>
  <c r="C159" i="5"/>
  <c r="C158" i="5"/>
  <c r="C157" i="5"/>
  <c r="C156" i="5"/>
  <c r="C155" i="5"/>
  <c r="C154" i="5"/>
  <c r="C153" i="5"/>
  <c r="C152" i="5"/>
  <c r="C151" i="5"/>
  <c r="C150" i="5"/>
  <c r="C149" i="5"/>
  <c r="C148" i="5"/>
  <c r="C147" i="5"/>
  <c r="C146" i="5"/>
  <c r="C145" i="5"/>
  <c r="C144" i="5"/>
  <c r="C143" i="5"/>
  <c r="C142" i="5"/>
  <c r="C141" i="5"/>
  <c r="C140" i="5"/>
  <c r="C139" i="5"/>
  <c r="C138" i="5"/>
  <c r="C137" i="5"/>
  <c r="C136" i="5"/>
  <c r="C135" i="5"/>
  <c r="C134" i="5"/>
  <c r="C133" i="5"/>
  <c r="C132" i="5"/>
  <c r="C131" i="5"/>
  <c r="C130" i="5"/>
  <c r="C129" i="5"/>
  <c r="C128" i="5"/>
  <c r="C127" i="5"/>
  <c r="C126" i="5"/>
  <c r="C125" i="5"/>
  <c r="C124" i="5"/>
  <c r="C123" i="5"/>
  <c r="C122" i="5"/>
  <c r="C121" i="5"/>
  <c r="C120" i="5"/>
  <c r="C119" i="5"/>
  <c r="C118" i="5"/>
  <c r="C117" i="5"/>
  <c r="C116" i="5"/>
  <c r="C115" i="5"/>
  <c r="C114" i="5"/>
  <c r="C113" i="5"/>
  <c r="C112" i="5"/>
  <c r="C111" i="5"/>
  <c r="C110" i="5"/>
  <c r="C109" i="5"/>
  <c r="C108" i="5"/>
  <c r="C107" i="5"/>
  <c r="C106" i="5"/>
  <c r="C105" i="5"/>
  <c r="C104" i="5"/>
  <c r="C103" i="5"/>
  <c r="C102" i="5"/>
  <c r="C101" i="5"/>
  <c r="C100" i="5"/>
  <c r="C99" i="5"/>
  <c r="C98" i="5"/>
  <c r="C97" i="5"/>
  <c r="C96" i="5"/>
  <c r="C95" i="5"/>
  <c r="C94" i="5"/>
  <c r="C93" i="5"/>
  <c r="C92" i="5"/>
  <c r="C91" i="5"/>
  <c r="C90" i="5"/>
  <c r="C89" i="5"/>
  <c r="C88" i="5"/>
  <c r="C87" i="5"/>
  <c r="C86" i="5"/>
  <c r="C85" i="5"/>
  <c r="C84" i="5"/>
  <c r="C83" i="5"/>
  <c r="C82" i="5"/>
  <c r="C81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E2" i="5"/>
  <c r="C167" i="4"/>
  <c r="C166" i="4"/>
  <c r="C165" i="4"/>
  <c r="C164" i="4"/>
  <c r="C163" i="4"/>
  <c r="C162" i="4"/>
  <c r="C161" i="4"/>
  <c r="C160" i="4"/>
  <c r="C159" i="4"/>
  <c r="C158" i="4"/>
  <c r="C157" i="4"/>
  <c r="C156" i="4"/>
  <c r="C155" i="4"/>
  <c r="C154" i="4"/>
  <c r="C153" i="4"/>
  <c r="C152" i="4"/>
  <c r="C151" i="4"/>
  <c r="C150" i="4"/>
  <c r="C149" i="4"/>
  <c r="C148" i="4"/>
  <c r="C147" i="4"/>
  <c r="C146" i="4"/>
  <c r="C145" i="4"/>
  <c r="C144" i="4"/>
  <c r="C143" i="4"/>
  <c r="C142" i="4"/>
  <c r="C141" i="4"/>
  <c r="C140" i="4"/>
  <c r="C139" i="4"/>
  <c r="C138" i="4"/>
  <c r="C137" i="4"/>
  <c r="C136" i="4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C108" i="4"/>
  <c r="C107" i="4"/>
  <c r="C10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E2" i="4"/>
  <c r="D2" i="4"/>
</calcChain>
</file>

<file path=xl/sharedStrings.xml><?xml version="1.0" encoding="utf-8"?>
<sst xmlns="http://schemas.openxmlformats.org/spreadsheetml/2006/main" count="170" uniqueCount="127">
  <si>
    <t>問題集</t>
    <rPh sb="0" eb="2">
      <t>モンダイ</t>
    </rPh>
    <rPh sb="2" eb="3">
      <t>アツ</t>
    </rPh>
    <phoneticPr fontId="1"/>
  </si>
  <si>
    <t>問題番号</t>
    <rPh sb="0" eb="2">
      <t>モンダイ</t>
    </rPh>
    <rPh sb="2" eb="4">
      <t>バンゴウ</t>
    </rPh>
    <phoneticPr fontId="1"/>
  </si>
  <si>
    <t>大問番号</t>
    <rPh sb="0" eb="2">
      <t>ダイモン</t>
    </rPh>
    <rPh sb="2" eb="4">
      <t>バンゴウ</t>
    </rPh>
    <phoneticPr fontId="1"/>
  </si>
  <si>
    <t>解答</t>
    <rPh sb="0" eb="2">
      <t>カイトウ</t>
    </rPh>
    <phoneticPr fontId="1"/>
  </si>
  <si>
    <t>採点</t>
    <rPh sb="0" eb="2">
      <t>サイテン</t>
    </rPh>
    <phoneticPr fontId="1"/>
  </si>
  <si>
    <t>配点</t>
    <rPh sb="0" eb="2">
      <t>ハイテン</t>
    </rPh>
    <phoneticPr fontId="1"/>
  </si>
  <si>
    <t>文字数</t>
    <rPh sb="0" eb="3">
      <t>モジスウ</t>
    </rPh>
    <phoneticPr fontId="1"/>
  </si>
  <si>
    <t>問題集</t>
    <rPh sb="0" eb="3">
      <t>モンダイシュウ</t>
    </rPh>
    <phoneticPr fontId="1"/>
  </si>
  <si>
    <t>大問</t>
    <rPh sb="0" eb="2">
      <t>ダイモン</t>
    </rPh>
    <phoneticPr fontId="1"/>
  </si>
  <si>
    <t>得点</t>
    <rPh sb="0" eb="2">
      <t>トクテン</t>
    </rPh>
    <phoneticPr fontId="1"/>
  </si>
  <si>
    <t>不正解の問題</t>
    <rPh sb="0" eb="3">
      <t>フセイカイ</t>
    </rPh>
    <rPh sb="4" eb="6">
      <t>モンダイ</t>
    </rPh>
    <phoneticPr fontId="1"/>
  </si>
  <si>
    <t>シート番号</t>
    <rPh sb="3" eb="5">
      <t>バンゴウ</t>
    </rPh>
    <phoneticPr fontId="1"/>
  </si>
  <si>
    <t>2023春</t>
  </si>
  <si>
    <t>2023春</t>
    <rPh sb="4" eb="5">
      <t>ハル</t>
    </rPh>
    <phoneticPr fontId="1"/>
  </si>
  <si>
    <t>webサイト沢山</t>
    <rPh sb="6" eb="8">
      <t>タクサン</t>
    </rPh>
    <phoneticPr fontId="1"/>
  </si>
  <si>
    <t>CISOが率いるセキュリティ</t>
    <rPh sb="5" eb="6">
      <t>ヒキ</t>
    </rPh>
    <phoneticPr fontId="1"/>
  </si>
  <si>
    <t>脆弱性診断</t>
    <rPh sb="0" eb="3">
      <t>ゼイジャクセイ</t>
    </rPh>
    <rPh sb="3" eb="5">
      <t>シンダン</t>
    </rPh>
    <phoneticPr fontId="1"/>
  </si>
  <si>
    <t>新規リリース</t>
    <rPh sb="0" eb="2">
      <t>シンキ</t>
    </rPh>
    <phoneticPr fontId="1"/>
  </si>
  <si>
    <t>セキュリティが競技して診断管理</t>
    <rPh sb="7" eb="9">
      <t>キョウギ</t>
    </rPh>
    <rPh sb="11" eb="13">
      <t>シンダン</t>
    </rPh>
    <rPh sb="13" eb="15">
      <t>カンリ</t>
    </rPh>
    <phoneticPr fontId="1"/>
  </si>
  <si>
    <t>PM2-2</t>
  </si>
  <si>
    <t>PM2-2</t>
    <phoneticPr fontId="1"/>
  </si>
  <si>
    <t>1</t>
    <phoneticPr fontId="1"/>
  </si>
  <si>
    <t>i:〇</t>
    <phoneticPr fontId="1"/>
  </si>
  <si>
    <t>h:〇</t>
    <phoneticPr fontId="1"/>
  </si>
  <si>
    <t>g:〇</t>
    <phoneticPr fontId="1"/>
  </si>
  <si>
    <t>f:×</t>
    <phoneticPr fontId="1"/>
  </si>
  <si>
    <t>e:〇</t>
    <phoneticPr fontId="1"/>
  </si>
  <si>
    <t>d:〇</t>
    <phoneticPr fontId="1"/>
  </si>
  <si>
    <t>c:×</t>
    <phoneticPr fontId="1"/>
  </si>
  <si>
    <t>b:×</t>
    <phoneticPr fontId="1"/>
  </si>
  <si>
    <t>a:〇</t>
    <phoneticPr fontId="1"/>
  </si>
  <si>
    <t>2-1</t>
    <phoneticPr fontId="1"/>
  </si>
  <si>
    <t>j:ウ</t>
    <phoneticPr fontId="1"/>
  </si>
  <si>
    <t>k:エ</t>
    <phoneticPr fontId="1"/>
  </si>
  <si>
    <t>l:ウ</t>
    <phoneticPr fontId="1"/>
  </si>
  <si>
    <t>2-2</t>
    <phoneticPr fontId="1"/>
  </si>
  <si>
    <t>{
       system: 4000,
       account: 11[1-9][0-9],
       service: オブジェクトストレージサービス,
       event: オブジェクトの削除
}</t>
    <rPh sb="107" eb="109">
      <t>サクジョ</t>
    </rPh>
    <phoneticPr fontId="1"/>
  </si>
  <si>
    <t>3-1</t>
    <phoneticPr fontId="1"/>
  </si>
  <si>
    <t>m: 新日記サービス</t>
    <rPh sb="3" eb="6">
      <t>シンニッキ</t>
    </rPh>
    <phoneticPr fontId="1"/>
  </si>
  <si>
    <t>n: サービスT</t>
    <phoneticPr fontId="1"/>
  </si>
  <si>
    <t>o: サービスT</t>
    <phoneticPr fontId="1"/>
  </si>
  <si>
    <t>3-2</t>
    <phoneticPr fontId="1"/>
  </si>
  <si>
    <t>p: 3</t>
    <phoneticPr fontId="1"/>
  </si>
  <si>
    <t>q: 6</t>
    <phoneticPr fontId="1"/>
  </si>
  <si>
    <t>3-3</t>
    <phoneticPr fontId="1"/>
  </si>
  <si>
    <t>ウ、エ</t>
    <phoneticPr fontId="1"/>
  </si>
  <si>
    <t>4-1</t>
    <phoneticPr fontId="1"/>
  </si>
  <si>
    <t>実在する会員のクライアントシークレットを推測することは困難であるため</t>
    <rPh sb="0" eb="2">
      <t>ジツザイ</t>
    </rPh>
    <rPh sb="4" eb="6">
      <t>カイイン</t>
    </rPh>
    <rPh sb="20" eb="22">
      <t>スイソク</t>
    </rPh>
    <rPh sb="27" eb="29">
      <t>コンナン</t>
    </rPh>
    <phoneticPr fontId="1"/>
  </si>
  <si>
    <t>4-2</t>
    <phoneticPr fontId="1"/>
  </si>
  <si>
    <t>懸賞コードのSHA-256のハッシュ値をbase64urlエンコードした値と、チャレンジコードの値が一致するか検証する</t>
    <rPh sb="0" eb="2">
      <t>ケンショウ</t>
    </rPh>
    <rPh sb="18" eb="19">
      <t>アタイ</t>
    </rPh>
    <rPh sb="36" eb="37">
      <t>アタイ</t>
    </rPh>
    <rPh sb="48" eb="49">
      <t>アタイ</t>
    </rPh>
    <rPh sb="50" eb="52">
      <t>イッチ</t>
    </rPh>
    <rPh sb="55" eb="57">
      <t>ケンショウ</t>
    </rPh>
    <phoneticPr fontId="1"/>
  </si>
  <si>
    <t>5-1</t>
    <phoneticPr fontId="1"/>
  </si>
  <si>
    <t>sauceコードの変更履歴よりZファイルの差分情報より取得した</t>
    <rPh sb="9" eb="11">
      <t>ヘンコウ</t>
    </rPh>
    <rPh sb="11" eb="13">
      <t>リレキ</t>
    </rPh>
    <rPh sb="21" eb="25">
      <t>サブンジョウホウ</t>
    </rPh>
    <rPh sb="27" eb="29">
      <t>シュトク</t>
    </rPh>
    <phoneticPr fontId="1"/>
  </si>
  <si>
    <t>5-2</t>
    <phoneticPr fontId="1"/>
  </si>
  <si>
    <t>開発者が、自分のアップロードしたファイルを承認する権限を削除する</t>
    <rPh sb="0" eb="2">
      <t>カイハツ</t>
    </rPh>
    <rPh sb="2" eb="3">
      <t>シャ</t>
    </rPh>
    <rPh sb="5" eb="7">
      <t>ジブン</t>
    </rPh>
    <rPh sb="21" eb="23">
      <t>ショウニン</t>
    </rPh>
    <rPh sb="25" eb="27">
      <t>ケンゲン</t>
    </rPh>
    <rPh sb="28" eb="30">
      <t>サクジョ</t>
    </rPh>
    <phoneticPr fontId="1"/>
  </si>
  <si>
    <t>5-3</t>
    <phoneticPr fontId="1"/>
  </si>
  <si>
    <t>X社CIにはダウンロードする権限のみを付与する</t>
    <rPh sb="1" eb="2">
      <t>シャ</t>
    </rPh>
    <rPh sb="14" eb="16">
      <t>ケンゲン</t>
    </rPh>
    <rPh sb="19" eb="21">
      <t>フヨ</t>
    </rPh>
    <phoneticPr fontId="1"/>
  </si>
  <si>
    <t>PM1-2</t>
  </si>
  <si>
    <t>PM1-2</t>
    <phoneticPr fontId="1"/>
  </si>
  <si>
    <t>パッシブ</t>
    <phoneticPr fontId="1"/>
  </si>
  <si>
    <t>修飾</t>
    <rPh sb="0" eb="2">
      <t>シュウショク</t>
    </rPh>
    <phoneticPr fontId="1"/>
  </si>
  <si>
    <t>コネクト</t>
    <phoneticPr fontId="1"/>
  </si>
  <si>
    <t>バインド</t>
    <phoneticPr fontId="1"/>
  </si>
  <si>
    <t>2-3により起動した3-3のポートへの通信が1-3で拒否されているため</t>
    <rPh sb="6" eb="8">
      <t>キドウ</t>
    </rPh>
    <rPh sb="19" eb="21">
      <t>ツウシン</t>
    </rPh>
    <rPh sb="26" eb="28">
      <t>キョヒ</t>
    </rPh>
    <phoneticPr fontId="1"/>
  </si>
  <si>
    <t>2-3</t>
    <phoneticPr fontId="1"/>
  </si>
  <si>
    <t>2-4により起動した3-4のポートへの通信が1-4で許可されているため</t>
    <rPh sb="6" eb="8">
      <t>キドウ</t>
    </rPh>
    <rPh sb="19" eb="21">
      <t>ツウシン</t>
    </rPh>
    <rPh sb="26" eb="28">
      <t>キョカ</t>
    </rPh>
    <phoneticPr fontId="1"/>
  </si>
  <si>
    <t>2-4</t>
    <phoneticPr fontId="1"/>
  </si>
  <si>
    <t>e: 1365</t>
    <phoneticPr fontId="1"/>
  </si>
  <si>
    <t>TXTレコードには、自由な文字列を指定することが出来るため</t>
    <rPh sb="10" eb="12">
      <t>ジユウ</t>
    </rPh>
    <rPh sb="13" eb="16">
      <t>モジレツ</t>
    </rPh>
    <rPh sb="17" eb="19">
      <t>シテイ</t>
    </rPh>
    <rPh sb="24" eb="26">
      <t>デキ</t>
    </rPh>
    <phoneticPr fontId="1"/>
  </si>
  <si>
    <t>攻撃者から内容の変更されている可能性があるため</t>
    <rPh sb="0" eb="3">
      <t>コウゲキシャ</t>
    </rPh>
    <rPh sb="5" eb="7">
      <t>ナイヨウ</t>
    </rPh>
    <rPh sb="8" eb="10">
      <t>ヘンコウ</t>
    </rPh>
    <rPh sb="15" eb="18">
      <t>カノウセイ</t>
    </rPh>
    <phoneticPr fontId="1"/>
  </si>
  <si>
    <t>受付サーバー</t>
    <rPh sb="0" eb="2">
      <t>ウケツケ</t>
    </rPh>
    <phoneticPr fontId="1"/>
  </si>
  <si>
    <t>PM1-3</t>
  </si>
  <si>
    <t>PM1-3</t>
    <phoneticPr fontId="1"/>
  </si>
  <si>
    <t>ネットワークは６名運用</t>
    <rPh sb="8" eb="9">
      <t>メイ</t>
    </rPh>
    <rPh sb="9" eb="11">
      <t>ウンヨウ</t>
    </rPh>
    <phoneticPr fontId="1"/>
  </si>
  <si>
    <t>a: ストレージ</t>
    <phoneticPr fontId="1"/>
  </si>
  <si>
    <t>b: 営業支援</t>
    <rPh sb="3" eb="7">
      <t>エイギョウシエン</t>
    </rPh>
    <phoneticPr fontId="1"/>
  </si>
  <si>
    <t>c: 経営支援</t>
    <rPh sb="3" eb="7">
      <t>ケイエイシエン</t>
    </rPh>
    <phoneticPr fontId="1"/>
  </si>
  <si>
    <t>d: web会議</t>
    <rPh sb="6" eb="8">
      <t>カイギ</t>
    </rPh>
    <phoneticPr fontId="1"/>
  </si>
  <si>
    <t>Lサービス；IDaaS</t>
    <phoneticPr fontId="1"/>
  </si>
  <si>
    <t>UTM</t>
    <phoneticPr fontId="1"/>
  </si>
  <si>
    <t>IpsecのVPN</t>
    <phoneticPr fontId="1"/>
  </si>
  <si>
    <t>1-1</t>
    <phoneticPr fontId="1"/>
  </si>
  <si>
    <t>b: イ</t>
    <phoneticPr fontId="1"/>
  </si>
  <si>
    <t>a: ア</t>
    <phoneticPr fontId="1"/>
  </si>
  <si>
    <t>c: ウ</t>
    <phoneticPr fontId="1"/>
  </si>
  <si>
    <t>1-2</t>
    <phoneticPr fontId="1"/>
  </si>
  <si>
    <t>Lサービスによって、本社UTMからの通信のみ許可されているため</t>
    <rPh sb="10" eb="12">
      <t>ホンシャ</t>
    </rPh>
    <rPh sb="18" eb="20">
      <t>ツウシン</t>
    </rPh>
    <rPh sb="22" eb="24">
      <t>キョカ</t>
    </rPh>
    <phoneticPr fontId="1"/>
  </si>
  <si>
    <t>R-PCを貸与</t>
    <rPh sb="5" eb="7">
      <t>タイヨ</t>
    </rPh>
    <phoneticPr fontId="1"/>
  </si>
  <si>
    <t>ネットワーク逼迫</t>
    <rPh sb="6" eb="8">
      <t>ヒッパク</t>
    </rPh>
    <phoneticPr fontId="1"/>
  </si>
  <si>
    <t>d: ア</t>
    <phoneticPr fontId="1"/>
  </si>
  <si>
    <t>e: ウ</t>
    <phoneticPr fontId="1"/>
  </si>
  <si>
    <t>f: イ</t>
    <phoneticPr fontId="1"/>
  </si>
  <si>
    <t>URLカテゴリと利用者IDでフィルタ</t>
    <rPh sb="8" eb="11">
      <t>リヨウシャ</t>
    </rPh>
    <phoneticPr fontId="1"/>
  </si>
  <si>
    <t>イ</t>
    <phoneticPr fontId="1"/>
  </si>
  <si>
    <t>CHAP: 認証する側がチャレンジコード、認証される側はハッシュ化して、認証</t>
    <rPh sb="6" eb="8">
      <t>ニンショウ</t>
    </rPh>
    <rPh sb="10" eb="11">
      <t>ガワ</t>
    </rPh>
    <rPh sb="21" eb="23">
      <t>ニンショウ</t>
    </rPh>
    <rPh sb="26" eb="27">
      <t>ガワ</t>
    </rPh>
    <rPh sb="32" eb="33">
      <t>カ</t>
    </rPh>
    <rPh sb="36" eb="38">
      <t>ニンショウ</t>
    </rPh>
    <phoneticPr fontId="1"/>
  </si>
  <si>
    <t>Pサービス導入後</t>
    <rPh sb="5" eb="8">
      <t>ドウニュウゴ</t>
    </rPh>
    <phoneticPr fontId="1"/>
  </si>
  <si>
    <t>プロキシサーバーではなくPサービスを経由させる</t>
    <rPh sb="18" eb="20">
      <t>ケイユ</t>
    </rPh>
    <phoneticPr fontId="1"/>
  </si>
  <si>
    <t>Lサービスに設定</t>
    <rPh sb="6" eb="8">
      <t>セッテイ</t>
    </rPh>
    <phoneticPr fontId="1"/>
  </si>
  <si>
    <t>送信元制限機能で、営業所UTMのグローバルIPアドレスを設定する</t>
    <rPh sb="0" eb="3">
      <t>ソウシンモト</t>
    </rPh>
    <rPh sb="3" eb="5">
      <t>セイゲン</t>
    </rPh>
    <rPh sb="5" eb="7">
      <t>キノウ</t>
    </rPh>
    <rPh sb="9" eb="12">
      <t>エイギョウショ</t>
    </rPh>
    <rPh sb="28" eb="30">
      <t>セッテイ</t>
    </rPh>
    <phoneticPr fontId="1"/>
  </si>
  <si>
    <t>ア</t>
    <phoneticPr fontId="1"/>
  </si>
  <si>
    <t>3-4</t>
    <phoneticPr fontId="1"/>
  </si>
  <si>
    <t>h: 4</t>
    <phoneticPr fontId="1"/>
  </si>
  <si>
    <t>i: 2</t>
    <phoneticPr fontId="1"/>
  </si>
  <si>
    <t>3-5</t>
    <phoneticPr fontId="1"/>
  </si>
  <si>
    <t>あ：4</t>
    <phoneticPr fontId="1"/>
  </si>
  <si>
    <t>い：3</t>
    <phoneticPr fontId="1"/>
  </si>
  <si>
    <t>j: https://△△△-a.jp/</t>
    <phoneticPr fontId="1"/>
  </si>
  <si>
    <t>2研究開発の従業員</t>
    <rPh sb="1" eb="5">
      <t>ケンキュウカイハツ</t>
    </rPh>
    <rPh sb="6" eb="9">
      <t>ジュウギョウイン</t>
    </rPh>
    <phoneticPr fontId="1"/>
  </si>
  <si>
    <t>l: 許可</t>
    <rPh sb="3" eb="5">
      <t>キョカ</t>
    </rPh>
    <phoneticPr fontId="1"/>
  </si>
  <si>
    <t>m: 外部ストレージサービス</t>
    <rPh sb="3" eb="5">
      <t>ガイブ</t>
    </rPh>
    <phoneticPr fontId="1"/>
  </si>
  <si>
    <t>n: すべて</t>
    <phoneticPr fontId="1"/>
  </si>
  <si>
    <t>o: 禁止</t>
    <rPh sb="3" eb="5">
      <t>キンシ</t>
    </rPh>
    <phoneticPr fontId="1"/>
  </si>
  <si>
    <t>コミュニティ名</t>
    <rPh sb="6" eb="7">
      <t>メイ</t>
    </rPh>
    <phoneticPr fontId="1"/>
  </si>
  <si>
    <t>2-3のコマンドが3-3のポートへの通信がFWの1-3によって拒否されているため</t>
    <rPh sb="18" eb="20">
      <t>ツウシン</t>
    </rPh>
    <rPh sb="31" eb="33">
      <t>キョヒ</t>
    </rPh>
    <phoneticPr fontId="1"/>
  </si>
  <si>
    <t>TXTレコードは任意の文字列を指定することが出来るため</t>
    <rPh sb="8" eb="10">
      <t>ニンイ</t>
    </rPh>
    <rPh sb="11" eb="14">
      <t>モジレツ</t>
    </rPh>
    <rPh sb="15" eb="17">
      <t>シテイ</t>
    </rPh>
    <rPh sb="22" eb="24">
      <t>デキ</t>
    </rPh>
    <phoneticPr fontId="1"/>
  </si>
  <si>
    <t>ダウンロードしたファイルの中身が異なる可能性があるため</t>
    <rPh sb="13" eb="15">
      <t>ナカミ</t>
    </rPh>
    <rPh sb="16" eb="17">
      <t>コト</t>
    </rPh>
    <rPh sb="19" eb="22">
      <t>カノウセイ</t>
    </rPh>
    <phoneticPr fontId="1"/>
  </si>
  <si>
    <t>cronコマンドは、Unix系システムで定期的にコマンドやスクリプトを実行するためのデーモンです。</t>
    <phoneticPr fontId="1"/>
  </si>
  <si>
    <t>受付サーバーで稼働しているファイルとことなる可能性があるため</t>
    <rPh sb="0" eb="2">
      <t>ウケツケ</t>
    </rPh>
    <rPh sb="7" eb="9">
      <t>カドウ</t>
    </rPh>
    <rPh sb="22" eb="25">
      <t>カノウセイ</t>
    </rPh>
    <phoneticPr fontId="1"/>
  </si>
  <si>
    <t>3-1</t>
  </si>
  <si>
    <t>3-2</t>
  </si>
  <si>
    <t>3-3</t>
  </si>
  <si>
    <t>3-4</t>
  </si>
  <si>
    <t>プロキシサーバーを介さず、Pサービスを経由する。</t>
    <rPh sb="9" eb="10">
      <t>カイ</t>
    </rPh>
    <rPh sb="19" eb="21">
      <t>ケイユ</t>
    </rPh>
    <phoneticPr fontId="1"/>
  </si>
  <si>
    <t>Pサービスはぷろきしとして機能している</t>
    <rPh sb="13" eb="15">
      <t>キノウ</t>
    </rPh>
    <phoneticPr fontId="1"/>
  </si>
  <si>
    <t>送信元制限機能に営業所のUTMのグローバルIPアドレスを設定する</t>
    <rPh sb="0" eb="3">
      <t>ソウシンモト</t>
    </rPh>
    <rPh sb="3" eb="5">
      <t>セイゲン</t>
    </rPh>
    <rPh sb="5" eb="7">
      <t>キノウ</t>
    </rPh>
    <rPh sb="8" eb="11">
      <t>エイギョウショ</t>
    </rPh>
    <rPh sb="28" eb="30">
      <t>セッテイ</t>
    </rPh>
    <phoneticPr fontId="1"/>
  </si>
  <si>
    <t>R-PCにせいげんする</t>
    <phoneticPr fontId="1"/>
  </si>
  <si>
    <t>い</t>
    <phoneticPr fontId="1"/>
  </si>
  <si>
    <t>h: 6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</si>
</sst>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wrapText="1"/>
    </xf>
    <xf numFmtId="49" fontId="0" fillId="0" borderId="0" xfId="0" applyNumberFormat="1"/>
    <xf numFmtId="49" fontId="0" fillId="0" borderId="0" xfId="0" applyNumberFormat="1" applyAlignment="1">
      <alignment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142875</xdr:colOff>
          <xdr:row>1</xdr:row>
          <xdr:rowOff>38100</xdr:rowOff>
        </xdr:from>
        <xdr:to>
          <xdr:col>14</xdr:col>
          <xdr:colOff>590550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200025</xdr:colOff>
          <xdr:row>3</xdr:row>
          <xdr:rowOff>104775</xdr:rowOff>
        </xdr:from>
        <xdr:to>
          <xdr:col>14</xdr:col>
          <xdr:colOff>571500</xdr:colOff>
          <xdr:row>4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8EC62-6D75-4E9D-B77E-7094BE41A7A1}">
  <sheetPr codeName="Sheet2"/>
  <dimension ref="A1:F4"/>
  <sheetViews>
    <sheetView workbookViewId="0">
      <selection activeCell="H7" sqref="H7"/>
    </sheetView>
  </sheetViews>
  <sheetFormatPr defaultRowHeight="18.75"/>
  <cols>
    <col min="2" max="3" width="9" style="2"/>
  </cols>
  <sheetData>
    <row r="1" spans="1:6">
      <c r="A1" t="s">
        <v>11</v>
      </c>
      <c r="B1" s="2" t="s">
        <v>7</v>
      </c>
      <c r="C1" s="2" t="s">
        <v>8</v>
      </c>
      <c r="D1" t="s">
        <v>9</v>
      </c>
      <c r="E1" t="s">
        <v>5</v>
      </c>
      <c r="F1" t="s">
        <v>10</v>
      </c>
    </row>
    <row r="2" spans="1:6">
      <c r="A2">
        <v>1</v>
      </c>
      <c r="B2" s="2" t="s">
        <v>12</v>
      </c>
      <c r="C2" s="2" t="s">
        <v>19</v>
      </c>
      <c r="D2">
        <v>82</v>
      </c>
      <c r="E2">
        <v>100</v>
      </c>
    </row>
    <row r="3" spans="1:6">
      <c r="A3">
        <v>2</v>
      </c>
      <c r="B3" s="2" t="s">
        <v>12</v>
      </c>
      <c r="C3" s="2" t="s">
        <v>56</v>
      </c>
      <c r="D3">
        <v>40</v>
      </c>
      <c r="E3">
        <v>50</v>
      </c>
    </row>
    <row r="4" spans="1:6">
      <c r="A4">
        <v>3</v>
      </c>
      <c r="B4" s="2" t="s">
        <v>12</v>
      </c>
      <c r="C4" s="2" t="s">
        <v>70</v>
      </c>
      <c r="D4">
        <v>46</v>
      </c>
      <c r="E4">
        <v>50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ddSheetWithSerialNumber">
                <anchor moveWithCells="1" sizeWithCells="1">
                  <from>
                    <xdr:col>13</xdr:col>
                    <xdr:colOff>142875</xdr:colOff>
                    <xdr:row>1</xdr:row>
                    <xdr:rowOff>38100</xdr:rowOff>
                  </from>
                  <to>
                    <xdr:col>14</xdr:col>
                    <xdr:colOff>590550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InformationArchive">
                <anchor moveWithCells="1" sizeWithCells="1">
                  <from>
                    <xdr:col>13</xdr:col>
                    <xdr:colOff>200025</xdr:colOff>
                    <xdr:row>3</xdr:row>
                    <xdr:rowOff>104775</xdr:rowOff>
                  </from>
                  <to>
                    <xdr:col>14</xdr:col>
                    <xdr:colOff>571500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9978A-10F6-4DA3-9F55-46A14E19160E}">
  <sheetPr codeName="Sheet3"/>
  <dimension ref="A1:E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2" sqref="B12"/>
    </sheetView>
  </sheetViews>
  <sheetFormatPr defaultRowHeight="18.75"/>
  <cols>
    <col min="1" max="1" width="8.75" style="2"/>
    <col min="2" max="2" width="96.875" style="1" customWidth="1"/>
    <col min="3" max="3" width="9.75" customWidth="1"/>
  </cols>
  <sheetData>
    <row r="1" spans="1:5">
      <c r="A1" s="2" t="s">
        <v>0</v>
      </c>
    </row>
    <row r="2" spans="1:5">
      <c r="A2" s="2" t="s">
        <v>2</v>
      </c>
      <c r="B2" s="3"/>
      <c r="D2">
        <f>SUM(D4:D1000)</f>
        <v>0</v>
      </c>
      <c r="E2">
        <f>SUM(E4:E1000)</f>
        <v>0</v>
      </c>
    </row>
    <row r="3" spans="1: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5">
      <c r="C4" t="str">
        <f>IF(B4&lt;&gt;"",LEN(B4),"")</f>
        <v/>
      </c>
    </row>
    <row r="5" spans="1:5">
      <c r="C5" t="str">
        <f t="shared" ref="C5:C68" si="0">IF(B5&lt;&gt;"",LEN(B5),"")</f>
        <v/>
      </c>
    </row>
    <row r="6" spans="1:5">
      <c r="C6" t="str">
        <f t="shared" si="0"/>
        <v/>
      </c>
    </row>
    <row r="7" spans="1:5">
      <c r="C7" t="str">
        <f t="shared" si="0"/>
        <v/>
      </c>
    </row>
    <row r="8" spans="1:5">
      <c r="C8" t="str">
        <f t="shared" si="0"/>
        <v/>
      </c>
    </row>
    <row r="9" spans="1:5">
      <c r="C9" t="str">
        <f t="shared" si="0"/>
        <v/>
      </c>
    </row>
    <row r="10" spans="1:5">
      <c r="C10" t="str">
        <f t="shared" si="0"/>
        <v/>
      </c>
    </row>
    <row r="11" spans="1:5">
      <c r="C11" t="str">
        <f t="shared" si="0"/>
        <v/>
      </c>
    </row>
    <row r="12" spans="1:5">
      <c r="C12" t="str">
        <f t="shared" si="0"/>
        <v/>
      </c>
    </row>
    <row r="13" spans="1:5">
      <c r="C13" t="str">
        <f t="shared" si="0"/>
        <v/>
      </c>
    </row>
    <row r="14" spans="1:5">
      <c r="C14" t="str">
        <f t="shared" si="0"/>
        <v/>
      </c>
    </row>
    <row r="15" spans="1:5">
      <c r="C15" t="str">
        <f t="shared" si="0"/>
        <v/>
      </c>
    </row>
    <row r="16" spans="1:5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F28A4C-D5A9-4E32-A16F-7B0F8BD0916D}">
  <sheetPr codeName="Sheet4"/>
  <dimension ref="A1:G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" sqref="B1"/>
    </sheetView>
  </sheetViews>
  <sheetFormatPr defaultRowHeight="18.75"/>
  <cols>
    <col min="1" max="1" width="9" style="2"/>
    <col min="2" max="2" width="58.125" style="1" customWidth="1"/>
    <col min="3" max="3" width="9.75" customWidth="1"/>
  </cols>
  <sheetData>
    <row r="1" spans="1:7">
      <c r="A1" s="2" t="s">
        <v>0</v>
      </c>
      <c r="B1" s="1" t="s">
        <v>13</v>
      </c>
    </row>
    <row r="2" spans="1:7">
      <c r="A2" s="2" t="s">
        <v>2</v>
      </c>
      <c r="B2" s="3" t="s">
        <v>20</v>
      </c>
      <c r="D2">
        <f>SUM(D4:D1000)</f>
        <v>82</v>
      </c>
      <c r="E2">
        <f>SUM(E4:E1000)</f>
        <v>100</v>
      </c>
    </row>
    <row r="3" spans="1:7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7">
      <c r="A4" s="2" t="s">
        <v>21</v>
      </c>
      <c r="B4" s="1" t="s">
        <v>30</v>
      </c>
      <c r="C4">
        <f>IF(B4&lt;&gt;"",LEN(B4),"")</f>
        <v>3</v>
      </c>
      <c r="D4">
        <f>E4*F4</f>
        <v>2</v>
      </c>
      <c r="E4">
        <v>2</v>
      </c>
      <c r="F4">
        <v>1</v>
      </c>
      <c r="G4" t="s">
        <v>14</v>
      </c>
    </row>
    <row r="5" spans="1:7">
      <c r="B5" s="1" t="s">
        <v>29</v>
      </c>
      <c r="C5">
        <f t="shared" ref="C5:C68" si="0">IF(B5&lt;&gt;"",LEN(B5),"")</f>
        <v>3</v>
      </c>
      <c r="D5">
        <f t="shared" ref="D5:D27" si="1">E5*F5</f>
        <v>2</v>
      </c>
      <c r="E5">
        <v>2</v>
      </c>
      <c r="F5">
        <v>1</v>
      </c>
      <c r="G5" t="s">
        <v>15</v>
      </c>
    </row>
    <row r="6" spans="1:7">
      <c r="B6" s="1" t="s">
        <v>28</v>
      </c>
      <c r="C6">
        <f t="shared" si="0"/>
        <v>3</v>
      </c>
      <c r="D6">
        <f t="shared" si="1"/>
        <v>2</v>
      </c>
      <c r="E6">
        <v>2</v>
      </c>
      <c r="F6">
        <v>1</v>
      </c>
      <c r="G6" t="s">
        <v>16</v>
      </c>
    </row>
    <row r="7" spans="1:7">
      <c r="B7" s="1" t="s">
        <v>27</v>
      </c>
      <c r="C7">
        <f t="shared" si="0"/>
        <v>3</v>
      </c>
      <c r="D7">
        <f t="shared" si="1"/>
        <v>2</v>
      </c>
      <c r="E7">
        <v>2</v>
      </c>
      <c r="F7">
        <v>1</v>
      </c>
      <c r="G7" t="s">
        <v>17</v>
      </c>
    </row>
    <row r="8" spans="1:7">
      <c r="B8" s="1" t="s">
        <v>26</v>
      </c>
      <c r="C8">
        <f t="shared" si="0"/>
        <v>3</v>
      </c>
      <c r="D8">
        <f t="shared" si="1"/>
        <v>2</v>
      </c>
      <c r="E8">
        <v>2</v>
      </c>
      <c r="F8">
        <v>1</v>
      </c>
      <c r="G8" t="s">
        <v>18</v>
      </c>
    </row>
    <row r="9" spans="1:7">
      <c r="B9" s="1" t="s">
        <v>25</v>
      </c>
      <c r="C9">
        <f t="shared" si="0"/>
        <v>3</v>
      </c>
      <c r="D9">
        <f t="shared" si="1"/>
        <v>2</v>
      </c>
      <c r="E9">
        <v>2</v>
      </c>
      <c r="F9">
        <v>1</v>
      </c>
    </row>
    <row r="10" spans="1:7">
      <c r="B10" s="1" t="s">
        <v>24</v>
      </c>
      <c r="C10">
        <f t="shared" si="0"/>
        <v>3</v>
      </c>
      <c r="D10">
        <f t="shared" si="1"/>
        <v>2</v>
      </c>
      <c r="E10">
        <v>2</v>
      </c>
      <c r="F10">
        <v>1</v>
      </c>
    </row>
    <row r="11" spans="1:7">
      <c r="B11" s="1" t="s">
        <v>23</v>
      </c>
      <c r="C11">
        <f t="shared" si="0"/>
        <v>3</v>
      </c>
      <c r="D11">
        <f t="shared" si="1"/>
        <v>2</v>
      </c>
      <c r="E11">
        <v>2</v>
      </c>
      <c r="F11">
        <v>1</v>
      </c>
    </row>
    <row r="12" spans="1:7">
      <c r="B12" s="1" t="s">
        <v>22</v>
      </c>
      <c r="C12">
        <f t="shared" si="0"/>
        <v>3</v>
      </c>
      <c r="D12">
        <f t="shared" si="1"/>
        <v>2</v>
      </c>
      <c r="E12">
        <v>2</v>
      </c>
      <c r="F12">
        <v>1</v>
      </c>
    </row>
    <row r="13" spans="1:7">
      <c r="A13" s="2" t="s">
        <v>31</v>
      </c>
      <c r="B13" s="1" t="s">
        <v>32</v>
      </c>
      <c r="C13">
        <f t="shared" si="0"/>
        <v>3</v>
      </c>
      <c r="D13">
        <f t="shared" si="1"/>
        <v>2</v>
      </c>
      <c r="E13">
        <v>2</v>
      </c>
      <c r="F13">
        <v>1</v>
      </c>
    </row>
    <row r="14" spans="1:7">
      <c r="B14" s="1" t="s">
        <v>33</v>
      </c>
      <c r="C14">
        <f t="shared" si="0"/>
        <v>3</v>
      </c>
      <c r="D14">
        <f t="shared" si="1"/>
        <v>2</v>
      </c>
      <c r="E14">
        <v>2</v>
      </c>
      <c r="F14">
        <v>1</v>
      </c>
    </row>
    <row r="15" spans="1:7">
      <c r="B15" s="1" t="s">
        <v>34</v>
      </c>
      <c r="C15">
        <f t="shared" si="0"/>
        <v>3</v>
      </c>
      <c r="D15">
        <f t="shared" si="1"/>
        <v>0</v>
      </c>
      <c r="E15">
        <v>2</v>
      </c>
      <c r="F15">
        <v>0</v>
      </c>
    </row>
    <row r="16" spans="1:7" ht="112.5">
      <c r="A16" s="2" t="s">
        <v>35</v>
      </c>
      <c r="B16" s="1" t="s">
        <v>36</v>
      </c>
      <c r="C16">
        <f t="shared" si="0"/>
        <v>111</v>
      </c>
      <c r="D16">
        <f t="shared" si="1"/>
        <v>6</v>
      </c>
      <c r="E16">
        <v>6</v>
      </c>
      <c r="F16">
        <v>1</v>
      </c>
    </row>
    <row r="17" spans="1:6">
      <c r="A17" s="2" t="s">
        <v>37</v>
      </c>
      <c r="B17" s="1" t="s">
        <v>38</v>
      </c>
      <c r="C17">
        <f t="shared" si="0"/>
        <v>10</v>
      </c>
      <c r="D17">
        <f t="shared" si="1"/>
        <v>6</v>
      </c>
      <c r="E17">
        <v>6</v>
      </c>
      <c r="F17">
        <v>1</v>
      </c>
    </row>
    <row r="18" spans="1:6">
      <c r="B18" s="1" t="s">
        <v>39</v>
      </c>
      <c r="C18">
        <f t="shared" si="0"/>
        <v>8</v>
      </c>
      <c r="D18">
        <f t="shared" si="1"/>
        <v>6</v>
      </c>
      <c r="E18">
        <v>6</v>
      </c>
      <c r="F18">
        <v>1</v>
      </c>
    </row>
    <row r="19" spans="1:6">
      <c r="B19" s="1" t="s">
        <v>40</v>
      </c>
      <c r="C19">
        <f t="shared" si="0"/>
        <v>8</v>
      </c>
      <c r="D19">
        <f t="shared" si="1"/>
        <v>6</v>
      </c>
      <c r="E19">
        <v>6</v>
      </c>
      <c r="F19">
        <v>1</v>
      </c>
    </row>
    <row r="20" spans="1:6">
      <c r="A20" s="2" t="s">
        <v>41</v>
      </c>
      <c r="B20" s="1" t="s">
        <v>42</v>
      </c>
      <c r="C20">
        <f t="shared" si="0"/>
        <v>4</v>
      </c>
      <c r="D20">
        <f t="shared" si="1"/>
        <v>3</v>
      </c>
      <c r="E20">
        <v>3</v>
      </c>
      <c r="F20">
        <v>1</v>
      </c>
    </row>
    <row r="21" spans="1:6">
      <c r="B21" s="1" t="s">
        <v>43</v>
      </c>
      <c r="C21">
        <f t="shared" si="0"/>
        <v>4</v>
      </c>
      <c r="D21">
        <f t="shared" si="1"/>
        <v>0</v>
      </c>
      <c r="E21">
        <v>3</v>
      </c>
      <c r="F21">
        <v>0</v>
      </c>
    </row>
    <row r="22" spans="1:6">
      <c r="A22" s="2" t="s">
        <v>44</v>
      </c>
      <c r="B22" s="1" t="s">
        <v>45</v>
      </c>
      <c r="C22">
        <f t="shared" si="0"/>
        <v>3</v>
      </c>
      <c r="D22">
        <f t="shared" si="1"/>
        <v>4</v>
      </c>
      <c r="E22">
        <v>4</v>
      </c>
      <c r="F22">
        <v>1</v>
      </c>
    </row>
    <row r="23" spans="1:6" ht="37.5">
      <c r="A23" s="2" t="s">
        <v>46</v>
      </c>
      <c r="B23" s="1" t="s">
        <v>47</v>
      </c>
      <c r="C23">
        <f t="shared" si="0"/>
        <v>34</v>
      </c>
      <c r="D23">
        <f t="shared" si="1"/>
        <v>0</v>
      </c>
      <c r="E23">
        <v>8</v>
      </c>
      <c r="F23">
        <v>0</v>
      </c>
    </row>
    <row r="24" spans="1:6" ht="37.5">
      <c r="A24" s="2" t="s">
        <v>48</v>
      </c>
      <c r="B24" s="1" t="s">
        <v>49</v>
      </c>
      <c r="C24">
        <f t="shared" si="0"/>
        <v>59</v>
      </c>
      <c r="D24">
        <f t="shared" si="1"/>
        <v>5</v>
      </c>
      <c r="E24">
        <v>10</v>
      </c>
      <c r="F24">
        <v>0.5</v>
      </c>
    </row>
    <row r="25" spans="1:6">
      <c r="A25" s="2" t="s">
        <v>50</v>
      </c>
      <c r="B25" s="1" t="s">
        <v>51</v>
      </c>
      <c r="C25">
        <f t="shared" si="0"/>
        <v>31</v>
      </c>
      <c r="D25">
        <f t="shared" si="1"/>
        <v>8</v>
      </c>
      <c r="E25">
        <v>8</v>
      </c>
      <c r="F25">
        <v>1</v>
      </c>
    </row>
    <row r="26" spans="1:6" ht="37.5">
      <c r="A26" s="2" t="s">
        <v>52</v>
      </c>
      <c r="B26" s="1" t="s">
        <v>53</v>
      </c>
      <c r="C26">
        <f t="shared" si="0"/>
        <v>32</v>
      </c>
      <c r="D26">
        <f t="shared" si="1"/>
        <v>8</v>
      </c>
      <c r="E26">
        <v>8</v>
      </c>
      <c r="F26">
        <v>1</v>
      </c>
    </row>
    <row r="27" spans="1:6">
      <c r="A27" s="2" t="s">
        <v>54</v>
      </c>
      <c r="B27" s="1" t="s">
        <v>55</v>
      </c>
      <c r="C27">
        <f t="shared" si="0"/>
        <v>23</v>
      </c>
      <c r="D27">
        <f t="shared" si="1"/>
        <v>8</v>
      </c>
      <c r="E27">
        <v>8</v>
      </c>
      <c r="F27">
        <v>1</v>
      </c>
    </row>
    <row r="28" spans="1:6">
      <c r="C28" t="str">
        <f t="shared" si="0"/>
        <v/>
      </c>
    </row>
    <row r="29" spans="1:6">
      <c r="C29" t="str">
        <f t="shared" si="0"/>
        <v/>
      </c>
    </row>
    <row r="30" spans="1:6">
      <c r="C30" t="str">
        <f t="shared" si="0"/>
        <v/>
      </c>
    </row>
    <row r="31" spans="1:6">
      <c r="C31" t="str">
        <f t="shared" si="0"/>
        <v/>
      </c>
    </row>
    <row r="32" spans="1:6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185705-F82C-43BF-81B0-E3DE7D67D6B0}">
  <sheetPr codeName="Sheet5"/>
  <dimension ref="A1:F168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25" sqref="B25"/>
    </sheetView>
  </sheetViews>
  <sheetFormatPr defaultRowHeight="18.75"/>
  <cols>
    <col min="1" max="1" width="9" style="2"/>
    <col min="2" max="2" width="53.125" style="1" customWidth="1"/>
    <col min="3" max="3" width="9.75" customWidth="1"/>
  </cols>
  <sheetData>
    <row r="1" spans="1:6">
      <c r="A1" s="2" t="s">
        <v>0</v>
      </c>
      <c r="B1" s="1" t="s">
        <v>13</v>
      </c>
    </row>
    <row r="2" spans="1:6">
      <c r="A2" s="2" t="s">
        <v>2</v>
      </c>
      <c r="B2" s="3" t="s">
        <v>57</v>
      </c>
      <c r="D2">
        <f>SUM(D4:D1001)</f>
        <v>40</v>
      </c>
      <c r="E2">
        <f>SUM(E4:E1001)</f>
        <v>50</v>
      </c>
    </row>
    <row r="3" spans="1:6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6">
      <c r="A4" s="2" t="s">
        <v>21</v>
      </c>
      <c r="B4" s="1" t="s">
        <v>58</v>
      </c>
      <c r="C4">
        <f>IF(B4&lt;&gt;"",LEN(B4),"")</f>
        <v>4</v>
      </c>
      <c r="D4">
        <f>E4*F4</f>
        <v>4</v>
      </c>
      <c r="E4">
        <v>4</v>
      </c>
      <c r="F4">
        <v>1</v>
      </c>
    </row>
    <row r="5" spans="1:6">
      <c r="A5" s="2" t="s">
        <v>31</v>
      </c>
      <c r="B5" s="1" t="s">
        <v>59</v>
      </c>
      <c r="C5">
        <f t="shared" ref="C5:C69" si="0">IF(B5&lt;&gt;"",LEN(B5),"")</f>
        <v>2</v>
      </c>
      <c r="D5">
        <f t="shared" ref="D5:D13" si="1">E5*F5</f>
        <v>0</v>
      </c>
      <c r="E5">
        <v>4</v>
      </c>
      <c r="F5">
        <v>0</v>
      </c>
    </row>
    <row r="6" spans="1:6">
      <c r="A6" s="2" t="s">
        <v>35</v>
      </c>
      <c r="B6" s="1" t="s">
        <v>61</v>
      </c>
      <c r="C6">
        <f t="shared" si="0"/>
        <v>4</v>
      </c>
      <c r="D6">
        <f t="shared" si="1"/>
        <v>4</v>
      </c>
      <c r="E6">
        <v>4</v>
      </c>
      <c r="F6">
        <v>1</v>
      </c>
    </row>
    <row r="7" spans="1:6" ht="37.5">
      <c r="B7" s="1" t="s">
        <v>62</v>
      </c>
      <c r="C7">
        <f t="shared" si="0"/>
        <v>35</v>
      </c>
      <c r="D7">
        <f t="shared" si="1"/>
        <v>6</v>
      </c>
      <c r="E7">
        <v>6</v>
      </c>
      <c r="F7">
        <v>1</v>
      </c>
    </row>
    <row r="8" spans="1:6">
      <c r="A8" s="2" t="s">
        <v>63</v>
      </c>
      <c r="B8" s="1" t="s">
        <v>60</v>
      </c>
      <c r="C8">
        <f t="shared" si="0"/>
        <v>4</v>
      </c>
      <c r="D8">
        <f t="shared" si="1"/>
        <v>4</v>
      </c>
      <c r="E8">
        <v>4</v>
      </c>
      <c r="F8">
        <v>1</v>
      </c>
    </row>
    <row r="9" spans="1:6" ht="37.5">
      <c r="B9" s="1" t="s">
        <v>64</v>
      </c>
      <c r="C9">
        <f t="shared" si="0"/>
        <v>35</v>
      </c>
      <c r="D9">
        <f t="shared" si="1"/>
        <v>6</v>
      </c>
      <c r="E9">
        <v>6</v>
      </c>
      <c r="F9">
        <v>1</v>
      </c>
    </row>
    <row r="10" spans="1:6">
      <c r="A10" s="2" t="s">
        <v>65</v>
      </c>
      <c r="B10" s="1" t="s">
        <v>66</v>
      </c>
      <c r="C10">
        <f t="shared" si="0"/>
        <v>7</v>
      </c>
      <c r="D10">
        <f t="shared" si="1"/>
        <v>4</v>
      </c>
      <c r="E10">
        <v>4</v>
      </c>
      <c r="F10">
        <v>1</v>
      </c>
    </row>
    <row r="11" spans="1:6">
      <c r="A11" s="2" t="s">
        <v>37</v>
      </c>
      <c r="B11" s="1" t="s">
        <v>67</v>
      </c>
      <c r="C11">
        <f t="shared" si="0"/>
        <v>29</v>
      </c>
      <c r="D11">
        <f t="shared" si="1"/>
        <v>6</v>
      </c>
      <c r="E11">
        <v>6</v>
      </c>
      <c r="F11">
        <v>1</v>
      </c>
    </row>
    <row r="12" spans="1:6">
      <c r="A12" s="2" t="s">
        <v>41</v>
      </c>
      <c r="B12" s="1" t="s">
        <v>68</v>
      </c>
      <c r="C12">
        <f t="shared" si="0"/>
        <v>23</v>
      </c>
      <c r="D12">
        <f t="shared" si="1"/>
        <v>0</v>
      </c>
      <c r="E12">
        <v>6</v>
      </c>
      <c r="F12">
        <v>0</v>
      </c>
    </row>
    <row r="13" spans="1:6">
      <c r="A13" s="2" t="s">
        <v>44</v>
      </c>
      <c r="B13" s="1" t="s">
        <v>69</v>
      </c>
      <c r="C13">
        <f t="shared" si="0"/>
        <v>6</v>
      </c>
      <c r="D13">
        <f t="shared" si="1"/>
        <v>6</v>
      </c>
      <c r="E13">
        <v>6</v>
      </c>
      <c r="F13">
        <v>1</v>
      </c>
    </row>
    <row r="14" spans="1:6">
      <c r="C14" t="str">
        <f t="shared" si="0"/>
        <v/>
      </c>
    </row>
    <row r="15" spans="1:6">
      <c r="C15" t="str">
        <f t="shared" si="0"/>
        <v/>
      </c>
    </row>
    <row r="16" spans="1:6">
      <c r="C16" t="str">
        <f t="shared" si="0"/>
        <v/>
      </c>
    </row>
    <row r="17" spans="1:6">
      <c r="C17" t="str">
        <f t="shared" si="0"/>
        <v/>
      </c>
    </row>
    <row r="18" spans="1:6">
      <c r="A18" s="2" t="s">
        <v>31</v>
      </c>
      <c r="B18" s="1" t="s">
        <v>111</v>
      </c>
      <c r="C18">
        <f t="shared" si="0"/>
        <v>7</v>
      </c>
      <c r="F18">
        <v>1</v>
      </c>
    </row>
    <row r="19" spans="1:6">
      <c r="A19" s="2" t="s">
        <v>35</v>
      </c>
      <c r="B19" s="1" t="s">
        <v>61</v>
      </c>
      <c r="C19">
        <f t="shared" si="0"/>
        <v>4</v>
      </c>
      <c r="F19">
        <v>1</v>
      </c>
    </row>
    <row r="20" spans="1:6" ht="37.5">
      <c r="B20" s="1" t="s">
        <v>112</v>
      </c>
      <c r="C20">
        <f t="shared" si="0"/>
        <v>40</v>
      </c>
      <c r="F20">
        <v>1</v>
      </c>
    </row>
    <row r="21" spans="1:6">
      <c r="A21" s="2" t="s">
        <v>37</v>
      </c>
      <c r="B21" s="1" t="s">
        <v>113</v>
      </c>
      <c r="C21">
        <f t="shared" si="0"/>
        <v>27</v>
      </c>
      <c r="F21">
        <v>1</v>
      </c>
    </row>
    <row r="22" spans="1:6">
      <c r="A22" s="2" t="s">
        <v>41</v>
      </c>
      <c r="B22" s="1" t="s">
        <v>114</v>
      </c>
      <c r="C22">
        <f t="shared" si="0"/>
        <v>27</v>
      </c>
      <c r="F22">
        <v>1</v>
      </c>
    </row>
    <row r="23" spans="1:6">
      <c r="C23" t="str">
        <f t="shared" si="0"/>
        <v/>
      </c>
    </row>
    <row r="24" spans="1:6" ht="37.5">
      <c r="B24" s="1" t="s">
        <v>116</v>
      </c>
      <c r="C24">
        <f t="shared" si="0"/>
        <v>30</v>
      </c>
    </row>
    <row r="25" spans="1:6" ht="37.5">
      <c r="B25" s="1" t="s">
        <v>115</v>
      </c>
      <c r="C25">
        <f t="shared" si="0"/>
        <v>49</v>
      </c>
    </row>
    <row r="26" spans="1:6">
      <c r="C26" t="str">
        <f t="shared" si="0"/>
        <v/>
      </c>
    </row>
    <row r="27" spans="1:6">
      <c r="C27" t="str">
        <f t="shared" si="0"/>
        <v/>
      </c>
    </row>
    <row r="28" spans="1:6">
      <c r="C28" t="str">
        <f t="shared" si="0"/>
        <v/>
      </c>
    </row>
    <row r="29" spans="1:6">
      <c r="C29" t="str">
        <f t="shared" si="0"/>
        <v/>
      </c>
    </row>
    <row r="30" spans="1:6">
      <c r="C30" t="str">
        <f t="shared" si="0"/>
        <v/>
      </c>
    </row>
    <row r="31" spans="1:6">
      <c r="C31" t="str">
        <f t="shared" si="0"/>
        <v/>
      </c>
    </row>
    <row r="32" spans="1:6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si="0"/>
        <v/>
      </c>
    </row>
    <row r="70" spans="3:3">
      <c r="C70" t="str">
        <f t="shared" ref="C70:C133" si="2">IF(B70&lt;&gt;"",LEN(B70),"")</f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si="2"/>
        <v/>
      </c>
    </row>
    <row r="134" spans="3:3">
      <c r="C134" t="str">
        <f t="shared" ref="C134:C168" si="3">IF(B134&lt;&gt;"",LEN(B134),"")</f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  <row r="168" spans="3:3">
      <c r="C168" t="str">
        <f t="shared" si="3"/>
        <v/>
      </c>
    </row>
  </sheetData>
  <autoFilter ref="A3:F168" xr:uid="{4A185705-F82C-43BF-81B0-E3DE7D67D6B0}"/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4086DB-1AC5-4A38-8EB6-52191F3DEE12}">
  <sheetPr codeName="Sheet6"/>
  <dimension ref="A1:K168"/>
  <sheetViews>
    <sheetView tabSelected="1" zoomScaleNormal="100" workbookViewId="0">
      <pane xSplit="1" ySplit="3" topLeftCell="B15" activePane="bottomRight" state="frozen"/>
      <selection pane="topRight" activeCell="B1" sqref="B1"/>
      <selection pane="bottomLeft" activeCell="A4" sqref="A4"/>
      <selection pane="bottomRight" activeCell="F27" sqref="F27"/>
    </sheetView>
  </sheetViews>
  <sheetFormatPr defaultRowHeight="18.75"/>
  <cols>
    <col min="1" max="1" width="9" style="2"/>
    <col min="2" max="2" width="53.625" style="1" customWidth="1"/>
    <col min="3" max="3" width="9.75" customWidth="1"/>
  </cols>
  <sheetData>
    <row r="1" spans="1:11">
      <c r="A1" s="2" t="s">
        <v>0</v>
      </c>
      <c r="B1" s="1" t="s">
        <v>13</v>
      </c>
    </row>
    <row r="2" spans="1:11">
      <c r="A2" s="2" t="s">
        <v>2</v>
      </c>
      <c r="B2" s="3" t="s">
        <v>71</v>
      </c>
      <c r="D2">
        <f>SUM(D4:D1001)</f>
        <v>46</v>
      </c>
      <c r="E2">
        <f>SUM(E4:E1001)</f>
        <v>50</v>
      </c>
    </row>
    <row r="3" spans="1:11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1">
      <c r="A4" s="2" t="s">
        <v>80</v>
      </c>
      <c r="B4" s="1" t="s">
        <v>82</v>
      </c>
      <c r="C4">
        <f>IF(B4&lt;&gt;"",LEN(B4),"")</f>
        <v>4</v>
      </c>
      <c r="D4">
        <f>E4*F4</f>
        <v>2</v>
      </c>
      <c r="E4">
        <v>2</v>
      </c>
      <c r="F4">
        <v>1</v>
      </c>
      <c r="G4" t="s">
        <v>72</v>
      </c>
      <c r="I4" t="s">
        <v>79</v>
      </c>
      <c r="K4" t="s">
        <v>93</v>
      </c>
    </row>
    <row r="5" spans="1:11">
      <c r="B5" s="1" t="s">
        <v>81</v>
      </c>
      <c r="C5">
        <f t="shared" ref="C5:C69" si="0">IF(B5&lt;&gt;"",LEN(B5),"")</f>
        <v>4</v>
      </c>
      <c r="D5">
        <f t="shared" ref="D5:D24" si="1">E5*F5</f>
        <v>2</v>
      </c>
      <c r="E5">
        <v>2</v>
      </c>
      <c r="F5">
        <v>1</v>
      </c>
      <c r="G5" t="s">
        <v>73</v>
      </c>
      <c r="I5" t="s">
        <v>86</v>
      </c>
    </row>
    <row r="6" spans="1:11">
      <c r="B6" s="1" t="s">
        <v>83</v>
      </c>
      <c r="C6">
        <f t="shared" si="0"/>
        <v>4</v>
      </c>
      <c r="D6">
        <f t="shared" si="1"/>
        <v>2</v>
      </c>
      <c r="E6">
        <v>2</v>
      </c>
      <c r="F6">
        <v>1</v>
      </c>
      <c r="G6" t="s">
        <v>74</v>
      </c>
      <c r="I6" t="s">
        <v>87</v>
      </c>
    </row>
    <row r="7" spans="1:11" ht="37.5">
      <c r="A7" s="2" t="s">
        <v>84</v>
      </c>
      <c r="B7" s="1" t="s">
        <v>85</v>
      </c>
      <c r="C7">
        <f t="shared" si="0"/>
        <v>31</v>
      </c>
      <c r="D7">
        <f t="shared" si="1"/>
        <v>4</v>
      </c>
      <c r="E7">
        <v>4</v>
      </c>
      <c r="F7">
        <v>1</v>
      </c>
      <c r="G7" t="s">
        <v>75</v>
      </c>
      <c r="I7" t="s">
        <v>91</v>
      </c>
    </row>
    <row r="8" spans="1:11">
      <c r="A8" s="2" t="s">
        <v>31</v>
      </c>
      <c r="B8" s="1" t="s">
        <v>88</v>
      </c>
      <c r="C8">
        <f t="shared" si="0"/>
        <v>4</v>
      </c>
      <c r="D8">
        <f t="shared" si="1"/>
        <v>2</v>
      </c>
      <c r="E8">
        <v>2</v>
      </c>
      <c r="F8">
        <v>1</v>
      </c>
      <c r="G8" t="s">
        <v>76</v>
      </c>
      <c r="I8" t="s">
        <v>94</v>
      </c>
    </row>
    <row r="9" spans="1:11">
      <c r="B9" s="1" t="s">
        <v>89</v>
      </c>
      <c r="C9">
        <f t="shared" si="0"/>
        <v>4</v>
      </c>
      <c r="D9">
        <f t="shared" si="1"/>
        <v>2</v>
      </c>
      <c r="E9">
        <v>2</v>
      </c>
      <c r="F9">
        <v>1</v>
      </c>
      <c r="G9" t="s">
        <v>77</v>
      </c>
      <c r="I9" t="s">
        <v>96</v>
      </c>
    </row>
    <row r="10" spans="1:11">
      <c r="B10" s="1" t="s">
        <v>90</v>
      </c>
      <c r="C10">
        <f t="shared" si="0"/>
        <v>4</v>
      </c>
      <c r="D10">
        <f t="shared" si="1"/>
        <v>2</v>
      </c>
      <c r="E10">
        <v>2</v>
      </c>
      <c r="F10">
        <v>1</v>
      </c>
      <c r="G10" t="s">
        <v>78</v>
      </c>
    </row>
    <row r="11" spans="1:11">
      <c r="A11" s="2" t="s">
        <v>35</v>
      </c>
      <c r="B11" s="1" t="s">
        <v>92</v>
      </c>
      <c r="C11">
        <f t="shared" si="0"/>
        <v>1</v>
      </c>
      <c r="D11">
        <f t="shared" si="1"/>
        <v>2</v>
      </c>
      <c r="E11">
        <v>2</v>
      </c>
      <c r="F11">
        <v>1</v>
      </c>
    </row>
    <row r="12" spans="1:11">
      <c r="A12" s="2" t="s">
        <v>37</v>
      </c>
      <c r="B12" s="1" t="s">
        <v>95</v>
      </c>
      <c r="C12">
        <f t="shared" si="0"/>
        <v>23</v>
      </c>
      <c r="D12">
        <f t="shared" si="1"/>
        <v>4</v>
      </c>
      <c r="E12">
        <v>4</v>
      </c>
      <c r="F12">
        <v>1</v>
      </c>
    </row>
    <row r="13" spans="1:11" ht="37.5">
      <c r="A13" s="2" t="s">
        <v>41</v>
      </c>
      <c r="B13" s="1" t="s">
        <v>97</v>
      </c>
      <c r="C13">
        <f t="shared" si="0"/>
        <v>32</v>
      </c>
      <c r="D13">
        <f t="shared" si="1"/>
        <v>6</v>
      </c>
      <c r="E13">
        <v>6</v>
      </c>
      <c r="F13">
        <v>1</v>
      </c>
    </row>
    <row r="14" spans="1:11">
      <c r="A14" s="2" t="s">
        <v>44</v>
      </c>
      <c r="B14" s="1" t="s">
        <v>98</v>
      </c>
      <c r="C14">
        <f t="shared" si="0"/>
        <v>1</v>
      </c>
      <c r="D14">
        <f t="shared" si="1"/>
        <v>0</v>
      </c>
      <c r="E14">
        <v>2</v>
      </c>
      <c r="F14">
        <v>0</v>
      </c>
    </row>
    <row r="15" spans="1:11">
      <c r="A15" s="2" t="s">
        <v>99</v>
      </c>
      <c r="B15" s="1" t="s">
        <v>100</v>
      </c>
      <c r="C15">
        <f t="shared" si="0"/>
        <v>4</v>
      </c>
      <c r="D15">
        <f t="shared" si="1"/>
        <v>0</v>
      </c>
      <c r="E15">
        <v>2</v>
      </c>
      <c r="F15">
        <v>0</v>
      </c>
    </row>
    <row r="16" spans="1:11">
      <c r="B16" s="1" t="s">
        <v>101</v>
      </c>
      <c r="C16">
        <f t="shared" si="0"/>
        <v>4</v>
      </c>
      <c r="D16">
        <f t="shared" si="1"/>
        <v>2</v>
      </c>
      <c r="E16">
        <v>2</v>
      </c>
      <c r="F16">
        <v>1</v>
      </c>
    </row>
    <row r="17" spans="1:7">
      <c r="A17" s="2" t="s">
        <v>102</v>
      </c>
      <c r="B17" s="1" t="s">
        <v>103</v>
      </c>
      <c r="C17">
        <f t="shared" si="0"/>
        <v>3</v>
      </c>
      <c r="D17">
        <f t="shared" si="1"/>
        <v>2</v>
      </c>
      <c r="E17">
        <v>2</v>
      </c>
      <c r="F17">
        <v>1</v>
      </c>
    </row>
    <row r="18" spans="1:7">
      <c r="B18" s="1" t="s">
        <v>104</v>
      </c>
      <c r="C18">
        <f t="shared" si="0"/>
        <v>3</v>
      </c>
      <c r="D18">
        <f t="shared" si="1"/>
        <v>2</v>
      </c>
      <c r="E18">
        <v>2</v>
      </c>
      <c r="F18">
        <v>1</v>
      </c>
    </row>
    <row r="19" spans="1:7">
      <c r="B19" s="1" t="s">
        <v>105</v>
      </c>
      <c r="C19">
        <f t="shared" si="0"/>
        <v>20</v>
      </c>
      <c r="D19">
        <f t="shared" si="1"/>
        <v>2</v>
      </c>
      <c r="E19">
        <v>2</v>
      </c>
      <c r="F19">
        <v>1</v>
      </c>
    </row>
    <row r="20" spans="1:7">
      <c r="B20" s="1" t="s">
        <v>106</v>
      </c>
      <c r="C20">
        <f t="shared" si="0"/>
        <v>9</v>
      </c>
      <c r="D20">
        <f t="shared" si="1"/>
        <v>2</v>
      </c>
      <c r="E20">
        <v>2</v>
      </c>
      <c r="F20">
        <v>1</v>
      </c>
    </row>
    <row r="21" spans="1:7">
      <c r="B21" s="1" t="s">
        <v>107</v>
      </c>
      <c r="C21">
        <f t="shared" si="0"/>
        <v>5</v>
      </c>
      <c r="D21">
        <f t="shared" si="1"/>
        <v>2</v>
      </c>
      <c r="E21">
        <v>2</v>
      </c>
      <c r="F21">
        <v>1</v>
      </c>
    </row>
    <row r="22" spans="1:7">
      <c r="B22" s="1" t="s">
        <v>108</v>
      </c>
      <c r="C22">
        <f t="shared" si="0"/>
        <v>14</v>
      </c>
      <c r="D22">
        <f t="shared" si="1"/>
        <v>2</v>
      </c>
      <c r="E22">
        <v>2</v>
      </c>
      <c r="F22">
        <v>1</v>
      </c>
    </row>
    <row r="23" spans="1:7">
      <c r="B23" s="1" t="s">
        <v>109</v>
      </c>
      <c r="C23">
        <f t="shared" si="0"/>
        <v>6</v>
      </c>
      <c r="D23">
        <f t="shared" si="1"/>
        <v>2</v>
      </c>
      <c r="E23">
        <v>2</v>
      </c>
      <c r="F23">
        <v>1</v>
      </c>
    </row>
    <row r="24" spans="1:7">
      <c r="B24" s="1" t="s">
        <v>110</v>
      </c>
      <c r="C24">
        <f t="shared" si="0"/>
        <v>5</v>
      </c>
      <c r="D24">
        <f t="shared" si="1"/>
        <v>2</v>
      </c>
      <c r="E24">
        <v>2</v>
      </c>
      <c r="F24">
        <v>1</v>
      </c>
    </row>
    <row r="25" spans="1:7">
      <c r="C25" t="str">
        <f t="shared" si="0"/>
        <v/>
      </c>
    </row>
    <row r="26" spans="1:7">
      <c r="C26" t="str">
        <f t="shared" si="0"/>
        <v/>
      </c>
    </row>
    <row r="27" spans="1:7">
      <c r="A27" s="2" t="s">
        <v>117</v>
      </c>
      <c r="B27" s="1" t="s">
        <v>121</v>
      </c>
      <c r="C27">
        <f t="shared" si="0"/>
        <v>24</v>
      </c>
      <c r="F27">
        <v>1</v>
      </c>
      <c r="G27" t="s">
        <v>122</v>
      </c>
    </row>
    <row r="28" spans="1:7" ht="37.5">
      <c r="A28" s="2" t="s">
        <v>118</v>
      </c>
      <c r="B28" s="1" t="s">
        <v>123</v>
      </c>
      <c r="C28">
        <f t="shared" si="0"/>
        <v>32</v>
      </c>
      <c r="F28">
        <v>1</v>
      </c>
    </row>
    <row r="29" spans="1:7">
      <c r="A29" s="2" t="s">
        <v>119</v>
      </c>
      <c r="B29" s="1" t="s">
        <v>124</v>
      </c>
      <c r="C29">
        <f t="shared" si="0"/>
        <v>11</v>
      </c>
    </row>
    <row r="30" spans="1:7">
      <c r="B30" s="1" t="s">
        <v>125</v>
      </c>
      <c r="C30">
        <f t="shared" si="0"/>
        <v>1</v>
      </c>
      <c r="F30">
        <v>1</v>
      </c>
    </row>
    <row r="31" spans="1:7">
      <c r="A31" s="2" t="s">
        <v>120</v>
      </c>
      <c r="B31" s="1" t="s">
        <v>126</v>
      </c>
      <c r="C31">
        <f t="shared" si="0"/>
        <v>4</v>
      </c>
      <c r="F31">
        <v>1</v>
      </c>
    </row>
    <row r="32" spans="1:7">
      <c r="B32" s="1" t="s">
        <v>101</v>
      </c>
      <c r="C32">
        <f t="shared" si="0"/>
        <v>4</v>
      </c>
      <c r="F32">
        <v>1</v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si="0"/>
        <v/>
      </c>
    </row>
    <row r="70" spans="3:3">
      <c r="C70" t="str">
        <f t="shared" ref="C70:C133" si="2">IF(B70&lt;&gt;"",LEN(B70),"")</f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si="2"/>
        <v/>
      </c>
    </row>
    <row r="134" spans="3:3">
      <c r="C134" t="str">
        <f t="shared" ref="C134:C168" si="3">IF(B134&lt;&gt;"",LEN(B134),"")</f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  <row r="168" spans="3:3">
      <c r="C168" t="str">
        <f t="shared" si="3"/>
        <v/>
      </c>
    </row>
  </sheetData>
  <autoFilter ref="A3:K168" xr:uid="{334086DB-1AC5-4A38-8EB6-52191F3DEE12}"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レビュー</vt:lpstr>
      <vt:lpstr>format</vt:lpstr>
      <vt:lpstr>1</vt:lpstr>
      <vt:lpstr>2</vt:lpstr>
      <vt:lpstr>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yoshinaga</dc:creator>
  <cp:lastModifiedBy>信一 吉永</cp:lastModifiedBy>
  <dcterms:created xsi:type="dcterms:W3CDTF">2015-06-05T18:19:34Z</dcterms:created>
  <dcterms:modified xsi:type="dcterms:W3CDTF">2025-03-22T05:15:14Z</dcterms:modified>
</cp:coreProperties>
</file>