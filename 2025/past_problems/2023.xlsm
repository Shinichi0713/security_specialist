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5A71838F-43A4-4998-89B1-9FE29901D1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5" l="1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" i="5" s="1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<sst xmlns="http://schemas.openxmlformats.org/spreadsheetml/2006/main" count="64" uniqueCount="56">
  <si>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</si>
  <si>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</si>
  <si>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</si>
  <si>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</si>
  <si>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</si>
  <si>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</si>
  <si>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</si>
  <si>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</si>
  <si>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</si>
  <si>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</si>
  <si>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</si>
  <si>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</si>
  <si>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2023春</t>
  </si>
  <si>
    <t>2023春</t>
    <rPh sb="4" eb="5">
      <t>ハル</t>
    </rPh>
    <phoneticPr fontId="1"/>
  </si>
  <si>
    <t>webサイト沢山</t>
    <rPh sb="6" eb="8">
      <t>タクサン</t>
    </rPh>
    <phoneticPr fontId="1"/>
  </si>
  <si>
    <t>CISOが率いるセキュリティ</t>
    <rPh sb="5" eb="6">
      <t>ヒキ</t>
    </rPh>
    <phoneticPr fontId="1"/>
  </si>
  <si>
    <t>脆弱性診断</t>
    <rPh sb="0" eb="3">
      <t>ゼイジャクセイ</t>
    </rPh>
    <rPh sb="3" eb="5">
      <t>シンダン</t>
    </rPh>
    <phoneticPr fontId="1"/>
  </si>
  <si>
    <t>新規リリース</t>
    <rPh sb="0" eb="2">
      <t>シンキ</t>
    </rPh>
    <phoneticPr fontId="1"/>
  </si>
  <si>
    <t>セキュリティが競技して診断管理</t>
    <rPh sb="7" eb="9">
      <t>キョウギ</t>
    </rPh>
    <rPh sb="11" eb="13">
      <t>シンダン</t>
    </rPh>
    <rPh sb="13" eb="15">
      <t>カンリ</t>
    </rPh>
    <phoneticPr fontId="1"/>
  </si>
  <si>
    <t>PM2-2</t>
  </si>
  <si>
    <t>PM2-2</t>
    <phoneticPr fontId="1"/>
  </si>
  <si>
    <t>1</t>
    <phoneticPr fontId="1"/>
  </si>
  <si>
    <t>i:〇</t>
    <phoneticPr fontId="1"/>
  </si>
  <si>
    <t>h:〇</t>
    <phoneticPr fontId="1"/>
  </si>
  <si>
    <t>g:〇</t>
    <phoneticPr fontId="1"/>
  </si>
  <si>
    <t>f:×</t>
    <phoneticPr fontId="1"/>
  </si>
  <si>
    <t>e:〇</t>
    <phoneticPr fontId="1"/>
  </si>
  <si>
    <t>d:〇</t>
    <phoneticPr fontId="1"/>
  </si>
  <si>
    <t>c:×</t>
    <phoneticPr fontId="1"/>
  </si>
  <si>
    <t>b:×</t>
    <phoneticPr fontId="1"/>
  </si>
  <si>
    <t>a:〇</t>
    <phoneticPr fontId="1"/>
  </si>
  <si>
    <t>2-1</t>
    <phoneticPr fontId="1"/>
  </si>
  <si>
    <t>j:ウ</t>
    <phoneticPr fontId="1"/>
  </si>
  <si>
    <t>k:エ</t>
    <phoneticPr fontId="1"/>
  </si>
  <si>
    <t>l:ウ</t>
    <phoneticPr fontId="1"/>
  </si>
  <si>
    <t>2-2</t>
    <phoneticPr fontId="1"/>
  </si>
  <si>
    <t>{
       system: 4000,
       account: 11[1-9][0-9],
       service: オブジェクトストレージサービス,
       event: オブジェクトの削除
}</t>
    <rPh sb="107" eb="109">
      <t>サクジョ</t>
    </rPh>
    <phoneticPr fontId="1"/>
  </si>
  <si>
    <t>3-1</t>
    <phoneticPr fontId="1"/>
  </si>
  <si>
    <t>m: 新日記サービス</t>
    <rPh sb="3" eb="6">
      <t>シンニッキ</t>
    </rPh>
    <phoneticPr fontId="1"/>
  </si>
  <si>
    <t>n: サービスT</t>
    <phoneticPr fontId="1"/>
  </si>
  <si>
    <t>o: サービスT</t>
    <phoneticPr fontId="1"/>
  </si>
  <si>
    <t>3-2</t>
    <phoneticPr fontId="1"/>
  </si>
  <si>
    <t>p: 3</t>
    <phoneticPr fontId="1"/>
  </si>
  <si>
    <t>q: 6</t>
    <phoneticPr fontId="1"/>
  </si>
  <si>
    <t>3-3</t>
    <phoneticPr fontId="1"/>
  </si>
  <si>
    <t>ウ、エ</t>
    <phoneticPr fontId="1"/>
  </si>
  <si>
    <t>4-1</t>
    <phoneticPr fontId="1"/>
  </si>
  <si>
    <t>実在する会員のクライアントシークレットを推測することは困難であるため</t>
    <rPh sb="0" eb="2">
      <t>ジツザイ</t>
    </rPh>
    <rPh sb="4" eb="6">
      <t>カイイン</t>
    </rPh>
    <rPh sb="20" eb="22">
      <t>スイソク</t>
    </rPh>
    <rPh sb="27" eb="29">
      <t>コンナン</t>
    </rPh>
    <phoneticPr fontId="1"/>
  </si>
  <si>
    <t>4-2</t>
    <phoneticPr fontId="1"/>
  </si>
  <si>
    <t>懸賞コードのSHA-256のハッシュ値をbase64urlエンコードした値と、チャレンジコードの値が一致するか検証する</t>
    <rPh sb="0" eb="2">
      <t>ケンショウ</t>
    </rPh>
    <rPh sb="18" eb="19">
      <t>アタイ</t>
    </rPh>
    <rPh sb="36" eb="37">
      <t>アタイ</t>
    </rPh>
    <rPh sb="48" eb="49">
      <t>アタイ</t>
    </rPh>
    <rPh sb="50" eb="52">
      <t>イッチ</t>
    </rPh>
    <rPh sb="55" eb="57">
      <t>ケンショウ</t>
    </rPh>
    <phoneticPr fontId="1"/>
  </si>
  <si>
    <t>5-1</t>
    <phoneticPr fontId="1"/>
  </si>
  <si>
    <t>sauceコードの変更履歴よりZファイルの差分情報より取得した</t>
    <rPh sb="9" eb="11">
      <t>ヘンコウ</t>
    </rPh>
    <rPh sb="11" eb="13">
      <t>リレキ</t>
    </rPh>
    <rPh sb="21" eb="25">
      <t>サブンジョウホウ</t>
    </rPh>
    <rPh sb="27" eb="29">
      <t>シュトク</t>
    </rPh>
    <phoneticPr fontId="1"/>
  </si>
  <si>
    <t>5-2</t>
    <phoneticPr fontId="1"/>
  </si>
  <si>
    <t>開発者が、自分のアップロードしたファイルを承認する権限を削除する</t>
    <rPh sb="0" eb="2">
      <t>カイハツ</t>
    </rPh>
    <rPh sb="2" eb="3">
      <t>シャ</t>
    </rPh>
    <rPh sb="5" eb="7">
      <t>ジブン</t>
    </rPh>
    <rPh sb="21" eb="23">
      <t>ショウニン</t>
    </rPh>
    <rPh sb="25" eb="27">
      <t>ケンゲン</t>
    </rPh>
    <rPh sb="28" eb="30">
      <t>サクジョ</t>
    </rPh>
    <phoneticPr fontId="1"/>
  </si>
  <si>
    <t>5-3</t>
    <phoneticPr fontId="1"/>
  </si>
  <si>
    <t>X社CIにはダウンロードする権限のみを付与する</t>
    <rPh sb="1" eb="2">
      <t>シャ</t>
    </rPh>
    <rPh sb="14" eb="16">
      <t>ケンゲン</t>
    </rPh>
    <rPh sb="19" eb="21">
      <t>フヨ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</si>
</sst>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workbookViewId="0">
      <selection activeCell="F12" sqref="F12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19</v>
      </c>
      <c r="D2">
        <v>82</v>
      </c>
      <c r="E2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8A4C-D5A9-4E32-A16F-7B0F8BD0916D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5" sqref="E15"/>
    </sheetView>
  </sheetViews>
  <sheetFormatPr defaultRowHeight="18.75"/>
  <cols>
    <col min="1" max="1" width="9" style="2"/>
    <col min="2" max="2" width="58.12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20</v>
      </c>
      <c r="D2">
        <f>SUM(D4:D1000)</f>
        <v>82</v>
      </c>
      <c r="E2">
        <f>SUM(E4:E1000)</f>
        <v>100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21</v>
      </c>
      <c r="B4" s="1" t="s">
        <v>30</v>
      </c>
      <c r="C4">
        <f>IF(B4&lt;&gt;"",LEN(B4),"")</f>
        <v>3</v>
      </c>
      <c r="D4">
        <f>E4*F4</f>
        <v>2</v>
      </c>
      <c r="E4">
        <v>2</v>
      </c>
      <c r="F4">
        <v>1</v>
      </c>
      <c r="G4" t="s">
        <v>14</v>
      </c>
    </row>
    <row r="5" spans="1:7">
      <c r="B5" s="1" t="s">
        <v>29</v>
      </c>
      <c r="C5">
        <f t="shared" ref="C5:C68" si="0">IF(B5&lt;&gt;"",LEN(B5),"")</f>
        <v>3</v>
      </c>
      <c r="D5">
        <f t="shared" ref="D5:D27" si="1">E5*F5</f>
        <v>2</v>
      </c>
      <c r="E5">
        <v>2</v>
      </c>
      <c r="F5">
        <v>1</v>
      </c>
      <c r="G5" t="s">
        <v>15</v>
      </c>
    </row>
    <row r="6" spans="1:7">
      <c r="B6" s="1" t="s">
        <v>28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16</v>
      </c>
    </row>
    <row r="7" spans="1:7">
      <c r="B7" s="1" t="s">
        <v>27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17</v>
      </c>
    </row>
    <row r="8" spans="1:7">
      <c r="B8" s="1" t="s">
        <v>26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18</v>
      </c>
    </row>
    <row r="9" spans="1:7">
      <c r="B9" s="1" t="s">
        <v>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7">
      <c r="B10" s="1" t="s">
        <v>24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7">
      <c r="B11" s="1" t="s">
        <v>23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7">
      <c r="B12" s="1" t="s">
        <v>22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7">
      <c r="A13" s="2" t="s">
        <v>31</v>
      </c>
      <c r="B13" s="1" t="s">
        <v>32</v>
      </c>
      <c r="C13">
        <f t="shared" si="0"/>
        <v>3</v>
      </c>
      <c r="D13">
        <f t="shared" si="1"/>
        <v>2</v>
      </c>
      <c r="E13">
        <v>2</v>
      </c>
      <c r="F13">
        <v>1</v>
      </c>
    </row>
    <row r="14" spans="1:7">
      <c r="B14" s="1" t="s">
        <v>33</v>
      </c>
      <c r="C14">
        <f t="shared" si="0"/>
        <v>3</v>
      </c>
      <c r="D14">
        <f t="shared" si="1"/>
        <v>2</v>
      </c>
      <c r="E14">
        <v>2</v>
      </c>
      <c r="F14">
        <v>1</v>
      </c>
    </row>
    <row r="15" spans="1:7">
      <c r="B15" s="1" t="s">
        <v>34</v>
      </c>
      <c r="C15">
        <f t="shared" si="0"/>
        <v>3</v>
      </c>
      <c r="D15">
        <f t="shared" si="1"/>
        <v>0</v>
      </c>
      <c r="E15">
        <v>2</v>
      </c>
      <c r="F15">
        <v>0</v>
      </c>
    </row>
    <row r="16" spans="1:7" ht="112.5">
      <c r="A16" s="2" t="s">
        <v>35</v>
      </c>
      <c r="B16" s="1" t="s">
        <v>36</v>
      </c>
      <c r="C16">
        <f t="shared" si="0"/>
        <v>111</v>
      </c>
      <c r="D16">
        <f t="shared" si="1"/>
        <v>6</v>
      </c>
      <c r="E16">
        <v>6</v>
      </c>
      <c r="F16">
        <v>1</v>
      </c>
    </row>
    <row r="17" spans="1:6">
      <c r="A17" s="2" t="s">
        <v>37</v>
      </c>
      <c r="B17" s="1" t="s">
        <v>38</v>
      </c>
      <c r="C17">
        <f t="shared" si="0"/>
        <v>10</v>
      </c>
      <c r="D17">
        <f t="shared" si="1"/>
        <v>6</v>
      </c>
      <c r="E17">
        <v>6</v>
      </c>
      <c r="F17">
        <v>1</v>
      </c>
    </row>
    <row r="18" spans="1:6">
      <c r="B18" s="1" t="s">
        <v>39</v>
      </c>
      <c r="C18">
        <f t="shared" si="0"/>
        <v>8</v>
      </c>
      <c r="D18">
        <f t="shared" si="1"/>
        <v>6</v>
      </c>
      <c r="E18">
        <v>6</v>
      </c>
      <c r="F18">
        <v>1</v>
      </c>
    </row>
    <row r="19" spans="1:6">
      <c r="B19" s="1" t="s">
        <v>40</v>
      </c>
      <c r="C19">
        <f t="shared" si="0"/>
        <v>8</v>
      </c>
      <c r="D19">
        <f t="shared" si="1"/>
        <v>6</v>
      </c>
      <c r="E19">
        <v>6</v>
      </c>
      <c r="F19">
        <v>1</v>
      </c>
    </row>
    <row r="20" spans="1:6">
      <c r="A20" s="2" t="s">
        <v>41</v>
      </c>
      <c r="B20" s="1" t="s">
        <v>42</v>
      </c>
      <c r="C20">
        <f t="shared" si="0"/>
        <v>4</v>
      </c>
      <c r="D20">
        <f t="shared" si="1"/>
        <v>3</v>
      </c>
      <c r="E20">
        <v>3</v>
      </c>
      <c r="F20">
        <v>1</v>
      </c>
    </row>
    <row r="21" spans="1:6">
      <c r="B21" s="1" t="s">
        <v>43</v>
      </c>
      <c r="C21">
        <f t="shared" si="0"/>
        <v>4</v>
      </c>
      <c r="D21">
        <f t="shared" si="1"/>
        <v>0</v>
      </c>
      <c r="E21">
        <v>3</v>
      </c>
      <c r="F21">
        <v>0</v>
      </c>
    </row>
    <row r="22" spans="1:6">
      <c r="A22" s="2" t="s">
        <v>44</v>
      </c>
      <c r="B22" s="1" t="s">
        <v>45</v>
      </c>
      <c r="C22">
        <f t="shared" si="0"/>
        <v>3</v>
      </c>
      <c r="D22">
        <f t="shared" si="1"/>
        <v>4</v>
      </c>
      <c r="E22">
        <v>4</v>
      </c>
      <c r="F22">
        <v>1</v>
      </c>
    </row>
    <row r="23" spans="1:6" ht="37.5">
      <c r="A23" s="2" t="s">
        <v>46</v>
      </c>
      <c r="B23" s="1" t="s">
        <v>47</v>
      </c>
      <c r="C23">
        <f t="shared" si="0"/>
        <v>34</v>
      </c>
      <c r="D23">
        <f t="shared" si="1"/>
        <v>0</v>
      </c>
      <c r="E23">
        <v>8</v>
      </c>
      <c r="F23">
        <v>0</v>
      </c>
    </row>
    <row r="24" spans="1:6" ht="37.5">
      <c r="A24" s="2" t="s">
        <v>48</v>
      </c>
      <c r="B24" s="1" t="s">
        <v>49</v>
      </c>
      <c r="C24">
        <f t="shared" si="0"/>
        <v>59</v>
      </c>
      <c r="D24">
        <f t="shared" si="1"/>
        <v>5</v>
      </c>
      <c r="E24">
        <v>10</v>
      </c>
      <c r="F24">
        <v>0.5</v>
      </c>
    </row>
    <row r="25" spans="1:6">
      <c r="A25" s="2" t="s">
        <v>50</v>
      </c>
      <c r="B25" s="1" t="s">
        <v>51</v>
      </c>
      <c r="C25">
        <f t="shared" si="0"/>
        <v>31</v>
      </c>
      <c r="D25">
        <f t="shared" si="1"/>
        <v>8</v>
      </c>
      <c r="E25">
        <v>8</v>
      </c>
      <c r="F25">
        <v>1</v>
      </c>
    </row>
    <row r="26" spans="1:6" ht="37.5">
      <c r="A26" s="2" t="s">
        <v>52</v>
      </c>
      <c r="B26" s="1" t="s">
        <v>53</v>
      </c>
      <c r="C26">
        <f t="shared" si="0"/>
        <v>32</v>
      </c>
      <c r="D26">
        <f t="shared" si="1"/>
        <v>8</v>
      </c>
      <c r="E26">
        <v>8</v>
      </c>
      <c r="F26">
        <v>1</v>
      </c>
    </row>
    <row r="27" spans="1:6">
      <c r="A27" s="2" t="s">
        <v>54</v>
      </c>
      <c r="B27" s="1" t="s">
        <v>55</v>
      </c>
      <c r="C27">
        <f t="shared" si="0"/>
        <v>23</v>
      </c>
      <c r="D27">
        <f t="shared" si="1"/>
        <v>8</v>
      </c>
      <c r="E27">
        <v>8</v>
      </c>
      <c r="F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2025-03-21T22:30:04Z</dcterms:modified>
</cp:coreProperties>
</file>