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5A6669D1-92ED-4E38-914C-0CAA756C1F51}"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 i="5" l="1"/>
  <c r="D21" i="5"/>
  <c r="D20" i="5"/>
  <c r="D19" i="5"/>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<sst xmlns="http://schemas.openxmlformats.org/spreadsheetml/2006/main" count="79" uniqueCount="70">
  <si>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</si>
  <si>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</si>
  <si>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</si>
  <si>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</si>
  <si>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</si>
  <si>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</si>
  <si>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</si>
  <si>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</si>
  <si>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</si>
  <si>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</si>
  <si>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</si>
  <si>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</si>
  <si>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2014-春</t>
  </si>
  <si>
    <t>2014-春</t>
    <rPh sb="5" eb="6">
      <t>ハル</t>
    </rPh>
    <phoneticPr fontId="1"/>
  </si>
  <si>
    <t>PM2-2</t>
  </si>
  <si>
    <t>PM2-2</t>
    <phoneticPr fontId="1"/>
  </si>
  <si>
    <t>金属加工業者</t>
    <rPh sb="0" eb="6">
      <t>キンゾクカコウギョウシャ</t>
    </rPh>
    <phoneticPr fontId="1"/>
  </si>
  <si>
    <t>CAD/CAM</t>
    <phoneticPr fontId="1"/>
  </si>
  <si>
    <t>DNC</t>
    <phoneticPr fontId="1"/>
  </si>
  <si>
    <t>webサーバー</t>
    <phoneticPr fontId="1"/>
  </si>
  <si>
    <t>コンテンツ作成</t>
    <rPh sb="5" eb="7">
      <t>サクセイ</t>
    </rPh>
    <phoneticPr fontId="1"/>
  </si>
  <si>
    <t>FTP</t>
    <phoneticPr fontId="1"/>
  </si>
  <si>
    <t>固定IP</t>
    <rPh sb="0" eb="2">
      <t>コテイ</t>
    </rPh>
    <phoneticPr fontId="1"/>
  </si>
  <si>
    <t>CADデータ</t>
    <phoneticPr fontId="1"/>
  </si>
  <si>
    <t>EV SSL</t>
    <phoneticPr fontId="1"/>
  </si>
  <si>
    <t>専用OS</t>
    <rPh sb="0" eb="2">
      <t>センヨウ</t>
    </rPh>
    <phoneticPr fontId="1"/>
  </si>
  <si>
    <t>UNIX</t>
    <phoneticPr fontId="1"/>
  </si>
  <si>
    <t>webアクセス通信</t>
    <rPh sb="7" eb="9">
      <t>ツウシン</t>
    </rPh>
    <phoneticPr fontId="1"/>
  </si>
  <si>
    <t>URLフィルタ</t>
    <phoneticPr fontId="1"/>
  </si>
  <si>
    <t>ウイルス</t>
    <phoneticPr fontId="1"/>
  </si>
  <si>
    <t>ブラックリスト</t>
    <phoneticPr fontId="1"/>
  </si>
  <si>
    <t>1-1</t>
    <phoneticPr fontId="1"/>
  </si>
  <si>
    <t>マルウェアが書き換わる可能性があるため</t>
    <rPh sb="6" eb="7">
      <t>カ</t>
    </rPh>
    <rPh sb="8" eb="9">
      <t>カ</t>
    </rPh>
    <rPh sb="11" eb="14">
      <t>カノウセイ</t>
    </rPh>
    <phoneticPr fontId="1"/>
  </si>
  <si>
    <t>1-2</t>
    <phoneticPr fontId="1"/>
  </si>
  <si>
    <t>コンテンツに改ざん</t>
    <rPh sb="6" eb="7">
      <t>カイ</t>
    </rPh>
    <phoneticPr fontId="1"/>
  </si>
  <si>
    <t>脆弱性プログラム</t>
    <rPh sb="0" eb="3">
      <t>ゼイジャクセイ</t>
    </rPh>
    <phoneticPr fontId="1"/>
  </si>
  <si>
    <t>ウイルス定義DL</t>
    <rPh sb="4" eb="6">
      <t>テイギ</t>
    </rPh>
    <phoneticPr fontId="1"/>
  </si>
  <si>
    <t>バックアップファイルに改ざんされたファイルが含まれている可能性があるため</t>
    <rPh sb="11" eb="12">
      <t>カイ</t>
    </rPh>
    <rPh sb="22" eb="23">
      <t>フク</t>
    </rPh>
    <rPh sb="28" eb="31">
      <t>カノウセイ</t>
    </rPh>
    <phoneticPr fontId="1"/>
  </si>
  <si>
    <t>1-3</t>
    <phoneticPr fontId="1"/>
  </si>
  <si>
    <t>D社で定義したソフトウェア</t>
    <rPh sb="1" eb="2">
      <t>シャ</t>
    </rPh>
    <rPh sb="3" eb="5">
      <t>テイギ</t>
    </rPh>
    <phoneticPr fontId="1"/>
  </si>
  <si>
    <t>2-1</t>
    <phoneticPr fontId="1"/>
  </si>
  <si>
    <t>a: SSH</t>
    <phoneticPr fontId="1"/>
  </si>
  <si>
    <t>2-2</t>
    <phoneticPr fontId="1"/>
  </si>
  <si>
    <t>送信元</t>
    <rPh sb="0" eb="3">
      <t>ソウシンモト</t>
    </rPh>
    <phoneticPr fontId="1"/>
  </si>
  <si>
    <t>E社</t>
    <rPh sb="1" eb="2">
      <t>シャ</t>
    </rPh>
    <phoneticPr fontId="1"/>
  </si>
  <si>
    <t>3-1</t>
    <phoneticPr fontId="1"/>
  </si>
  <si>
    <t>webアクセス中継</t>
    <rPh sb="7" eb="9">
      <t>チュウケイ</t>
    </rPh>
    <phoneticPr fontId="1"/>
  </si>
  <si>
    <t>スキャン</t>
    <phoneticPr fontId="1"/>
  </si>
  <si>
    <t>URLフィルタリング</t>
    <phoneticPr fontId="1"/>
  </si>
  <si>
    <t>コモンネーム</t>
    <phoneticPr fontId="1"/>
  </si>
  <si>
    <t>経理課</t>
    <rPh sb="0" eb="3">
      <t>ケイリカ</t>
    </rPh>
    <phoneticPr fontId="1"/>
  </si>
  <si>
    <t>ブラウザに表示されるwebサイトの運営者名を確認できなくなる</t>
    <rPh sb="5" eb="7">
      <t>ヒョウジ</t>
    </rPh>
    <rPh sb="17" eb="21">
      <t>ウンエイシャメイ</t>
    </rPh>
    <rPh sb="22" eb="24">
      <t>カクニン</t>
    </rPh>
    <phoneticPr fontId="1"/>
  </si>
  <si>
    <t>3-2</t>
    <phoneticPr fontId="1"/>
  </si>
  <si>
    <t>b: Q社のwebサーバー</t>
    <rPh sb="4" eb="5">
      <t>シャ</t>
    </rPh>
    <phoneticPr fontId="1"/>
  </si>
  <si>
    <t>c: R社のwebサーバー</t>
    <rPh sb="4" eb="5">
      <t>シャ</t>
    </rPh>
    <phoneticPr fontId="1"/>
  </si>
  <si>
    <t>d: OSベンダのwebサーバー</t>
    <phoneticPr fontId="1"/>
  </si>
  <si>
    <t>4</t>
    <phoneticPr fontId="1"/>
  </si>
  <si>
    <t>e: 公開webサーバ</t>
    <rPh sb="3" eb="5">
      <t>コウカイ</t>
    </rPh>
    <phoneticPr fontId="1"/>
  </si>
  <si>
    <t>f: Internet</t>
    <phoneticPr fontId="1"/>
  </si>
  <si>
    <t>g: すべて</t>
    <phoneticPr fontId="1"/>
  </si>
  <si>
    <t>5-1</t>
    <phoneticPr fontId="1"/>
  </si>
  <si>
    <t>ファイル交換</t>
    <rPh sb="4" eb="6">
      <t>コウカン</t>
    </rPh>
    <phoneticPr fontId="1"/>
  </si>
  <si>
    <t>h: クライアント</t>
    <phoneticPr fontId="1"/>
  </si>
  <si>
    <t>5-2</t>
    <phoneticPr fontId="1"/>
  </si>
  <si>
    <t>従業員による不正なデータの持ち出し</t>
    <rPh sb="0" eb="3">
      <t>ジュウギョウイン</t>
    </rPh>
    <rPh sb="6" eb="8">
      <t>フセイ</t>
    </rPh>
    <rPh sb="13" eb="14">
      <t>モ</t>
    </rPh>
    <rPh sb="15" eb="16">
      <t>ダ</t>
    </rPh>
    <phoneticPr fontId="1"/>
  </si>
  <si>
    <t>5-3</t>
    <phoneticPr fontId="1"/>
  </si>
  <si>
    <t>・メールサーバーからのSMTP通信</t>
    <rPh sb="15" eb="17">
      <t>ツウシン</t>
    </rPh>
    <phoneticPr fontId="1"/>
  </si>
  <si>
    <t>・プロキシサーバを経由したP社提供リストにないサーバーへのFTP、HTTP、HTTPS通信</t>
    <rPh sb="9" eb="11">
      <t>ケイユ</t>
    </rPh>
    <rPh sb="14" eb="15">
      <t>シャ</t>
    </rPh>
    <rPh sb="15" eb="17">
      <t>テイキョウ</t>
    </rPh>
    <rPh sb="43" eb="45">
      <t>ツウシン</t>
    </rPh>
    <phoneticPr fontId="1"/>
  </si>
  <si>
    <t>5-4</t>
    <phoneticPr fontId="1"/>
  </si>
  <si>
    <t>webインターフェースを経由せずに直接通信を行ったもの</t>
    <rPh sb="12" eb="14">
      <t>ケイユ</t>
    </rPh>
    <rPh sb="17" eb="19">
      <t>チョクセツ</t>
    </rPh>
    <rPh sb="19" eb="21">
      <t>ツウシン</t>
    </rPh>
    <rPh sb="22" eb="23">
      <t>オコナ</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</si>
</sst>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2"/>
  <sheetViews>
    <sheetView tabSelected="1" workbookViewId="0">
      <selection activeCell="J6" sqref="J6"/>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77</v>
      </c>
      <c r="E2">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B99D0-1CFE-4994-B494-7F63FE7729A2}">
  <sheetPr codeName="Sheet4"/>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D4" sqref="D4:D22"/>
    </sheetView>
  </sheetViews>
  <sheetFormatPr defaultRowHeight="18.75"/>
  <cols>
    <col min="1" max="1" width="9" style="2"/>
    <col min="2" max="2" width="60.25" style="1" customWidth="1"/>
    <col min="3" max="3" width="9.75" customWidth="1"/>
  </cols>
  <sheetData>
    <row r="1" spans="1:11">
      <c r="A1" s="2" t="s">
        <v>0</v>
      </c>
      <c r="B1" s="1" t="s">
        <v>13</v>
      </c>
      <c r="K1" t="s">
        <v>49</v>
      </c>
    </row>
    <row r="2" spans="1:11">
      <c r="A2" s="2" t="s">
        <v>2</v>
      </c>
      <c r="B2" s="3" t="s">
        <v>15</v>
      </c>
      <c r="D2">
        <f>SUM(D4:D1000)</f>
        <v>77</v>
      </c>
      <c r="E2">
        <f>SUM(E4:E1000)</f>
        <v>100</v>
      </c>
    </row>
    <row r="3" spans="1:11">
      <c r="A3" s="2" t="s">
        <v>1</v>
      </c>
      <c r="B3" s="1" t="s">
        <v>3</v>
      </c>
      <c r="C3" t="s">
        <v>6</v>
      </c>
      <c r="D3" t="s">
        <v>4</v>
      </c>
      <c r="E3" t="s">
        <v>5</v>
      </c>
    </row>
    <row r="4" spans="1:11">
      <c r="A4" s="2" t="s">
        <v>31</v>
      </c>
      <c r="B4" s="1" t="s">
        <v>32</v>
      </c>
      <c r="C4">
        <f>IF(B4&lt;&gt;"",LEN(B4),"")</f>
        <v>19</v>
      </c>
      <c r="D4">
        <f>E4*F4</f>
        <v>6</v>
      </c>
      <c r="E4">
        <v>6</v>
      </c>
      <c r="F4">
        <v>1</v>
      </c>
      <c r="G4" t="s">
        <v>16</v>
      </c>
      <c r="I4" t="s">
        <v>25</v>
      </c>
      <c r="K4" t="s">
        <v>36</v>
      </c>
    </row>
    <row r="5" spans="1:11" ht="37.5">
      <c r="A5" s="2" t="s">
        <v>33</v>
      </c>
      <c r="B5" s="1" t="s">
        <v>37</v>
      </c>
      <c r="C5">
        <f t="shared" ref="C5:C68" si="0">IF(B5&lt;&gt;"",LEN(B5),"")</f>
        <v>36</v>
      </c>
      <c r="D5">
        <f t="shared" ref="D5:D22" si="1">E5*F5</f>
        <v>8</v>
      </c>
      <c r="E5">
        <v>8</v>
      </c>
      <c r="F5">
        <v>1</v>
      </c>
      <c r="G5" t="s">
        <v>17</v>
      </c>
      <c r="I5" t="s">
        <v>26</v>
      </c>
      <c r="K5" t="s">
        <v>46</v>
      </c>
    </row>
    <row r="6" spans="1:11">
      <c r="A6" s="2" t="s">
        <v>38</v>
      </c>
      <c r="B6" s="1" t="s">
        <v>39</v>
      </c>
      <c r="C6">
        <f t="shared" si="0"/>
        <v>13</v>
      </c>
      <c r="D6">
        <f t="shared" si="1"/>
        <v>0</v>
      </c>
      <c r="E6">
        <v>4</v>
      </c>
      <c r="F6">
        <v>0</v>
      </c>
      <c r="G6" t="s">
        <v>18</v>
      </c>
      <c r="I6" t="s">
        <v>27</v>
      </c>
      <c r="K6" t="s">
        <v>47</v>
      </c>
    </row>
    <row r="7" spans="1:11">
      <c r="A7" s="2" t="s">
        <v>40</v>
      </c>
      <c r="B7" s="1" t="s">
        <v>41</v>
      </c>
      <c r="C7">
        <f t="shared" si="0"/>
        <v>6</v>
      </c>
      <c r="D7">
        <f t="shared" si="1"/>
        <v>4</v>
      </c>
      <c r="E7">
        <v>4</v>
      </c>
      <c r="F7">
        <v>1</v>
      </c>
      <c r="G7" t="s">
        <v>19</v>
      </c>
      <c r="I7" t="s">
        <v>28</v>
      </c>
      <c r="K7" t="s">
        <v>48</v>
      </c>
    </row>
    <row r="8" spans="1:11">
      <c r="A8" s="2" t="s">
        <v>42</v>
      </c>
      <c r="B8" s="1" t="s">
        <v>43</v>
      </c>
      <c r="C8">
        <f t="shared" si="0"/>
        <v>3</v>
      </c>
      <c r="D8">
        <f t="shared" si="1"/>
        <v>4</v>
      </c>
      <c r="E8">
        <v>4</v>
      </c>
      <c r="F8">
        <v>1</v>
      </c>
      <c r="G8" t="s">
        <v>20</v>
      </c>
      <c r="I8" t="s">
        <v>29</v>
      </c>
      <c r="K8" t="s">
        <v>49</v>
      </c>
    </row>
    <row r="9" spans="1:11">
      <c r="B9" s="1" t="s">
        <v>44</v>
      </c>
      <c r="C9">
        <f t="shared" si="0"/>
        <v>2</v>
      </c>
      <c r="D9">
        <f t="shared" si="1"/>
        <v>4</v>
      </c>
      <c r="E9">
        <v>4</v>
      </c>
      <c r="F9">
        <v>1</v>
      </c>
      <c r="G9" t="s">
        <v>21</v>
      </c>
      <c r="I9" t="s">
        <v>30</v>
      </c>
    </row>
    <row r="10" spans="1:11">
      <c r="A10" s="2" t="s">
        <v>45</v>
      </c>
      <c r="B10" s="1" t="s">
        <v>50</v>
      </c>
      <c r="C10">
        <f t="shared" si="0"/>
        <v>3</v>
      </c>
      <c r="D10">
        <f t="shared" si="1"/>
        <v>4</v>
      </c>
      <c r="E10">
        <v>4</v>
      </c>
      <c r="F10">
        <v>1</v>
      </c>
      <c r="G10" t="s">
        <v>22</v>
      </c>
      <c r="I10" t="s">
        <v>34</v>
      </c>
    </row>
    <row r="11" spans="1:11">
      <c r="B11" s="1" t="s">
        <v>51</v>
      </c>
      <c r="C11">
        <f t="shared" si="0"/>
        <v>30</v>
      </c>
      <c r="D11">
        <f t="shared" si="1"/>
        <v>6</v>
      </c>
      <c r="E11">
        <v>6</v>
      </c>
      <c r="F11">
        <v>1</v>
      </c>
      <c r="G11" t="s">
        <v>23</v>
      </c>
      <c r="I11" t="s">
        <v>35</v>
      </c>
    </row>
    <row r="12" spans="1:11">
      <c r="A12" s="2" t="s">
        <v>52</v>
      </c>
      <c r="B12" s="1" t="s">
        <v>53</v>
      </c>
      <c r="C12">
        <f t="shared" si="0"/>
        <v>13</v>
      </c>
      <c r="D12">
        <f t="shared" si="1"/>
        <v>4</v>
      </c>
      <c r="E12">
        <v>4</v>
      </c>
      <c r="F12">
        <v>1</v>
      </c>
      <c r="G12" t="s">
        <v>24</v>
      </c>
    </row>
    <row r="13" spans="1:11">
      <c r="B13" s="1" t="s">
        <v>54</v>
      </c>
      <c r="C13">
        <f t="shared" si="0"/>
        <v>13</v>
      </c>
      <c r="D13">
        <f t="shared" si="1"/>
        <v>4</v>
      </c>
      <c r="E13">
        <v>4</v>
      </c>
      <c r="F13">
        <v>1</v>
      </c>
      <c r="I13" t="s">
        <v>61</v>
      </c>
    </row>
    <row r="14" spans="1:11">
      <c r="B14" s="1" t="s">
        <v>55</v>
      </c>
      <c r="C14">
        <f t="shared" si="0"/>
        <v>16</v>
      </c>
      <c r="D14">
        <f t="shared" si="1"/>
        <v>4</v>
      </c>
      <c r="E14">
        <v>4</v>
      </c>
      <c r="F14">
        <v>1</v>
      </c>
    </row>
    <row r="15" spans="1:11">
      <c r="A15" s="2" t="s">
        <v>56</v>
      </c>
      <c r="B15" s="1" t="s">
        <v>57</v>
      </c>
      <c r="C15">
        <f t="shared" si="0"/>
        <v>11</v>
      </c>
      <c r="D15">
        <f t="shared" si="1"/>
        <v>4</v>
      </c>
      <c r="E15">
        <v>4</v>
      </c>
      <c r="F15">
        <v>1</v>
      </c>
    </row>
    <row r="16" spans="1:11">
      <c r="B16" s="1" t="s">
        <v>58</v>
      </c>
      <c r="C16">
        <f t="shared" si="0"/>
        <v>11</v>
      </c>
      <c r="D16">
        <f t="shared" si="1"/>
        <v>4</v>
      </c>
      <c r="E16">
        <v>4</v>
      </c>
      <c r="F16">
        <v>1</v>
      </c>
    </row>
    <row r="17" spans="1:6">
      <c r="B17" s="1" t="s">
        <v>59</v>
      </c>
      <c r="C17">
        <f t="shared" si="0"/>
        <v>6</v>
      </c>
      <c r="D17">
        <f t="shared" si="1"/>
        <v>4</v>
      </c>
      <c r="E17">
        <v>4</v>
      </c>
      <c r="F17">
        <v>1</v>
      </c>
    </row>
    <row r="18" spans="1:6">
      <c r="A18" s="2" t="s">
        <v>60</v>
      </c>
      <c r="B18" s="1" t="s">
        <v>62</v>
      </c>
      <c r="C18">
        <f t="shared" si="0"/>
        <v>9</v>
      </c>
      <c r="D18">
        <f t="shared" si="1"/>
        <v>4</v>
      </c>
      <c r="E18">
        <v>4</v>
      </c>
      <c r="F18">
        <v>1</v>
      </c>
    </row>
    <row r="19" spans="1:6">
      <c r="A19" s="2" t="s">
        <v>63</v>
      </c>
      <c r="B19" s="1" t="s">
        <v>64</v>
      </c>
      <c r="C19">
        <f t="shared" si="0"/>
        <v>17</v>
      </c>
      <c r="D19">
        <f t="shared" si="1"/>
        <v>0</v>
      </c>
      <c r="E19">
        <v>6</v>
      </c>
      <c r="F19">
        <v>0</v>
      </c>
    </row>
    <row r="20" spans="1:6">
      <c r="A20" s="2" t="s">
        <v>65</v>
      </c>
      <c r="B20" s="1" t="s">
        <v>66</v>
      </c>
      <c r="C20">
        <f t="shared" si="0"/>
        <v>17</v>
      </c>
      <c r="D20">
        <f t="shared" si="1"/>
        <v>0</v>
      </c>
      <c r="E20">
        <v>8</v>
      </c>
      <c r="F20">
        <v>0</v>
      </c>
    </row>
    <row r="21" spans="1:6" ht="37.5">
      <c r="B21" s="1" t="s">
        <v>67</v>
      </c>
      <c r="C21">
        <f t="shared" si="0"/>
        <v>45</v>
      </c>
      <c r="D21">
        <f t="shared" si="1"/>
        <v>8</v>
      </c>
      <c r="E21">
        <v>8</v>
      </c>
      <c r="F21">
        <v>1</v>
      </c>
    </row>
    <row r="22" spans="1:6">
      <c r="A22" s="2" t="s">
        <v>68</v>
      </c>
      <c r="B22" s="1" t="s">
        <v>69</v>
      </c>
      <c r="C22">
        <f t="shared" si="0"/>
        <v>27</v>
      </c>
      <c r="D22">
        <f t="shared" si="1"/>
        <v>5</v>
      </c>
      <c r="E22">
        <v>10</v>
      </c>
      <c r="F22">
        <v>0.5</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レビュー</vt:lpstr>
      <vt:lpstr>format</vt:lpstr>
      <vt:lpstr>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2025-02-22T23:43:02Z</dcterms:modified>
</cp:coreProperties>
</file>