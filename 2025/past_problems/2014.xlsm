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28634038-61FB-4857-9D65-416064CBA897}" xr6:coauthVersionLast="47" xr6:coauthVersionMax="47" xr10:uidLastSave="{00000000-0000-0000-0000-000000000000}"/>
  <bookViews>
    <workbookView xWindow="11370" yWindow="3150" windowWidth="15075" windowHeight="11295" activeTab="3" xr2:uid="{00000000-000D-0000-FFFF-FFFF00000000}"/>
  </bookViews>
  <sheets>
    <sheet name="レビュー" sheetId="2" r:id="rId1"/>
    <sheet name="format" sheetId="4" r:id="rId2"/>
    <sheet name="1" sheetId="5" r:id="rId3"/>
    <sheet name="2" sheetId="6"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6" l="1"/>
  <c r="D10" i="6"/>
  <c r="D9" i="6"/>
  <c r="D8" i="6"/>
  <c r="D7" i="6"/>
  <c r="D6" i="6"/>
  <c r="D5" i="6"/>
  <c r="D2" i="6" s="1"/>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2" i="5"/>
  <c r="D21" i="5"/>
  <c r="D20" i="5"/>
  <c r="D19" i="5"/>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<sst xmlns="http://schemas.openxmlformats.org/spreadsheetml/2006/main" count="112" uniqueCount="89">
  <si>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</si>
  <si>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</si>
  <si>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</si>
  <si>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</si>
  <si>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</si>
  <si>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</si>
  <si>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</si>
  <si>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</si>
  <si>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</si>
  <si>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</si>
  <si>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</si>
  <si>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</si>
  <si>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2014-春</t>
  </si>
  <si>
    <t>2014-春</t>
    <rPh sb="5" eb="6">
      <t>ハル</t>
    </rPh>
    <phoneticPr fontId="1"/>
  </si>
  <si>
    <t>PM2-2</t>
  </si>
  <si>
    <t>PM2-2</t>
    <phoneticPr fontId="1"/>
  </si>
  <si>
    <t>金属加工業者</t>
    <rPh sb="0" eb="6">
      <t>キンゾクカコウギョウシャ</t>
    </rPh>
    <phoneticPr fontId="1"/>
  </si>
  <si>
    <t>CAD/CAM</t>
    <phoneticPr fontId="1"/>
  </si>
  <si>
    <t>DNC</t>
    <phoneticPr fontId="1"/>
  </si>
  <si>
    <t>webサーバー</t>
    <phoneticPr fontId="1"/>
  </si>
  <si>
    <t>コンテンツ作成</t>
    <rPh sb="5" eb="7">
      <t>サクセイ</t>
    </rPh>
    <phoneticPr fontId="1"/>
  </si>
  <si>
    <t>FTP</t>
    <phoneticPr fontId="1"/>
  </si>
  <si>
    <t>固定IP</t>
    <rPh sb="0" eb="2">
      <t>コテイ</t>
    </rPh>
    <phoneticPr fontId="1"/>
  </si>
  <si>
    <t>CADデータ</t>
    <phoneticPr fontId="1"/>
  </si>
  <si>
    <t>EV SSL</t>
    <phoneticPr fontId="1"/>
  </si>
  <si>
    <t>専用OS</t>
    <rPh sb="0" eb="2">
      <t>センヨウ</t>
    </rPh>
    <phoneticPr fontId="1"/>
  </si>
  <si>
    <t>UNIX</t>
    <phoneticPr fontId="1"/>
  </si>
  <si>
    <t>webアクセス通信</t>
    <rPh sb="7" eb="9">
      <t>ツウシン</t>
    </rPh>
    <phoneticPr fontId="1"/>
  </si>
  <si>
    <t>URLフィルタ</t>
    <phoneticPr fontId="1"/>
  </si>
  <si>
    <t>ウイルス</t>
    <phoneticPr fontId="1"/>
  </si>
  <si>
    <t>ブラックリスト</t>
    <phoneticPr fontId="1"/>
  </si>
  <si>
    <t>1-1</t>
    <phoneticPr fontId="1"/>
  </si>
  <si>
    <t>マルウェアが書き換わる可能性があるため</t>
    <rPh sb="6" eb="7">
      <t>カ</t>
    </rPh>
    <rPh sb="8" eb="9">
      <t>カ</t>
    </rPh>
    <rPh sb="11" eb="14">
      <t>カノウセイ</t>
    </rPh>
    <phoneticPr fontId="1"/>
  </si>
  <si>
    <t>1-2</t>
    <phoneticPr fontId="1"/>
  </si>
  <si>
    <t>コンテンツに改ざん</t>
    <rPh sb="6" eb="7">
      <t>カイ</t>
    </rPh>
    <phoneticPr fontId="1"/>
  </si>
  <si>
    <t>脆弱性プログラム</t>
    <rPh sb="0" eb="3">
      <t>ゼイジャクセイ</t>
    </rPh>
    <phoneticPr fontId="1"/>
  </si>
  <si>
    <t>ウイルス定義DL</t>
    <rPh sb="4" eb="6">
      <t>テイギ</t>
    </rPh>
    <phoneticPr fontId="1"/>
  </si>
  <si>
    <t>バックアップファイルに改ざんされたファイルが含まれている可能性があるため</t>
    <rPh sb="11" eb="12">
      <t>カイ</t>
    </rPh>
    <rPh sb="22" eb="23">
      <t>フク</t>
    </rPh>
    <rPh sb="28" eb="31">
      <t>カノウセイ</t>
    </rPh>
    <phoneticPr fontId="1"/>
  </si>
  <si>
    <t>1-3</t>
    <phoneticPr fontId="1"/>
  </si>
  <si>
    <t>D社で定義したソフトウェア</t>
    <rPh sb="1" eb="2">
      <t>シャ</t>
    </rPh>
    <rPh sb="3" eb="5">
      <t>テイギ</t>
    </rPh>
    <phoneticPr fontId="1"/>
  </si>
  <si>
    <t>2-1</t>
    <phoneticPr fontId="1"/>
  </si>
  <si>
    <t>a: SSH</t>
    <phoneticPr fontId="1"/>
  </si>
  <si>
    <t>2-2</t>
    <phoneticPr fontId="1"/>
  </si>
  <si>
    <t>送信元</t>
    <rPh sb="0" eb="3">
      <t>ソウシンモト</t>
    </rPh>
    <phoneticPr fontId="1"/>
  </si>
  <si>
    <t>E社</t>
    <rPh sb="1" eb="2">
      <t>シャ</t>
    </rPh>
    <phoneticPr fontId="1"/>
  </si>
  <si>
    <t>3-1</t>
    <phoneticPr fontId="1"/>
  </si>
  <si>
    <t>webアクセス中継</t>
    <rPh sb="7" eb="9">
      <t>チュウケイ</t>
    </rPh>
    <phoneticPr fontId="1"/>
  </si>
  <si>
    <t>スキャン</t>
    <phoneticPr fontId="1"/>
  </si>
  <si>
    <t>URLフィルタリング</t>
    <phoneticPr fontId="1"/>
  </si>
  <si>
    <t>コモンネーム</t>
    <phoneticPr fontId="1"/>
  </si>
  <si>
    <t>経理課</t>
    <rPh sb="0" eb="3">
      <t>ケイリカ</t>
    </rPh>
    <phoneticPr fontId="1"/>
  </si>
  <si>
    <t>ブラウザに表示されるwebサイトの運営者名を確認できなくなる</t>
    <rPh sb="5" eb="7">
      <t>ヒョウジ</t>
    </rPh>
    <rPh sb="17" eb="21">
      <t>ウンエイシャメイ</t>
    </rPh>
    <rPh sb="22" eb="24">
      <t>カクニン</t>
    </rPh>
    <phoneticPr fontId="1"/>
  </si>
  <si>
    <t>3-2</t>
    <phoneticPr fontId="1"/>
  </si>
  <si>
    <t>b: Q社のwebサーバー</t>
    <rPh sb="4" eb="5">
      <t>シャ</t>
    </rPh>
    <phoneticPr fontId="1"/>
  </si>
  <si>
    <t>c: R社のwebサーバー</t>
    <rPh sb="4" eb="5">
      <t>シャ</t>
    </rPh>
    <phoneticPr fontId="1"/>
  </si>
  <si>
    <t>d: OSベンダのwebサーバー</t>
    <phoneticPr fontId="1"/>
  </si>
  <si>
    <t>4</t>
    <phoneticPr fontId="1"/>
  </si>
  <si>
    <t>e: 公開webサーバ</t>
    <rPh sb="3" eb="5">
      <t>コウカイ</t>
    </rPh>
    <phoneticPr fontId="1"/>
  </si>
  <si>
    <t>f: Internet</t>
    <phoneticPr fontId="1"/>
  </si>
  <si>
    <t>g: すべて</t>
    <phoneticPr fontId="1"/>
  </si>
  <si>
    <t>5-1</t>
    <phoneticPr fontId="1"/>
  </si>
  <si>
    <t>ファイル交換</t>
    <rPh sb="4" eb="6">
      <t>コウカン</t>
    </rPh>
    <phoneticPr fontId="1"/>
  </si>
  <si>
    <t>h: クライアント</t>
    <phoneticPr fontId="1"/>
  </si>
  <si>
    <t>5-2</t>
    <phoneticPr fontId="1"/>
  </si>
  <si>
    <t>従業員による不正なデータの持ち出し</t>
    <rPh sb="0" eb="3">
      <t>ジュウギョウイン</t>
    </rPh>
    <rPh sb="6" eb="8">
      <t>フセイ</t>
    </rPh>
    <rPh sb="13" eb="14">
      <t>モ</t>
    </rPh>
    <rPh sb="15" eb="16">
      <t>ダ</t>
    </rPh>
    <phoneticPr fontId="1"/>
  </si>
  <si>
    <t>5-3</t>
    <phoneticPr fontId="1"/>
  </si>
  <si>
    <t>・メールサーバーからのSMTP通信</t>
    <rPh sb="15" eb="17">
      <t>ツウシン</t>
    </rPh>
    <phoneticPr fontId="1"/>
  </si>
  <si>
    <t>・プロキシサーバを経由したP社提供リストにないサーバーへのFTP、HTTP、HTTPS通信</t>
    <rPh sb="9" eb="11">
      <t>ケイユ</t>
    </rPh>
    <rPh sb="14" eb="15">
      <t>シャ</t>
    </rPh>
    <rPh sb="15" eb="17">
      <t>テイキョウ</t>
    </rPh>
    <rPh sb="43" eb="45">
      <t>ツウシン</t>
    </rPh>
    <phoneticPr fontId="1"/>
  </si>
  <si>
    <t>5-4</t>
    <phoneticPr fontId="1"/>
  </si>
  <si>
    <t>webインターフェースを経由せずに直接通信を行ったもの</t>
    <rPh sb="12" eb="14">
      <t>ケイユ</t>
    </rPh>
    <rPh sb="17" eb="19">
      <t>チョクセツ</t>
    </rPh>
    <rPh sb="19" eb="21">
      <t>ツウシン</t>
    </rPh>
    <rPh sb="22" eb="23">
      <t>オコナ</t>
    </rPh>
    <phoneticPr fontId="1"/>
  </si>
  <si>
    <t>PM1-1</t>
    <phoneticPr fontId="1"/>
  </si>
  <si>
    <t>Internetサービス</t>
    <phoneticPr fontId="1"/>
  </si>
  <si>
    <t>Sサービス</t>
    <phoneticPr fontId="1"/>
  </si>
  <si>
    <t>webサービス</t>
    <phoneticPr fontId="1"/>
  </si>
  <si>
    <t>利用者のみ</t>
    <rPh sb="0" eb="3">
      <t>リヨウシャ</t>
    </rPh>
    <phoneticPr fontId="1"/>
  </si>
  <si>
    <t>画像ファイルは制限</t>
    <rPh sb="0" eb="2">
      <t>ガゾウ</t>
    </rPh>
    <rPh sb="7" eb="9">
      <t>セイゲン</t>
    </rPh>
    <phoneticPr fontId="1"/>
  </si>
  <si>
    <t>ブラウザのみ</t>
    <phoneticPr fontId="1"/>
  </si>
  <si>
    <t>利用ID</t>
    <rPh sb="0" eb="2">
      <t>リヨウ</t>
    </rPh>
    <phoneticPr fontId="1"/>
  </si>
  <si>
    <t>PW認証</t>
    <rPh sb="2" eb="4">
      <t>ニンショウ</t>
    </rPh>
    <phoneticPr fontId="1"/>
  </si>
  <si>
    <t>共有フォルダ作成画像</t>
    <rPh sb="0" eb="2">
      <t>キョウユウ</t>
    </rPh>
    <rPh sb="6" eb="8">
      <t>サクセイ</t>
    </rPh>
    <rPh sb="8" eb="10">
      <t>ガゾウ</t>
    </rPh>
    <phoneticPr fontId="1"/>
  </si>
  <si>
    <t>Referer</t>
    <phoneticPr fontId="1"/>
  </si>
  <si>
    <t>ブラウザの設定でスクリプトを無効にする</t>
    <rPh sb="5" eb="7">
      <t>セッテイ</t>
    </rPh>
    <rPh sb="14" eb="16">
      <t>ムコウ</t>
    </rPh>
    <phoneticPr fontId="1"/>
  </si>
  <si>
    <t>サーバー側でアップロードするファイルの検証を行う</t>
    <rPh sb="4" eb="5">
      <t>ガワ</t>
    </rPh>
    <rPh sb="19" eb="21">
      <t>ケンショウ</t>
    </rPh>
    <rPh sb="22" eb="23">
      <t>オコナ</t>
    </rPh>
    <phoneticPr fontId="1"/>
  </si>
  <si>
    <t>a: 整数オーバーフロー</t>
    <rPh sb="3" eb="5">
      <t>セイスウ</t>
    </rPh>
    <phoneticPr fontId="1"/>
  </si>
  <si>
    <t>b: バッファーオーバーフロー</t>
    <phoneticPr fontId="1"/>
  </si>
  <si>
    <t>ヘッダ列の列数と各ピクセルのバイト数の積にパディングを加えたものと、行数の積がkMaxIntegerを超える</t>
    <rPh sb="3" eb="4">
      <t>レツ</t>
    </rPh>
    <rPh sb="5" eb="7">
      <t>レツカズ</t>
    </rPh>
    <rPh sb="8" eb="9">
      <t>カク</t>
    </rPh>
    <rPh sb="17" eb="18">
      <t>カズ</t>
    </rPh>
    <rPh sb="19" eb="20">
      <t>セキ</t>
    </rPh>
    <rPh sb="27" eb="28">
      <t>クワ</t>
    </rPh>
    <rPh sb="34" eb="36">
      <t>ギョウスウ</t>
    </rPh>
    <rPh sb="37" eb="38">
      <t>セキ</t>
    </rPh>
    <rPh sb="51" eb="52">
      <t>コ</t>
    </rPh>
    <phoneticPr fontId="1"/>
  </si>
  <si>
    <t>3</t>
    <phoneticPr fontId="1"/>
  </si>
  <si>
    <t>c: kMaxIntefer / fhBuf.rows</t>
    <phoneticPr fontId="1"/>
  </si>
  <si>
    <t>d:  bytesOfRow</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</si>
</sst>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2"/>
  <sheetViews>
    <sheetView workbookViewId="0">
      <selection activeCell="J6" sqref="J6"/>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77</v>
      </c>
      <c r="E2">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B99D0-1CFE-4994-B494-7F63FE7729A2}">
  <sheetPr codeName="Sheet4"/>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0.25" style="1" customWidth="1"/>
    <col min="3" max="3" width="9.75" customWidth="1"/>
  </cols>
  <sheetData>
    <row r="1" spans="1:11">
      <c r="A1" s="2" t="s">
        <v>0</v>
      </c>
      <c r="B1" s="1" t="s">
        <v>13</v>
      </c>
      <c r="K1" t="s">
        <v>49</v>
      </c>
    </row>
    <row r="2" spans="1:11">
      <c r="A2" s="2" t="s">
        <v>2</v>
      </c>
      <c r="B2" s="3" t="s">
        <v>15</v>
      </c>
      <c r="D2">
        <f>SUM(D4:D1000)</f>
        <v>77</v>
      </c>
      <c r="E2">
        <f>SUM(E4:E1000)</f>
        <v>100</v>
      </c>
    </row>
    <row r="3" spans="1:11">
      <c r="A3" s="2" t="s">
        <v>1</v>
      </c>
      <c r="B3" s="1" t="s">
        <v>3</v>
      </c>
      <c r="C3" t="s">
        <v>6</v>
      </c>
      <c r="D3" t="s">
        <v>4</v>
      </c>
      <c r="E3" t="s">
        <v>5</v>
      </c>
    </row>
    <row r="4" spans="1:11">
      <c r="A4" s="2" t="s">
        <v>31</v>
      </c>
      <c r="B4" s="1" t="s">
        <v>32</v>
      </c>
      <c r="C4">
        <f>IF(B4&lt;&gt;"",LEN(B4),"")</f>
        <v>19</v>
      </c>
      <c r="D4">
        <f>E4*F4</f>
        <v>6</v>
      </c>
      <c r="E4">
        <v>6</v>
      </c>
      <c r="F4">
        <v>1</v>
      </c>
      <c r="G4" t="s">
        <v>16</v>
      </c>
      <c r="I4" t="s">
        <v>25</v>
      </c>
      <c r="K4" t="s">
        <v>36</v>
      </c>
    </row>
    <row r="5" spans="1:11" ht="37.5">
      <c r="A5" s="2" t="s">
        <v>33</v>
      </c>
      <c r="B5" s="1" t="s">
        <v>37</v>
      </c>
      <c r="C5">
        <f t="shared" ref="C5:C68" si="0">IF(B5&lt;&gt;"",LEN(B5),"")</f>
        <v>36</v>
      </c>
      <c r="D5">
        <f t="shared" ref="D5:D22" si="1">E5*F5</f>
        <v>8</v>
      </c>
      <c r="E5">
        <v>8</v>
      </c>
      <c r="F5">
        <v>1</v>
      </c>
      <c r="G5" t="s">
        <v>17</v>
      </c>
      <c r="I5" t="s">
        <v>26</v>
      </c>
      <c r="K5" t="s">
        <v>46</v>
      </c>
    </row>
    <row r="6" spans="1:11">
      <c r="A6" s="2" t="s">
        <v>38</v>
      </c>
      <c r="B6" s="1" t="s">
        <v>39</v>
      </c>
      <c r="C6">
        <f t="shared" si="0"/>
        <v>13</v>
      </c>
      <c r="D6">
        <f t="shared" si="1"/>
        <v>0</v>
      </c>
      <c r="E6">
        <v>4</v>
      </c>
      <c r="F6">
        <v>0</v>
      </c>
      <c r="G6" t="s">
        <v>18</v>
      </c>
      <c r="I6" t="s">
        <v>27</v>
      </c>
      <c r="K6" t="s">
        <v>47</v>
      </c>
    </row>
    <row r="7" spans="1:11">
      <c r="A7" s="2" t="s">
        <v>40</v>
      </c>
      <c r="B7" s="1" t="s">
        <v>41</v>
      </c>
      <c r="C7">
        <f t="shared" si="0"/>
        <v>6</v>
      </c>
      <c r="D7">
        <f t="shared" si="1"/>
        <v>4</v>
      </c>
      <c r="E7">
        <v>4</v>
      </c>
      <c r="F7">
        <v>1</v>
      </c>
      <c r="G7" t="s">
        <v>19</v>
      </c>
      <c r="I7" t="s">
        <v>28</v>
      </c>
      <c r="K7" t="s">
        <v>48</v>
      </c>
    </row>
    <row r="8" spans="1:11">
      <c r="A8" s="2" t="s">
        <v>42</v>
      </c>
      <c r="B8" s="1" t="s">
        <v>43</v>
      </c>
      <c r="C8">
        <f t="shared" si="0"/>
        <v>3</v>
      </c>
      <c r="D8">
        <f t="shared" si="1"/>
        <v>4</v>
      </c>
      <c r="E8">
        <v>4</v>
      </c>
      <c r="F8">
        <v>1</v>
      </c>
      <c r="G8" t="s">
        <v>20</v>
      </c>
      <c r="I8" t="s">
        <v>29</v>
      </c>
      <c r="K8" t="s">
        <v>49</v>
      </c>
    </row>
    <row r="9" spans="1:11">
      <c r="B9" s="1" t="s">
        <v>44</v>
      </c>
      <c r="C9">
        <f t="shared" si="0"/>
        <v>2</v>
      </c>
      <c r="D9">
        <f t="shared" si="1"/>
        <v>4</v>
      </c>
      <c r="E9">
        <v>4</v>
      </c>
      <c r="F9">
        <v>1</v>
      </c>
      <c r="G9" t="s">
        <v>21</v>
      </c>
      <c r="I9" t="s">
        <v>30</v>
      </c>
    </row>
    <row r="10" spans="1:11">
      <c r="A10" s="2" t="s">
        <v>45</v>
      </c>
      <c r="B10" s="1" t="s">
        <v>50</v>
      </c>
      <c r="C10">
        <f t="shared" si="0"/>
        <v>3</v>
      </c>
      <c r="D10">
        <f t="shared" si="1"/>
        <v>4</v>
      </c>
      <c r="E10">
        <v>4</v>
      </c>
      <c r="F10">
        <v>1</v>
      </c>
      <c r="G10" t="s">
        <v>22</v>
      </c>
      <c r="I10" t="s">
        <v>34</v>
      </c>
    </row>
    <row r="11" spans="1:11">
      <c r="B11" s="1" t="s">
        <v>51</v>
      </c>
      <c r="C11">
        <f t="shared" si="0"/>
        <v>30</v>
      </c>
      <c r="D11">
        <f t="shared" si="1"/>
        <v>6</v>
      </c>
      <c r="E11">
        <v>6</v>
      </c>
      <c r="F11">
        <v>1</v>
      </c>
      <c r="G11" t="s">
        <v>23</v>
      </c>
      <c r="I11" t="s">
        <v>35</v>
      </c>
    </row>
    <row r="12" spans="1:11">
      <c r="A12" s="2" t="s">
        <v>52</v>
      </c>
      <c r="B12" s="1" t="s">
        <v>53</v>
      </c>
      <c r="C12">
        <f t="shared" si="0"/>
        <v>13</v>
      </c>
      <c r="D12">
        <f t="shared" si="1"/>
        <v>4</v>
      </c>
      <c r="E12">
        <v>4</v>
      </c>
      <c r="F12">
        <v>1</v>
      </c>
      <c r="G12" t="s">
        <v>24</v>
      </c>
    </row>
    <row r="13" spans="1:11">
      <c r="B13" s="1" t="s">
        <v>54</v>
      </c>
      <c r="C13">
        <f t="shared" si="0"/>
        <v>13</v>
      </c>
      <c r="D13">
        <f t="shared" si="1"/>
        <v>4</v>
      </c>
      <c r="E13">
        <v>4</v>
      </c>
      <c r="F13">
        <v>1</v>
      </c>
      <c r="I13" t="s">
        <v>61</v>
      </c>
    </row>
    <row r="14" spans="1:11">
      <c r="B14" s="1" t="s">
        <v>55</v>
      </c>
      <c r="C14">
        <f t="shared" si="0"/>
        <v>16</v>
      </c>
      <c r="D14">
        <f t="shared" si="1"/>
        <v>4</v>
      </c>
      <c r="E14">
        <v>4</v>
      </c>
      <c r="F14">
        <v>1</v>
      </c>
    </row>
    <row r="15" spans="1:11">
      <c r="A15" s="2" t="s">
        <v>56</v>
      </c>
      <c r="B15" s="1" t="s">
        <v>57</v>
      </c>
      <c r="C15">
        <f t="shared" si="0"/>
        <v>11</v>
      </c>
      <c r="D15">
        <f t="shared" si="1"/>
        <v>4</v>
      </c>
      <c r="E15">
        <v>4</v>
      </c>
      <c r="F15">
        <v>1</v>
      </c>
    </row>
    <row r="16" spans="1:11">
      <c r="B16" s="1" t="s">
        <v>58</v>
      </c>
      <c r="C16">
        <f t="shared" si="0"/>
        <v>11</v>
      </c>
      <c r="D16">
        <f t="shared" si="1"/>
        <v>4</v>
      </c>
      <c r="E16">
        <v>4</v>
      </c>
      <c r="F16">
        <v>1</v>
      </c>
    </row>
    <row r="17" spans="1:6">
      <c r="B17" s="1" t="s">
        <v>59</v>
      </c>
      <c r="C17">
        <f t="shared" si="0"/>
        <v>6</v>
      </c>
      <c r="D17">
        <f t="shared" si="1"/>
        <v>4</v>
      </c>
      <c r="E17">
        <v>4</v>
      </c>
      <c r="F17">
        <v>1</v>
      </c>
    </row>
    <row r="18" spans="1:6">
      <c r="A18" s="2" t="s">
        <v>60</v>
      </c>
      <c r="B18" s="1" t="s">
        <v>62</v>
      </c>
      <c r="C18">
        <f t="shared" si="0"/>
        <v>9</v>
      </c>
      <c r="D18">
        <f t="shared" si="1"/>
        <v>4</v>
      </c>
      <c r="E18">
        <v>4</v>
      </c>
      <c r="F18">
        <v>1</v>
      </c>
    </row>
    <row r="19" spans="1:6">
      <c r="A19" s="2" t="s">
        <v>63</v>
      </c>
      <c r="B19" s="1" t="s">
        <v>64</v>
      </c>
      <c r="C19">
        <f t="shared" si="0"/>
        <v>17</v>
      </c>
      <c r="D19">
        <f t="shared" si="1"/>
        <v>0</v>
      </c>
      <c r="E19">
        <v>6</v>
      </c>
      <c r="F19">
        <v>0</v>
      </c>
    </row>
    <row r="20" spans="1:6">
      <c r="A20" s="2" t="s">
        <v>65</v>
      </c>
      <c r="B20" s="1" t="s">
        <v>66</v>
      </c>
      <c r="C20">
        <f t="shared" si="0"/>
        <v>17</v>
      </c>
      <c r="D20">
        <f t="shared" si="1"/>
        <v>0</v>
      </c>
      <c r="E20">
        <v>8</v>
      </c>
      <c r="F20">
        <v>0</v>
      </c>
    </row>
    <row r="21" spans="1:6" ht="37.5">
      <c r="B21" s="1" t="s">
        <v>67</v>
      </c>
      <c r="C21">
        <f t="shared" si="0"/>
        <v>45</v>
      </c>
      <c r="D21">
        <f t="shared" si="1"/>
        <v>8</v>
      </c>
      <c r="E21">
        <v>8</v>
      </c>
      <c r="F21">
        <v>1</v>
      </c>
    </row>
    <row r="22" spans="1:6">
      <c r="A22" s="2" t="s">
        <v>68</v>
      </c>
      <c r="B22" s="1" t="s">
        <v>69</v>
      </c>
      <c r="C22">
        <f t="shared" si="0"/>
        <v>27</v>
      </c>
      <c r="D22">
        <f t="shared" si="1"/>
        <v>5</v>
      </c>
      <c r="E22">
        <v>10</v>
      </c>
      <c r="F22">
        <v>0.5</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997F9-CD41-4839-97C7-627408FB87B2}">
  <sheetPr codeName="Sheet5"/>
  <dimension ref="A1:J167"/>
  <sheetViews>
    <sheetView tabSelected="1" zoomScale="85" zoomScaleNormal="85" workbookViewId="0">
      <pane xSplit="1" ySplit="3" topLeftCell="B4" activePane="bottomRight" state="frozen"/>
      <selection pane="topRight" activeCell="B1" sqref="B1"/>
      <selection pane="bottomLeft" activeCell="A4" sqref="A4"/>
      <selection pane="bottomRight" activeCell="F9" sqref="F9"/>
    </sheetView>
  </sheetViews>
  <sheetFormatPr defaultRowHeight="18.75"/>
  <cols>
    <col min="1" max="1" width="9" style="2"/>
    <col min="2" max="2" width="48.5" style="1" customWidth="1"/>
    <col min="3" max="3" width="9.75" customWidth="1"/>
  </cols>
  <sheetData>
    <row r="1" spans="1:10">
      <c r="A1" s="2" t="s">
        <v>0</v>
      </c>
      <c r="B1" s="1" t="s">
        <v>13</v>
      </c>
      <c r="H1" t="s">
        <v>80</v>
      </c>
    </row>
    <row r="2" spans="1:10">
      <c r="A2" s="2" t="s">
        <v>2</v>
      </c>
      <c r="B2" s="3" t="s">
        <v>70</v>
      </c>
      <c r="D2">
        <f>SUM(D4:D1000)</f>
        <v>24</v>
      </c>
      <c r="E2">
        <f>SUM(E4:E1000)</f>
        <v>50</v>
      </c>
    </row>
    <row r="3" spans="1:10">
      <c r="A3" s="2" t="s">
        <v>1</v>
      </c>
      <c r="B3" s="1" t="s">
        <v>3</v>
      </c>
      <c r="C3" t="s">
        <v>6</v>
      </c>
      <c r="D3" t="s">
        <v>4</v>
      </c>
      <c r="E3" t="s">
        <v>5</v>
      </c>
    </row>
    <row r="4" spans="1:10">
      <c r="A4" s="2" t="s">
        <v>31</v>
      </c>
      <c r="B4" s="1" t="s">
        <v>80</v>
      </c>
      <c r="C4">
        <f>IF(B4&lt;&gt;"",LEN(B4),"")</f>
        <v>7</v>
      </c>
      <c r="D4">
        <f>E4*F4</f>
        <v>0</v>
      </c>
      <c r="E4">
        <v>5</v>
      </c>
      <c r="F4">
        <v>0</v>
      </c>
      <c r="H4" t="s">
        <v>71</v>
      </c>
      <c r="J4" t="s">
        <v>77</v>
      </c>
    </row>
    <row r="5" spans="1:10">
      <c r="A5" s="2" t="s">
        <v>33</v>
      </c>
      <c r="B5" s="1" t="s">
        <v>81</v>
      </c>
      <c r="C5">
        <f t="shared" ref="C5:C68" si="0">IF(B5&lt;&gt;"",LEN(B5),"")</f>
        <v>19</v>
      </c>
      <c r="D5">
        <f t="shared" ref="D5:D11" si="1">E5*F5</f>
        <v>0</v>
      </c>
      <c r="E5">
        <v>6</v>
      </c>
      <c r="F5">
        <v>0</v>
      </c>
      <c r="H5" t="s">
        <v>72</v>
      </c>
      <c r="J5" t="s">
        <v>78</v>
      </c>
    </row>
    <row r="6" spans="1:10">
      <c r="A6" s="2" t="s">
        <v>38</v>
      </c>
      <c r="B6" s="1" t="s">
        <v>82</v>
      </c>
      <c r="C6">
        <f t="shared" si="0"/>
        <v>24</v>
      </c>
      <c r="D6">
        <f t="shared" si="1"/>
        <v>8</v>
      </c>
      <c r="E6">
        <v>8</v>
      </c>
      <c r="F6">
        <v>1</v>
      </c>
      <c r="H6" t="s">
        <v>73</v>
      </c>
      <c r="J6" t="s">
        <v>79</v>
      </c>
    </row>
    <row r="7" spans="1:10">
      <c r="A7" s="2" t="s">
        <v>40</v>
      </c>
      <c r="B7" s="1" t="s">
        <v>83</v>
      </c>
      <c r="C7">
        <f t="shared" si="0"/>
        <v>12</v>
      </c>
      <c r="D7">
        <f t="shared" si="1"/>
        <v>0</v>
      </c>
      <c r="E7">
        <v>5</v>
      </c>
      <c r="F7">
        <v>0</v>
      </c>
      <c r="H7" t="s">
        <v>74</v>
      </c>
    </row>
    <row r="8" spans="1:10">
      <c r="B8" s="1" t="s">
        <v>84</v>
      </c>
      <c r="C8">
        <f t="shared" si="0"/>
        <v>15</v>
      </c>
      <c r="D8">
        <f t="shared" si="1"/>
        <v>5</v>
      </c>
      <c r="E8">
        <v>5</v>
      </c>
      <c r="F8">
        <v>1</v>
      </c>
      <c r="H8" t="s">
        <v>75</v>
      </c>
    </row>
    <row r="9" spans="1:10" ht="37.5">
      <c r="A9" s="2" t="s">
        <v>42</v>
      </c>
      <c r="B9" s="1" t="s">
        <v>85</v>
      </c>
      <c r="C9">
        <f t="shared" si="0"/>
        <v>54</v>
      </c>
      <c r="D9">
        <f t="shared" si="1"/>
        <v>5</v>
      </c>
      <c r="E9">
        <v>10</v>
      </c>
      <c r="F9">
        <v>0.5</v>
      </c>
      <c r="H9" t="s">
        <v>76</v>
      </c>
    </row>
    <row r="10" spans="1:10">
      <c r="A10" s="2" t="s">
        <v>86</v>
      </c>
      <c r="B10" s="1" t="s">
        <v>87</v>
      </c>
      <c r="C10">
        <f t="shared" si="0"/>
        <v>27</v>
      </c>
      <c r="D10">
        <f t="shared" si="1"/>
        <v>0</v>
      </c>
      <c r="E10">
        <v>5</v>
      </c>
      <c r="F10">
        <v>0</v>
      </c>
    </row>
    <row r="11" spans="1:10">
      <c r="B11" s="1" t="s">
        <v>88</v>
      </c>
      <c r="C11">
        <f t="shared" si="0"/>
        <v>14</v>
      </c>
      <c r="D11">
        <f t="shared" si="1"/>
        <v>6</v>
      </c>
      <c r="E11">
        <v>6</v>
      </c>
      <c r="F11">
        <v>1</v>
      </c>
    </row>
    <row r="12" spans="1:10">
      <c r="C12" t="str">
        <f t="shared" si="0"/>
        <v/>
      </c>
    </row>
    <row r="13" spans="1:10">
      <c r="C13" t="str">
        <f t="shared" si="0"/>
        <v/>
      </c>
    </row>
    <row r="14" spans="1:10">
      <c r="C14" t="str">
        <f t="shared" si="0"/>
        <v/>
      </c>
    </row>
    <row r="15" spans="1:10">
      <c r="C15" t="str">
        <f t="shared" si="0"/>
        <v/>
      </c>
    </row>
    <row r="16" spans="1:10">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2025-02-23T00:16:05Z</dcterms:modified>
</cp:coreProperties>
</file>