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429" codeName="{899C9086-67A9-5B14-2C2D-5A8001700F7D}"/>
  <workbookPr codeName="ThisWorkbook"/>
  <mc:AlternateContent xmlns:mc="http://schemas.openxmlformats.org/markup-compatibility/2006">
    <mc:Choice Requires="x15">
      <x15ac:absPath xmlns:x15ac="http://schemas.microsoft.com/office/spreadsheetml/2010/11/ac" url="C:\Users\yoshinaga\Documents\Python Scripts\security_specialist\2025\past_problems\"/>
    </mc:Choice>
  </mc:AlternateContent>
  <xr:revisionPtr revIDLastSave="0" documentId="13_ncr:1_{71F63878-8468-49BD-979E-A021D2FEBFD8}" xr6:coauthVersionLast="47" xr6:coauthVersionMax="47" xr10:uidLastSave="{00000000-0000-0000-0000-000000000000}"/>
  <bookViews>
    <workbookView xWindow="-120" yWindow="-120" windowWidth="29040" windowHeight="15720" xr2:uid="{00000000-000D-0000-FFFF-FFFF00000000}"/>
  </bookViews>
  <sheets>
    <sheet name="レビュー" sheetId="2" r:id="rId1"/>
    <sheet name="format" sheetId="4" r:id="rId2"/>
    <sheet name="1" sheetId="5" r:id="rId3"/>
    <sheet name="2" sheetId="6" r:id="rId4"/>
    <sheet name="3" sheetId="7" r:id="rId5"/>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3" i="7" l="1"/>
  <c r="D12" i="7"/>
  <c r="D11" i="7"/>
  <c r="D10" i="7"/>
  <c r="D9" i="7"/>
  <c r="D8" i="7"/>
  <c r="D7" i="7"/>
  <c r="D6" i="7"/>
  <c r="D5" i="7"/>
  <c r="D2" i="7" s="1"/>
  <c r="D4" i="7"/>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E2" i="7"/>
  <c r="D11" i="6"/>
  <c r="D10" i="6"/>
  <c r="D9" i="6"/>
  <c r="D8" i="6"/>
  <c r="D7" i="6"/>
  <c r="D6" i="6"/>
  <c r="D5" i="6"/>
  <c r="D2" i="6" s="1"/>
  <c r="D4" i="6"/>
  <c r="C167" i="6"/>
  <c r="C166" i="6"/>
  <c r="C165" i="6"/>
  <c r="C164" i="6"/>
  <c r="C163" i="6"/>
  <c r="C162" i="6"/>
  <c r="C161" i="6"/>
  <c r="C160" i="6"/>
  <c r="C159" i="6"/>
  <c r="C158" i="6"/>
  <c r="C157" i="6"/>
  <c r="C156" i="6"/>
  <c r="C155" i="6"/>
  <c r="C154" i="6"/>
  <c r="C153" i="6"/>
  <c r="C152" i="6"/>
  <c r="C151" i="6"/>
  <c r="C150" i="6"/>
  <c r="C149" i="6"/>
  <c r="C148" i="6"/>
  <c r="C147" i="6"/>
  <c r="C146" i="6"/>
  <c r="C145" i="6"/>
  <c r="C144" i="6"/>
  <c r="C143" i="6"/>
  <c r="C142" i="6"/>
  <c r="C141" i="6"/>
  <c r="C140" i="6"/>
  <c r="C139" i="6"/>
  <c r="C138" i="6"/>
  <c r="C137" i="6"/>
  <c r="C136" i="6"/>
  <c r="C135" i="6"/>
  <c r="C134" i="6"/>
  <c r="C133" i="6"/>
  <c r="C132" i="6"/>
  <c r="C131" i="6"/>
  <c r="C130" i="6"/>
  <c r="C129" i="6"/>
  <c r="C128" i="6"/>
  <c r="C127" i="6"/>
  <c r="C126" i="6"/>
  <c r="C125" i="6"/>
  <c r="C124" i="6"/>
  <c r="C123" i="6"/>
  <c r="C122" i="6"/>
  <c r="C121" i="6"/>
  <c r="C120" i="6"/>
  <c r="C119" i="6"/>
  <c r="C118" i="6"/>
  <c r="C117" i="6"/>
  <c r="C116" i="6"/>
  <c r="C115" i="6"/>
  <c r="C114" i="6"/>
  <c r="C113" i="6"/>
  <c r="C112" i="6"/>
  <c r="C111" i="6"/>
  <c r="C110" i="6"/>
  <c r="C109" i="6"/>
  <c r="C108" i="6"/>
  <c r="C107" i="6"/>
  <c r="C106" i="6"/>
  <c r="C105" i="6"/>
  <c r="C104" i="6"/>
  <c r="C103" i="6"/>
  <c r="C102" i="6"/>
  <c r="C101" i="6"/>
  <c r="C100" i="6"/>
  <c r="C99" i="6"/>
  <c r="C98" i="6"/>
  <c r="C97" i="6"/>
  <c r="C96" i="6"/>
  <c r="C95" i="6"/>
  <c r="C94" i="6"/>
  <c r="C93" i="6"/>
  <c r="C92"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21" i="6"/>
  <c r="C20" i="6"/>
  <c r="C19" i="6"/>
  <c r="C18" i="6"/>
  <c r="C17" i="6"/>
  <c r="C16" i="6"/>
  <c r="C15" i="6"/>
  <c r="C14" i="6"/>
  <c r="C13" i="6"/>
  <c r="C12" i="6"/>
  <c r="C11" i="6"/>
  <c r="C10" i="6"/>
  <c r="C9" i="6"/>
  <c r="C8" i="6"/>
  <c r="C7" i="6"/>
  <c r="C6" i="6"/>
  <c r="C5" i="6"/>
  <c r="C4" i="6"/>
  <c r="E2" i="6"/>
  <c r="D22" i="5"/>
  <c r="D21" i="5"/>
  <c r="D20" i="5"/>
  <c r="D19" i="5"/>
  <c r="D18" i="5"/>
  <c r="D17" i="5"/>
  <c r="D16" i="5"/>
  <c r="D15" i="5"/>
  <c r="D14" i="5"/>
  <c r="D13" i="5"/>
  <c r="D12" i="5"/>
  <c r="D11" i="5"/>
  <c r="D10" i="5"/>
  <c r="D9" i="5"/>
  <c r="D8" i="5"/>
  <c r="D7" i="5"/>
  <c r="D6" i="5"/>
  <c r="D5" i="5"/>
  <c r="D4"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E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 r="D2" i="5" l="1"/>
</calcChain>
</file>

<file path=xl/sharedStrings.xml><?xml version="1.0" encoding="utf-8"?>
<sst xmlns="http://schemas.openxmlformats.org/spreadsheetml/2006/main" count="161" uniqueCount="120">
  <si>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</si>
  <si>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</si>
  <si>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</si>
  <si>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</si>
  <si>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</si>
  <si>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</si>
  <si>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</si>
  <si>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</si>
  <si>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</si>
  <si>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</si>
  <si>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</si>
  <si>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</si>
  <si>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2014-春</t>
  </si>
  <si>
    <t>2014-春</t>
    <rPh sb="5" eb="6">
      <t>ハル</t>
    </rPh>
    <phoneticPr fontId="1"/>
  </si>
  <si>
    <t>PM2-2</t>
  </si>
  <si>
    <t>PM2-2</t>
    <phoneticPr fontId="1"/>
  </si>
  <si>
    <t>金属加工業者</t>
    <rPh sb="0" eb="6">
      <t>キンゾクカコウギョウシャ</t>
    </rPh>
    <phoneticPr fontId="1"/>
  </si>
  <si>
    <t>CAD/CAM</t>
    <phoneticPr fontId="1"/>
  </si>
  <si>
    <t>DNC</t>
    <phoneticPr fontId="1"/>
  </si>
  <si>
    <t>webサーバー</t>
    <phoneticPr fontId="1"/>
  </si>
  <si>
    <t>コンテンツ作成</t>
    <rPh sb="5" eb="7">
      <t>サクセイ</t>
    </rPh>
    <phoneticPr fontId="1"/>
  </si>
  <si>
    <t>FTP</t>
    <phoneticPr fontId="1"/>
  </si>
  <si>
    <t>固定IP</t>
    <rPh sb="0" eb="2">
      <t>コテイ</t>
    </rPh>
    <phoneticPr fontId="1"/>
  </si>
  <si>
    <t>CADデータ</t>
    <phoneticPr fontId="1"/>
  </si>
  <si>
    <t>EV SSL</t>
    <phoneticPr fontId="1"/>
  </si>
  <si>
    <t>専用OS</t>
    <rPh sb="0" eb="2">
      <t>センヨウ</t>
    </rPh>
    <phoneticPr fontId="1"/>
  </si>
  <si>
    <t>UNIX</t>
    <phoneticPr fontId="1"/>
  </si>
  <si>
    <t>webアクセス通信</t>
    <rPh sb="7" eb="9">
      <t>ツウシン</t>
    </rPh>
    <phoneticPr fontId="1"/>
  </si>
  <si>
    <t>URLフィルタ</t>
    <phoneticPr fontId="1"/>
  </si>
  <si>
    <t>ウイルス</t>
    <phoneticPr fontId="1"/>
  </si>
  <si>
    <t>ブラックリスト</t>
    <phoneticPr fontId="1"/>
  </si>
  <si>
    <t>1-1</t>
    <phoneticPr fontId="1"/>
  </si>
  <si>
    <t>マルウェアが書き換わる可能性があるため</t>
    <rPh sb="6" eb="7">
      <t>カ</t>
    </rPh>
    <rPh sb="8" eb="9">
      <t>カ</t>
    </rPh>
    <rPh sb="11" eb="14">
      <t>カノウセイ</t>
    </rPh>
    <phoneticPr fontId="1"/>
  </si>
  <si>
    <t>1-2</t>
    <phoneticPr fontId="1"/>
  </si>
  <si>
    <t>コンテンツに改ざん</t>
    <rPh sb="6" eb="7">
      <t>カイ</t>
    </rPh>
    <phoneticPr fontId="1"/>
  </si>
  <si>
    <t>脆弱性プログラム</t>
    <rPh sb="0" eb="3">
      <t>ゼイジャクセイ</t>
    </rPh>
    <phoneticPr fontId="1"/>
  </si>
  <si>
    <t>ウイルス定義DL</t>
    <rPh sb="4" eb="6">
      <t>テイギ</t>
    </rPh>
    <phoneticPr fontId="1"/>
  </si>
  <si>
    <t>バックアップファイルに改ざんされたファイルが含まれている可能性があるため</t>
    <rPh sb="11" eb="12">
      <t>カイ</t>
    </rPh>
    <rPh sb="22" eb="23">
      <t>フク</t>
    </rPh>
    <rPh sb="28" eb="31">
      <t>カノウセイ</t>
    </rPh>
    <phoneticPr fontId="1"/>
  </si>
  <si>
    <t>1-3</t>
    <phoneticPr fontId="1"/>
  </si>
  <si>
    <t>D社で定義したソフトウェア</t>
    <rPh sb="1" eb="2">
      <t>シャ</t>
    </rPh>
    <rPh sb="3" eb="5">
      <t>テイギ</t>
    </rPh>
    <phoneticPr fontId="1"/>
  </si>
  <si>
    <t>2-1</t>
    <phoneticPr fontId="1"/>
  </si>
  <si>
    <t>a: SSH</t>
    <phoneticPr fontId="1"/>
  </si>
  <si>
    <t>2-2</t>
    <phoneticPr fontId="1"/>
  </si>
  <si>
    <t>送信元</t>
    <rPh sb="0" eb="3">
      <t>ソウシンモト</t>
    </rPh>
    <phoneticPr fontId="1"/>
  </si>
  <si>
    <t>E社</t>
    <rPh sb="1" eb="2">
      <t>シャ</t>
    </rPh>
    <phoneticPr fontId="1"/>
  </si>
  <si>
    <t>3-1</t>
    <phoneticPr fontId="1"/>
  </si>
  <si>
    <t>webアクセス中継</t>
    <rPh sb="7" eb="9">
      <t>チュウケイ</t>
    </rPh>
    <phoneticPr fontId="1"/>
  </si>
  <si>
    <t>スキャン</t>
    <phoneticPr fontId="1"/>
  </si>
  <si>
    <t>URLフィルタリング</t>
    <phoneticPr fontId="1"/>
  </si>
  <si>
    <t>コモンネーム</t>
    <phoneticPr fontId="1"/>
  </si>
  <si>
    <t>経理課</t>
    <rPh sb="0" eb="3">
      <t>ケイリカ</t>
    </rPh>
    <phoneticPr fontId="1"/>
  </si>
  <si>
    <t>ブラウザに表示されるwebサイトの運営者名を確認できなくなる</t>
    <rPh sb="5" eb="7">
      <t>ヒョウジ</t>
    </rPh>
    <rPh sb="17" eb="21">
      <t>ウンエイシャメイ</t>
    </rPh>
    <rPh sb="22" eb="24">
      <t>カクニン</t>
    </rPh>
    <phoneticPr fontId="1"/>
  </si>
  <si>
    <t>3-2</t>
    <phoneticPr fontId="1"/>
  </si>
  <si>
    <t>b: Q社のwebサーバー</t>
    <rPh sb="4" eb="5">
      <t>シャ</t>
    </rPh>
    <phoneticPr fontId="1"/>
  </si>
  <si>
    <t>c: R社のwebサーバー</t>
    <rPh sb="4" eb="5">
      <t>シャ</t>
    </rPh>
    <phoneticPr fontId="1"/>
  </si>
  <si>
    <t>d: OSベンダのwebサーバー</t>
    <phoneticPr fontId="1"/>
  </si>
  <si>
    <t>4</t>
    <phoneticPr fontId="1"/>
  </si>
  <si>
    <t>e: 公開webサーバ</t>
    <rPh sb="3" eb="5">
      <t>コウカイ</t>
    </rPh>
    <phoneticPr fontId="1"/>
  </si>
  <si>
    <t>f: Internet</t>
    <phoneticPr fontId="1"/>
  </si>
  <si>
    <t>g: すべて</t>
    <phoneticPr fontId="1"/>
  </si>
  <si>
    <t>5-1</t>
    <phoneticPr fontId="1"/>
  </si>
  <si>
    <t>ファイル交換</t>
    <rPh sb="4" eb="6">
      <t>コウカン</t>
    </rPh>
    <phoneticPr fontId="1"/>
  </si>
  <si>
    <t>h: クライアント</t>
    <phoneticPr fontId="1"/>
  </si>
  <si>
    <t>5-2</t>
    <phoneticPr fontId="1"/>
  </si>
  <si>
    <t>従業員による不正なデータの持ち出し</t>
    <rPh sb="0" eb="3">
      <t>ジュウギョウイン</t>
    </rPh>
    <rPh sb="6" eb="8">
      <t>フセイ</t>
    </rPh>
    <rPh sb="13" eb="14">
      <t>モ</t>
    </rPh>
    <rPh sb="15" eb="16">
      <t>ダ</t>
    </rPh>
    <phoneticPr fontId="1"/>
  </si>
  <si>
    <t>5-3</t>
    <phoneticPr fontId="1"/>
  </si>
  <si>
    <t>・メールサーバーからのSMTP通信</t>
    <rPh sb="15" eb="17">
      <t>ツウシン</t>
    </rPh>
    <phoneticPr fontId="1"/>
  </si>
  <si>
    <t>・プロキシサーバを経由したP社提供リストにないサーバーへのFTP、HTTP、HTTPS通信</t>
    <rPh sb="9" eb="11">
      <t>ケイユ</t>
    </rPh>
    <rPh sb="14" eb="15">
      <t>シャ</t>
    </rPh>
    <rPh sb="15" eb="17">
      <t>テイキョウ</t>
    </rPh>
    <rPh sb="43" eb="45">
      <t>ツウシン</t>
    </rPh>
    <phoneticPr fontId="1"/>
  </si>
  <si>
    <t>5-4</t>
    <phoneticPr fontId="1"/>
  </si>
  <si>
    <t>webインターフェースを経由せずに直接通信を行ったもの</t>
    <rPh sb="12" eb="14">
      <t>ケイユ</t>
    </rPh>
    <rPh sb="17" eb="19">
      <t>チョクセツ</t>
    </rPh>
    <rPh sb="19" eb="21">
      <t>ツウシン</t>
    </rPh>
    <rPh sb="22" eb="23">
      <t>オコナ</t>
    </rPh>
    <phoneticPr fontId="1"/>
  </si>
  <si>
    <t>PM1-1</t>
    <phoneticPr fontId="1"/>
  </si>
  <si>
    <t>Internetサービス</t>
    <phoneticPr fontId="1"/>
  </si>
  <si>
    <t>Sサービス</t>
    <phoneticPr fontId="1"/>
  </si>
  <si>
    <t>webサービス</t>
    <phoneticPr fontId="1"/>
  </si>
  <si>
    <t>利用者のみ</t>
    <rPh sb="0" eb="3">
      <t>リヨウシャ</t>
    </rPh>
    <phoneticPr fontId="1"/>
  </si>
  <si>
    <t>画像ファイルは制限</t>
    <rPh sb="0" eb="2">
      <t>ガゾウ</t>
    </rPh>
    <rPh sb="7" eb="9">
      <t>セイゲン</t>
    </rPh>
    <phoneticPr fontId="1"/>
  </si>
  <si>
    <t>ブラウザのみ</t>
    <phoneticPr fontId="1"/>
  </si>
  <si>
    <t>利用ID</t>
    <rPh sb="0" eb="2">
      <t>リヨウ</t>
    </rPh>
    <phoneticPr fontId="1"/>
  </si>
  <si>
    <t>PW認証</t>
    <rPh sb="2" eb="4">
      <t>ニンショウ</t>
    </rPh>
    <phoneticPr fontId="1"/>
  </si>
  <si>
    <t>共有フォルダ作成画像</t>
    <rPh sb="0" eb="2">
      <t>キョウユウ</t>
    </rPh>
    <rPh sb="6" eb="8">
      <t>サクセイ</t>
    </rPh>
    <rPh sb="8" eb="10">
      <t>ガゾウ</t>
    </rPh>
    <phoneticPr fontId="1"/>
  </si>
  <si>
    <t>Referer</t>
    <phoneticPr fontId="1"/>
  </si>
  <si>
    <t>ブラウザの設定でスクリプトを無効にする</t>
    <rPh sb="5" eb="7">
      <t>セッテイ</t>
    </rPh>
    <rPh sb="14" eb="16">
      <t>ムコウ</t>
    </rPh>
    <phoneticPr fontId="1"/>
  </si>
  <si>
    <t>サーバー側でアップロードするファイルの検証を行う</t>
    <rPh sb="4" eb="5">
      <t>ガワ</t>
    </rPh>
    <rPh sb="19" eb="21">
      <t>ケンショウ</t>
    </rPh>
    <rPh sb="22" eb="23">
      <t>オコナ</t>
    </rPh>
    <phoneticPr fontId="1"/>
  </si>
  <si>
    <t>a: 整数オーバーフロー</t>
    <rPh sb="3" eb="5">
      <t>セイスウ</t>
    </rPh>
    <phoneticPr fontId="1"/>
  </si>
  <si>
    <t>b: バッファーオーバーフロー</t>
    <phoneticPr fontId="1"/>
  </si>
  <si>
    <t>ヘッダ列の列数と各ピクセルのバイト数の積にパディングを加えたものと、行数の積がkMaxIntegerを超える</t>
    <rPh sb="3" eb="4">
      <t>レツ</t>
    </rPh>
    <rPh sb="5" eb="7">
      <t>レツカズ</t>
    </rPh>
    <rPh sb="8" eb="9">
      <t>カク</t>
    </rPh>
    <rPh sb="17" eb="18">
      <t>カズ</t>
    </rPh>
    <rPh sb="19" eb="20">
      <t>セキ</t>
    </rPh>
    <rPh sb="27" eb="28">
      <t>クワ</t>
    </rPh>
    <rPh sb="34" eb="36">
      <t>ギョウスウ</t>
    </rPh>
    <rPh sb="37" eb="38">
      <t>セキ</t>
    </rPh>
    <rPh sb="51" eb="52">
      <t>コ</t>
    </rPh>
    <phoneticPr fontId="1"/>
  </si>
  <si>
    <t>3</t>
    <phoneticPr fontId="1"/>
  </si>
  <si>
    <t>c: kMaxIntefer / fhBuf.rows</t>
    <phoneticPr fontId="1"/>
  </si>
  <si>
    <t>d:  bytesOfRow</t>
    <phoneticPr fontId="1"/>
  </si>
  <si>
    <t>PM1-3</t>
    <phoneticPr fontId="1"/>
  </si>
  <si>
    <t>X銀行</t>
    <rPh sb="1" eb="3">
      <t>ギンコウ</t>
    </rPh>
    <phoneticPr fontId="1"/>
  </si>
  <si>
    <t>ネットバンキング</t>
    <phoneticPr fontId="1"/>
  </si>
  <si>
    <t>Xネットサービス</t>
    <phoneticPr fontId="1"/>
  </si>
  <si>
    <t>MW J</t>
    <phoneticPr fontId="1"/>
  </si>
  <si>
    <t>X net</t>
    <phoneticPr fontId="1"/>
  </si>
  <si>
    <t>Xネットワーク</t>
    <phoneticPr fontId="1"/>
  </si>
  <si>
    <t>ID+PW</t>
    <phoneticPr fontId="1"/>
  </si>
  <si>
    <t>MW Jの表示に来小津かづ、入力</t>
    <rPh sb="5" eb="7">
      <t>ヒョウジ</t>
    </rPh>
    <rPh sb="8" eb="11">
      <t>キオヅ</t>
    </rPh>
    <rPh sb="14" eb="16">
      <t>ニュウリョク</t>
    </rPh>
    <phoneticPr fontId="1"/>
  </si>
  <si>
    <t>フィッシングサイト</t>
    <phoneticPr fontId="1"/>
  </si>
  <si>
    <t>攻撃者にはクライアント証明書がないため、サイトにアクセスできないため。</t>
    <rPh sb="0" eb="2">
      <t>コウゲキ</t>
    </rPh>
    <rPh sb="2" eb="3">
      <t>モノ</t>
    </rPh>
    <rPh sb="11" eb="14">
      <t>ショウメイショ</t>
    </rPh>
    <phoneticPr fontId="1"/>
  </si>
  <si>
    <t>PCがMWJ</t>
    <phoneticPr fontId="1"/>
  </si>
  <si>
    <t>注意を促す</t>
    <rPh sb="0" eb="2">
      <t>チュウイ</t>
    </rPh>
    <rPh sb="3" eb="4">
      <t>ウナガ</t>
    </rPh>
    <phoneticPr fontId="1"/>
  </si>
  <si>
    <t>MW K</t>
    <phoneticPr fontId="1"/>
  </si>
  <si>
    <t>ルート証明書が信頼されていないという警告が出るため気づく。</t>
    <rPh sb="3" eb="6">
      <t>ショウメイショ</t>
    </rPh>
    <rPh sb="7" eb="9">
      <t>シンライ</t>
    </rPh>
    <rPh sb="18" eb="20">
      <t>ケイコク</t>
    </rPh>
    <rPh sb="21" eb="22">
      <t>デ</t>
    </rPh>
    <rPh sb="25" eb="26">
      <t>キ</t>
    </rPh>
    <phoneticPr fontId="1"/>
  </si>
  <si>
    <t>個人利用には被害が発生する可能性あり</t>
    <rPh sb="0" eb="2">
      <t>コジン</t>
    </rPh>
    <rPh sb="2" eb="4">
      <t>リヨウ</t>
    </rPh>
    <rPh sb="6" eb="8">
      <t>ヒガイ</t>
    </rPh>
    <rPh sb="9" eb="11">
      <t>ハッセイ</t>
    </rPh>
    <rPh sb="13" eb="16">
      <t>カノウセイ</t>
    </rPh>
    <phoneticPr fontId="1"/>
  </si>
  <si>
    <t>MWK</t>
    <phoneticPr fontId="1"/>
  </si>
  <si>
    <t>a: 123456</t>
    <phoneticPr fontId="1"/>
  </si>
  <si>
    <t>b: 10000</t>
    <phoneticPr fontId="1"/>
  </si>
  <si>
    <t>マルウェアKが書き換えたことを利用者に気づかれないようにするため</t>
    <rPh sb="7" eb="8">
      <t>カ</t>
    </rPh>
    <rPh sb="9" eb="10">
      <t>カ</t>
    </rPh>
    <rPh sb="15" eb="18">
      <t>リヨウシャ</t>
    </rPh>
    <rPh sb="19" eb="20">
      <t>キ</t>
    </rPh>
    <phoneticPr fontId="1"/>
  </si>
  <si>
    <t>セキュリティ対策</t>
    <rPh sb="6" eb="8">
      <t>タイサク</t>
    </rPh>
    <phoneticPr fontId="1"/>
  </si>
  <si>
    <t>OTP</t>
    <phoneticPr fontId="1"/>
  </si>
  <si>
    <t>リスクベース</t>
    <phoneticPr fontId="1"/>
  </si>
  <si>
    <t>送信にんしょゆ</t>
    <rPh sb="0" eb="2">
      <t>ソウシン</t>
    </rPh>
    <phoneticPr fontId="1"/>
  </si>
  <si>
    <t>c: 対策になる</t>
    <rPh sb="3" eb="5">
      <t>タイサク</t>
    </rPh>
    <phoneticPr fontId="1"/>
  </si>
  <si>
    <t>d: 対策にならない</t>
    <rPh sb="3" eb="5">
      <t>タイサク</t>
    </rPh>
    <phoneticPr fontId="1"/>
  </si>
  <si>
    <t>２要素認証</t>
    <rPh sb="1" eb="5">
      <t>ヨウソニンショウ</t>
    </rPh>
    <phoneticPr fontId="1"/>
  </si>
  <si>
    <t>3-3</t>
    <phoneticPr fontId="1"/>
  </si>
  <si>
    <t>利用者PCがマルウェアに感染した場合、HMAC計算ツールの入力内容も改ざんされる可能性があるため</t>
    <rPh sb="0" eb="3">
      <t>リヨウシャ</t>
    </rPh>
    <rPh sb="12" eb="14">
      <t>カンセン</t>
    </rPh>
    <rPh sb="16" eb="18">
      <t>バアイ</t>
    </rPh>
    <rPh sb="23" eb="25">
      <t>ケイサン</t>
    </rPh>
    <rPh sb="29" eb="31">
      <t>ニュウリョク</t>
    </rPh>
    <rPh sb="31" eb="33">
      <t>ナイヨウ</t>
    </rPh>
    <rPh sb="34" eb="35">
      <t>カイ</t>
    </rPh>
    <rPh sb="40" eb="43">
      <t>カノウセイ</t>
    </rPh>
    <phoneticPr fontId="1"/>
  </si>
  <si>
    <t>PM1-1</t>
  </si>
  <si>
    <t>2014-春</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</si>
</sst>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6"/>
      <name val="Yu Gothic"/>
      <family val="3"/>
      <charset val="128"/>
      <scheme val="minor"/>
    </font>
    <font>
      <sz val="11"/>
      <color rgb="FF000000"/>
      <name val="Yu Gothic"/>
      <family val="3"/>
      <charset val="128"/>
    </font>
  </fonts>
  <fills count="2">
    <fill>
      <patternFill patternType="none"/>
    </fill>
    <fill>
      <patternFill patternType="gray125"/>
    </fill>
  </fills>
  <borders count="1">
    <border>
      <left/>
      <right/>
      <top/>
      <bottom/>
      <diagonal/>
    </border>
  </borders>
  <cellStyleXfs count="1">
    <xf numFmtId="0" fontId="0" fillId="0" borderId="0"/>
  </cellStyleXfs>
  <cellXfs count="4">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4"/>
  <sheetViews>
    <sheetView tabSelected="1" workbookViewId="0">
      <selection activeCell="K10" sqref="K10"/>
    </sheetView>
  </sheetViews>
  <sheetFormatPr defaultRowHeight="18.75"/>
  <cols>
    <col min="2" max="3" width="9" style="2"/>
  </cols>
  <sheetData>
    <row r="1" spans="1:6">
      <c r="A1" t="s">
        <v>11</v>
      </c>
      <c r="B1" s="2" t="s">
        <v>7</v>
      </c>
      <c r="C1" s="2" t="s">
        <v>8</v>
      </c>
      <c r="D1" t="s">
        <v>9</v>
      </c>
      <c r="E1" t="s">
        <v>5</v>
      </c>
      <c r="F1" t="s">
        <v>10</v>
      </c>
    </row>
    <row r="2" spans="1:6">
      <c r="A2">
        <v>1</v>
      </c>
      <c r="B2" s="2" t="s">
        <v>12</v>
      </c>
      <c r="C2" s="2" t="s">
        <v>14</v>
      </c>
      <c r="D2">
        <v>77</v>
      </c>
      <c r="E2">
        <v>100</v>
      </c>
    </row>
    <row r="3" spans="1:6">
      <c r="A3">
        <v>3</v>
      </c>
      <c r="B3" s="2" t="s">
        <v>119</v>
      </c>
      <c r="C3" s="2" t="s">
        <v>89</v>
      </c>
      <c r="D3">
        <v>39</v>
      </c>
      <c r="E3">
        <v>50</v>
      </c>
    </row>
    <row r="4" spans="1:6">
      <c r="A4">
        <v>2</v>
      </c>
      <c r="B4" s="2" t="s">
        <v>12</v>
      </c>
      <c r="C4" s="2" t="s">
        <v>118</v>
      </c>
      <c r="D4">
        <v>24</v>
      </c>
      <c r="E4">
        <v>50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FB99D0-1CFE-4994-B494-7F63FE7729A2}">
  <sheetPr codeName="Sheet4"/>
  <dimension ref="A1:K167"/>
  <sheetViews>
    <sheetView zoomScale="85" zoomScaleNormal="85"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60.25" style="1" customWidth="1"/>
    <col min="3" max="3" width="9.75" customWidth="1"/>
  </cols>
  <sheetData>
    <row r="1" spans="1:11">
      <c r="A1" s="2" t="s">
        <v>0</v>
      </c>
      <c r="B1" s="1" t="s">
        <v>13</v>
      </c>
      <c r="K1" t="s">
        <v>49</v>
      </c>
    </row>
    <row r="2" spans="1:11">
      <c r="A2" s="2" t="s">
        <v>2</v>
      </c>
      <c r="B2" s="3" t="s">
        <v>15</v>
      </c>
      <c r="D2">
        <f>SUM(D4:D1000)</f>
        <v>77</v>
      </c>
      <c r="E2">
        <f>SUM(E4:E1000)</f>
        <v>100</v>
      </c>
    </row>
    <row r="3" spans="1:11">
      <c r="A3" s="2" t="s">
        <v>1</v>
      </c>
      <c r="B3" s="1" t="s">
        <v>3</v>
      </c>
      <c r="C3" t="s">
        <v>6</v>
      </c>
      <c r="D3" t="s">
        <v>4</v>
      </c>
      <c r="E3" t="s">
        <v>5</v>
      </c>
    </row>
    <row r="4" spans="1:11">
      <c r="A4" s="2" t="s">
        <v>31</v>
      </c>
      <c r="B4" s="1" t="s">
        <v>32</v>
      </c>
      <c r="C4">
        <f>IF(B4&lt;&gt;"",LEN(B4),"")</f>
        <v>19</v>
      </c>
      <c r="D4">
        <f>E4*F4</f>
        <v>6</v>
      </c>
      <c r="E4">
        <v>6</v>
      </c>
      <c r="F4">
        <v>1</v>
      </c>
      <c r="G4" t="s">
        <v>16</v>
      </c>
      <c r="I4" t="s">
        <v>25</v>
      </c>
      <c r="K4" t="s">
        <v>36</v>
      </c>
    </row>
    <row r="5" spans="1:11" ht="37.5">
      <c r="A5" s="2" t="s">
        <v>33</v>
      </c>
      <c r="B5" s="1" t="s">
        <v>37</v>
      </c>
      <c r="C5">
        <f t="shared" ref="C5:C68" si="0">IF(B5&lt;&gt;"",LEN(B5),"")</f>
        <v>36</v>
      </c>
      <c r="D5">
        <f t="shared" ref="D5:D22" si="1">E5*F5</f>
        <v>8</v>
      </c>
      <c r="E5">
        <v>8</v>
      </c>
      <c r="F5">
        <v>1</v>
      </c>
      <c r="G5" t="s">
        <v>17</v>
      </c>
      <c r="I5" t="s">
        <v>26</v>
      </c>
      <c r="K5" t="s">
        <v>46</v>
      </c>
    </row>
    <row r="6" spans="1:11">
      <c r="A6" s="2" t="s">
        <v>38</v>
      </c>
      <c r="B6" s="1" t="s">
        <v>39</v>
      </c>
      <c r="C6">
        <f t="shared" si="0"/>
        <v>13</v>
      </c>
      <c r="D6">
        <f t="shared" si="1"/>
        <v>0</v>
      </c>
      <c r="E6">
        <v>4</v>
      </c>
      <c r="F6">
        <v>0</v>
      </c>
      <c r="G6" t="s">
        <v>18</v>
      </c>
      <c r="I6" t="s">
        <v>27</v>
      </c>
      <c r="K6" t="s">
        <v>47</v>
      </c>
    </row>
    <row r="7" spans="1:11">
      <c r="A7" s="2" t="s">
        <v>40</v>
      </c>
      <c r="B7" s="1" t="s">
        <v>41</v>
      </c>
      <c r="C7">
        <f t="shared" si="0"/>
        <v>6</v>
      </c>
      <c r="D7">
        <f t="shared" si="1"/>
        <v>4</v>
      </c>
      <c r="E7">
        <v>4</v>
      </c>
      <c r="F7">
        <v>1</v>
      </c>
      <c r="G7" t="s">
        <v>19</v>
      </c>
      <c r="I7" t="s">
        <v>28</v>
      </c>
      <c r="K7" t="s">
        <v>48</v>
      </c>
    </row>
    <row r="8" spans="1:11">
      <c r="A8" s="2" t="s">
        <v>42</v>
      </c>
      <c r="B8" s="1" t="s">
        <v>43</v>
      </c>
      <c r="C8">
        <f t="shared" si="0"/>
        <v>3</v>
      </c>
      <c r="D8">
        <f t="shared" si="1"/>
        <v>4</v>
      </c>
      <c r="E8">
        <v>4</v>
      </c>
      <c r="F8">
        <v>1</v>
      </c>
      <c r="G8" t="s">
        <v>20</v>
      </c>
      <c r="I8" t="s">
        <v>29</v>
      </c>
      <c r="K8" t="s">
        <v>49</v>
      </c>
    </row>
    <row r="9" spans="1:11">
      <c r="B9" s="1" t="s">
        <v>44</v>
      </c>
      <c r="C9">
        <f t="shared" si="0"/>
        <v>2</v>
      </c>
      <c r="D9">
        <f t="shared" si="1"/>
        <v>4</v>
      </c>
      <c r="E9">
        <v>4</v>
      </c>
      <c r="F9">
        <v>1</v>
      </c>
      <c r="G9" t="s">
        <v>21</v>
      </c>
      <c r="I9" t="s">
        <v>30</v>
      </c>
    </row>
    <row r="10" spans="1:11">
      <c r="A10" s="2" t="s">
        <v>45</v>
      </c>
      <c r="B10" s="1" t="s">
        <v>50</v>
      </c>
      <c r="C10">
        <f t="shared" si="0"/>
        <v>3</v>
      </c>
      <c r="D10">
        <f t="shared" si="1"/>
        <v>4</v>
      </c>
      <c r="E10">
        <v>4</v>
      </c>
      <c r="F10">
        <v>1</v>
      </c>
      <c r="G10" t="s">
        <v>22</v>
      </c>
      <c r="I10" t="s">
        <v>34</v>
      </c>
    </row>
    <row r="11" spans="1:11">
      <c r="B11" s="1" t="s">
        <v>51</v>
      </c>
      <c r="C11">
        <f t="shared" si="0"/>
        <v>30</v>
      </c>
      <c r="D11">
        <f t="shared" si="1"/>
        <v>6</v>
      </c>
      <c r="E11">
        <v>6</v>
      </c>
      <c r="F11">
        <v>1</v>
      </c>
      <c r="G11" t="s">
        <v>23</v>
      </c>
      <c r="I11" t="s">
        <v>35</v>
      </c>
    </row>
    <row r="12" spans="1:11">
      <c r="A12" s="2" t="s">
        <v>52</v>
      </c>
      <c r="B12" s="1" t="s">
        <v>53</v>
      </c>
      <c r="C12">
        <f t="shared" si="0"/>
        <v>13</v>
      </c>
      <c r="D12">
        <f t="shared" si="1"/>
        <v>4</v>
      </c>
      <c r="E12">
        <v>4</v>
      </c>
      <c r="F12">
        <v>1</v>
      </c>
      <c r="G12" t="s">
        <v>24</v>
      </c>
    </row>
    <row r="13" spans="1:11">
      <c r="B13" s="1" t="s">
        <v>54</v>
      </c>
      <c r="C13">
        <f t="shared" si="0"/>
        <v>13</v>
      </c>
      <c r="D13">
        <f t="shared" si="1"/>
        <v>4</v>
      </c>
      <c r="E13">
        <v>4</v>
      </c>
      <c r="F13">
        <v>1</v>
      </c>
      <c r="I13" t="s">
        <v>61</v>
      </c>
    </row>
    <row r="14" spans="1:11">
      <c r="B14" s="1" t="s">
        <v>55</v>
      </c>
      <c r="C14">
        <f t="shared" si="0"/>
        <v>16</v>
      </c>
      <c r="D14">
        <f t="shared" si="1"/>
        <v>4</v>
      </c>
      <c r="E14">
        <v>4</v>
      </c>
      <c r="F14">
        <v>1</v>
      </c>
    </row>
    <row r="15" spans="1:11">
      <c r="A15" s="2" t="s">
        <v>56</v>
      </c>
      <c r="B15" s="1" t="s">
        <v>57</v>
      </c>
      <c r="C15">
        <f t="shared" si="0"/>
        <v>11</v>
      </c>
      <c r="D15">
        <f t="shared" si="1"/>
        <v>4</v>
      </c>
      <c r="E15">
        <v>4</v>
      </c>
      <c r="F15">
        <v>1</v>
      </c>
    </row>
    <row r="16" spans="1:11">
      <c r="B16" s="1" t="s">
        <v>58</v>
      </c>
      <c r="C16">
        <f t="shared" si="0"/>
        <v>11</v>
      </c>
      <c r="D16">
        <f t="shared" si="1"/>
        <v>4</v>
      </c>
      <c r="E16">
        <v>4</v>
      </c>
      <c r="F16">
        <v>1</v>
      </c>
    </row>
    <row r="17" spans="1:6">
      <c r="B17" s="1" t="s">
        <v>59</v>
      </c>
      <c r="C17">
        <f t="shared" si="0"/>
        <v>6</v>
      </c>
      <c r="D17">
        <f t="shared" si="1"/>
        <v>4</v>
      </c>
      <c r="E17">
        <v>4</v>
      </c>
      <c r="F17">
        <v>1</v>
      </c>
    </row>
    <row r="18" spans="1:6">
      <c r="A18" s="2" t="s">
        <v>60</v>
      </c>
      <c r="B18" s="1" t="s">
        <v>62</v>
      </c>
      <c r="C18">
        <f t="shared" si="0"/>
        <v>9</v>
      </c>
      <c r="D18">
        <f t="shared" si="1"/>
        <v>4</v>
      </c>
      <c r="E18">
        <v>4</v>
      </c>
      <c r="F18">
        <v>1</v>
      </c>
    </row>
    <row r="19" spans="1:6">
      <c r="A19" s="2" t="s">
        <v>63</v>
      </c>
      <c r="B19" s="1" t="s">
        <v>64</v>
      </c>
      <c r="C19">
        <f t="shared" si="0"/>
        <v>17</v>
      </c>
      <c r="D19">
        <f t="shared" si="1"/>
        <v>0</v>
      </c>
      <c r="E19">
        <v>6</v>
      </c>
      <c r="F19">
        <v>0</v>
      </c>
    </row>
    <row r="20" spans="1:6">
      <c r="A20" s="2" t="s">
        <v>65</v>
      </c>
      <c r="B20" s="1" t="s">
        <v>66</v>
      </c>
      <c r="C20">
        <f t="shared" si="0"/>
        <v>17</v>
      </c>
      <c r="D20">
        <f t="shared" si="1"/>
        <v>0</v>
      </c>
      <c r="E20">
        <v>8</v>
      </c>
      <c r="F20">
        <v>0</v>
      </c>
    </row>
    <row r="21" spans="1:6" ht="37.5">
      <c r="B21" s="1" t="s">
        <v>67</v>
      </c>
      <c r="C21">
        <f t="shared" si="0"/>
        <v>45</v>
      </c>
      <c r="D21">
        <f t="shared" si="1"/>
        <v>8</v>
      </c>
      <c r="E21">
        <v>8</v>
      </c>
      <c r="F21">
        <v>1</v>
      </c>
    </row>
    <row r="22" spans="1:6">
      <c r="A22" s="2" t="s">
        <v>68</v>
      </c>
      <c r="B22" s="1" t="s">
        <v>69</v>
      </c>
      <c r="C22">
        <f t="shared" si="0"/>
        <v>27</v>
      </c>
      <c r="D22">
        <f t="shared" si="1"/>
        <v>5</v>
      </c>
      <c r="E22">
        <v>10</v>
      </c>
      <c r="F22">
        <v>0.5</v>
      </c>
    </row>
    <row r="23" spans="1:6">
      <c r="C23" t="str">
        <f t="shared" si="0"/>
        <v/>
      </c>
    </row>
    <row r="24" spans="1:6">
      <c r="C24" t="str">
        <f t="shared" si="0"/>
        <v/>
      </c>
    </row>
    <row r="25" spans="1:6">
      <c r="C25" t="str">
        <f t="shared" si="0"/>
        <v/>
      </c>
    </row>
    <row r="26" spans="1:6">
      <c r="C26" t="str">
        <f t="shared" si="0"/>
        <v/>
      </c>
    </row>
    <row r="27" spans="1:6">
      <c r="C27" t="str">
        <f t="shared" si="0"/>
        <v/>
      </c>
    </row>
    <row r="28" spans="1:6">
      <c r="C28" t="str">
        <f t="shared" si="0"/>
        <v/>
      </c>
    </row>
    <row r="29" spans="1:6">
      <c r="C29" t="str">
        <f t="shared" si="0"/>
        <v/>
      </c>
    </row>
    <row r="30" spans="1:6">
      <c r="C30" t="str">
        <f t="shared" si="0"/>
        <v/>
      </c>
    </row>
    <row r="31" spans="1:6">
      <c r="C31" t="str">
        <f t="shared" si="0"/>
        <v/>
      </c>
    </row>
    <row r="32" spans="1:6">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0997F9-CD41-4839-97C7-627408FB87B2}">
  <sheetPr codeName="Sheet5"/>
  <dimension ref="A1:J167"/>
  <sheetViews>
    <sheetView zoomScale="85" zoomScaleNormal="85"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48.5" style="1" customWidth="1"/>
    <col min="3" max="3" width="9.75" customWidth="1"/>
  </cols>
  <sheetData>
    <row r="1" spans="1:10">
      <c r="A1" s="2" t="s">
        <v>0</v>
      </c>
      <c r="B1" s="1" t="s">
        <v>13</v>
      </c>
      <c r="H1" t="s">
        <v>80</v>
      </c>
    </row>
    <row r="2" spans="1:10">
      <c r="A2" s="2" t="s">
        <v>2</v>
      </c>
      <c r="B2" s="3" t="s">
        <v>70</v>
      </c>
      <c r="D2">
        <f>SUM(D4:D1000)</f>
        <v>24</v>
      </c>
      <c r="E2">
        <f>SUM(E4:E1000)</f>
        <v>50</v>
      </c>
    </row>
    <row r="3" spans="1:10">
      <c r="A3" s="2" t="s">
        <v>1</v>
      </c>
      <c r="B3" s="1" t="s">
        <v>3</v>
      </c>
      <c r="C3" t="s">
        <v>6</v>
      </c>
      <c r="D3" t="s">
        <v>4</v>
      </c>
      <c r="E3" t="s">
        <v>5</v>
      </c>
    </row>
    <row r="4" spans="1:10">
      <c r="A4" s="2" t="s">
        <v>31</v>
      </c>
      <c r="B4" s="1" t="s">
        <v>80</v>
      </c>
      <c r="C4">
        <f>IF(B4&lt;&gt;"",LEN(B4),"")</f>
        <v>7</v>
      </c>
      <c r="D4">
        <f>E4*F4</f>
        <v>0</v>
      </c>
      <c r="E4">
        <v>5</v>
      </c>
      <c r="F4">
        <v>0</v>
      </c>
      <c r="H4" t="s">
        <v>71</v>
      </c>
      <c r="J4" t="s">
        <v>77</v>
      </c>
    </row>
    <row r="5" spans="1:10">
      <c r="A5" s="2" t="s">
        <v>33</v>
      </c>
      <c r="B5" s="1" t="s">
        <v>81</v>
      </c>
      <c r="C5">
        <f t="shared" ref="C5:C68" si="0">IF(B5&lt;&gt;"",LEN(B5),"")</f>
        <v>19</v>
      </c>
      <c r="D5">
        <f t="shared" ref="D5:D11" si="1">E5*F5</f>
        <v>0</v>
      </c>
      <c r="E5">
        <v>6</v>
      </c>
      <c r="F5">
        <v>0</v>
      </c>
      <c r="H5" t="s">
        <v>72</v>
      </c>
      <c r="J5" t="s">
        <v>78</v>
      </c>
    </row>
    <row r="6" spans="1:10">
      <c r="A6" s="2" t="s">
        <v>38</v>
      </c>
      <c r="B6" s="1" t="s">
        <v>82</v>
      </c>
      <c r="C6">
        <f t="shared" si="0"/>
        <v>24</v>
      </c>
      <c r="D6">
        <f t="shared" si="1"/>
        <v>8</v>
      </c>
      <c r="E6">
        <v>8</v>
      </c>
      <c r="F6">
        <v>1</v>
      </c>
      <c r="H6" t="s">
        <v>73</v>
      </c>
      <c r="J6" t="s">
        <v>79</v>
      </c>
    </row>
    <row r="7" spans="1:10">
      <c r="A7" s="2" t="s">
        <v>40</v>
      </c>
      <c r="B7" s="1" t="s">
        <v>83</v>
      </c>
      <c r="C7">
        <f t="shared" si="0"/>
        <v>12</v>
      </c>
      <c r="D7">
        <f t="shared" si="1"/>
        <v>0</v>
      </c>
      <c r="E7">
        <v>5</v>
      </c>
      <c r="F7">
        <v>0</v>
      </c>
      <c r="H7" t="s">
        <v>74</v>
      </c>
    </row>
    <row r="8" spans="1:10">
      <c r="B8" s="1" t="s">
        <v>84</v>
      </c>
      <c r="C8">
        <f t="shared" si="0"/>
        <v>15</v>
      </c>
      <c r="D8">
        <f t="shared" si="1"/>
        <v>5</v>
      </c>
      <c r="E8">
        <v>5</v>
      </c>
      <c r="F8">
        <v>1</v>
      </c>
      <c r="H8" t="s">
        <v>75</v>
      </c>
    </row>
    <row r="9" spans="1:10" ht="37.5">
      <c r="A9" s="2" t="s">
        <v>42</v>
      </c>
      <c r="B9" s="1" t="s">
        <v>85</v>
      </c>
      <c r="C9">
        <f t="shared" si="0"/>
        <v>54</v>
      </c>
      <c r="D9">
        <f t="shared" si="1"/>
        <v>5</v>
      </c>
      <c r="E9">
        <v>10</v>
      </c>
      <c r="F9">
        <v>0.5</v>
      </c>
      <c r="H9" t="s">
        <v>76</v>
      </c>
    </row>
    <row r="10" spans="1:10">
      <c r="A10" s="2" t="s">
        <v>86</v>
      </c>
      <c r="B10" s="1" t="s">
        <v>87</v>
      </c>
      <c r="C10">
        <f t="shared" si="0"/>
        <v>27</v>
      </c>
      <c r="D10">
        <f t="shared" si="1"/>
        <v>0</v>
      </c>
      <c r="E10">
        <v>5</v>
      </c>
      <c r="F10">
        <v>0</v>
      </c>
    </row>
    <row r="11" spans="1:10">
      <c r="B11" s="1" t="s">
        <v>88</v>
      </c>
      <c r="C11">
        <f t="shared" si="0"/>
        <v>14</v>
      </c>
      <c r="D11">
        <f t="shared" si="1"/>
        <v>6</v>
      </c>
      <c r="E11">
        <v>6</v>
      </c>
      <c r="F11">
        <v>1</v>
      </c>
    </row>
    <row r="12" spans="1:10">
      <c r="C12" t="str">
        <f t="shared" si="0"/>
        <v/>
      </c>
    </row>
    <row r="13" spans="1:10">
      <c r="C13" t="str">
        <f t="shared" si="0"/>
        <v/>
      </c>
    </row>
    <row r="14" spans="1:10">
      <c r="C14" t="str">
        <f t="shared" si="0"/>
        <v/>
      </c>
    </row>
    <row r="15" spans="1:10">
      <c r="C15" t="str">
        <f t="shared" si="0"/>
        <v/>
      </c>
    </row>
    <row r="16" spans="1:10">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F05E-2846-4532-A4E2-AAF18CCE90BC}">
  <sheetPr codeName="Sheet6"/>
  <dimension ref="A1:K167"/>
  <sheetViews>
    <sheetView zoomScaleNormal="100" workbookViewId="0">
      <pane xSplit="1" ySplit="3" topLeftCell="B4" activePane="bottomRight" state="frozen"/>
      <selection pane="topRight" activeCell="B1" sqref="B1"/>
      <selection pane="bottomLeft" activeCell="A4" sqref="A4"/>
      <selection pane="bottomRight" activeCell="G11" sqref="G11"/>
    </sheetView>
  </sheetViews>
  <sheetFormatPr defaultRowHeight="18.75"/>
  <cols>
    <col min="1" max="1" width="9" style="2"/>
    <col min="2" max="2" width="35.5" style="1" customWidth="1"/>
    <col min="3" max="3" width="9.75" customWidth="1"/>
  </cols>
  <sheetData>
    <row r="1" spans="1:11">
      <c r="A1" s="2" t="s">
        <v>0</v>
      </c>
      <c r="B1" s="1" t="s">
        <v>13</v>
      </c>
    </row>
    <row r="2" spans="1:11">
      <c r="A2" s="2" t="s">
        <v>2</v>
      </c>
      <c r="B2" s="3" t="s">
        <v>89</v>
      </c>
      <c r="D2">
        <f>SUM(D4:D1000)</f>
        <v>39</v>
      </c>
      <c r="E2">
        <f>SUM(E4:E1000)</f>
        <v>50</v>
      </c>
    </row>
    <row r="3" spans="1:11">
      <c r="A3" s="2" t="s">
        <v>1</v>
      </c>
      <c r="B3" s="1" t="s">
        <v>3</v>
      </c>
      <c r="C3" t="s">
        <v>6</v>
      </c>
      <c r="D3" t="s">
        <v>4</v>
      </c>
      <c r="E3" t="s">
        <v>5</v>
      </c>
    </row>
    <row r="4" spans="1:11">
      <c r="A4" s="2" t="s">
        <v>31</v>
      </c>
      <c r="B4" s="1" t="s">
        <v>98</v>
      </c>
      <c r="C4">
        <f>IF(B4&lt;&gt;"",LEN(B4),"")</f>
        <v>9</v>
      </c>
      <c r="D4">
        <f>E4*F4</f>
        <v>4</v>
      </c>
      <c r="E4">
        <v>4</v>
      </c>
      <c r="F4">
        <v>1</v>
      </c>
      <c r="G4" t="s">
        <v>90</v>
      </c>
      <c r="I4" t="s">
        <v>95</v>
      </c>
      <c r="K4" t="s">
        <v>105</v>
      </c>
    </row>
    <row r="5" spans="1:11" ht="37.5">
      <c r="A5" s="2" t="s">
        <v>33</v>
      </c>
      <c r="B5" s="1" t="s">
        <v>99</v>
      </c>
      <c r="C5">
        <f t="shared" ref="C5:C68" si="0">IF(B5&lt;&gt;"",LEN(B5),"")</f>
        <v>35</v>
      </c>
      <c r="D5">
        <f t="shared" ref="D5:D13" si="1">E5*F5</f>
        <v>6</v>
      </c>
      <c r="E5">
        <v>6</v>
      </c>
      <c r="F5">
        <v>1</v>
      </c>
      <c r="G5" t="s">
        <v>91</v>
      </c>
      <c r="I5" t="s">
        <v>96</v>
      </c>
      <c r="K5" t="s">
        <v>109</v>
      </c>
    </row>
    <row r="6" spans="1:11" ht="37.5">
      <c r="A6" s="2" t="s">
        <v>40</v>
      </c>
      <c r="B6" s="1" t="s">
        <v>103</v>
      </c>
      <c r="C6">
        <f t="shared" si="0"/>
        <v>29</v>
      </c>
      <c r="D6">
        <f t="shared" si="1"/>
        <v>3</v>
      </c>
      <c r="E6">
        <v>6</v>
      </c>
      <c r="F6">
        <v>0.5</v>
      </c>
      <c r="G6" t="s">
        <v>92</v>
      </c>
      <c r="I6" t="s">
        <v>97</v>
      </c>
      <c r="K6" t="s">
        <v>110</v>
      </c>
    </row>
    <row r="7" spans="1:11">
      <c r="A7" s="2" t="s">
        <v>42</v>
      </c>
      <c r="B7" s="1" t="s">
        <v>106</v>
      </c>
      <c r="C7">
        <f t="shared" si="0"/>
        <v>9</v>
      </c>
      <c r="D7">
        <f t="shared" si="1"/>
        <v>4</v>
      </c>
      <c r="E7">
        <v>4</v>
      </c>
      <c r="F7">
        <v>1</v>
      </c>
      <c r="G7" t="s">
        <v>24</v>
      </c>
      <c r="I7" t="s">
        <v>100</v>
      </c>
      <c r="K7" t="s">
        <v>111</v>
      </c>
    </row>
    <row r="8" spans="1:11">
      <c r="B8" s="1" t="s">
        <v>107</v>
      </c>
      <c r="C8">
        <f t="shared" si="0"/>
        <v>8</v>
      </c>
      <c r="D8">
        <f t="shared" si="1"/>
        <v>4</v>
      </c>
      <c r="E8">
        <v>4</v>
      </c>
      <c r="F8">
        <v>1</v>
      </c>
      <c r="G8" t="s">
        <v>93</v>
      </c>
      <c r="I8" t="s">
        <v>101</v>
      </c>
      <c r="K8" t="s">
        <v>112</v>
      </c>
    </row>
    <row r="9" spans="1:11" ht="37.5">
      <c r="B9" s="1" t="s">
        <v>108</v>
      </c>
      <c r="C9">
        <f t="shared" si="0"/>
        <v>32</v>
      </c>
      <c r="D9">
        <f t="shared" si="1"/>
        <v>6</v>
      </c>
      <c r="E9">
        <v>6</v>
      </c>
      <c r="F9">
        <v>1</v>
      </c>
      <c r="G9" t="s">
        <v>94</v>
      </c>
      <c r="I9" t="s">
        <v>102</v>
      </c>
    </row>
    <row r="10" spans="1:11">
      <c r="A10" s="2" t="s">
        <v>45</v>
      </c>
      <c r="B10" s="1" t="s">
        <v>113</v>
      </c>
      <c r="C10">
        <f t="shared" si="0"/>
        <v>8</v>
      </c>
      <c r="D10">
        <f t="shared" si="1"/>
        <v>4</v>
      </c>
      <c r="E10">
        <v>4</v>
      </c>
      <c r="F10">
        <v>1</v>
      </c>
      <c r="G10" t="s">
        <v>92</v>
      </c>
      <c r="I10" t="s">
        <v>104</v>
      </c>
    </row>
    <row r="11" spans="1:11">
      <c r="B11" s="1" t="s">
        <v>114</v>
      </c>
      <c r="C11">
        <f t="shared" si="0"/>
        <v>10</v>
      </c>
      <c r="D11">
        <f t="shared" si="1"/>
        <v>0</v>
      </c>
      <c r="E11">
        <v>4</v>
      </c>
      <c r="F11">
        <v>0</v>
      </c>
    </row>
    <row r="12" spans="1:11">
      <c r="A12" s="2" t="s">
        <v>52</v>
      </c>
      <c r="B12" s="1" t="s">
        <v>115</v>
      </c>
      <c r="C12">
        <f t="shared" si="0"/>
        <v>5</v>
      </c>
      <c r="D12">
        <f t="shared" si="1"/>
        <v>4</v>
      </c>
      <c r="E12">
        <v>4</v>
      </c>
      <c r="F12">
        <v>1</v>
      </c>
    </row>
    <row r="13" spans="1:11" ht="56.25">
      <c r="A13" s="2" t="s">
        <v>116</v>
      </c>
      <c r="B13" s="1" t="s">
        <v>117</v>
      </c>
      <c r="C13">
        <f t="shared" si="0"/>
        <v>48</v>
      </c>
      <c r="D13">
        <f t="shared" si="1"/>
        <v>4</v>
      </c>
      <c r="E13">
        <v>8</v>
      </c>
      <c r="F13">
        <v>0.5</v>
      </c>
    </row>
    <row r="14" spans="1:11">
      <c r="C14" t="str">
        <f t="shared" si="0"/>
        <v/>
      </c>
    </row>
    <row r="15" spans="1:11">
      <c r="C15" t="str">
        <f t="shared" si="0"/>
        <v/>
      </c>
    </row>
    <row r="16" spans="1:11">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レビュー</vt:lpstr>
      <vt:lpstr>format</vt:lpstr>
      <vt:lpstr>1</vt:lpstr>
      <vt:lpstr>2</vt:lpstr>
      <vt:lpstr>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2025-02-23T07:05:41Z</dcterms:modified>
</cp:coreProperties>
</file>