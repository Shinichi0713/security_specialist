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past_problems\"/>
    </mc:Choice>
  </mc:AlternateContent>
  <xr:revisionPtr revIDLastSave="0" documentId="13_ncr:1_{458F6CBC-6B80-4E23-81DE-C79EDA705475}" xr6:coauthVersionLast="47" xr6:coauthVersionMax="47" xr10:uidLastSave="{00000000-0000-0000-0000-000000000000}"/>
  <bookViews>
    <workbookView xWindow="11040" yWindow="864" windowWidth="11592" windowHeight="1068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7" l="1"/>
  <c r="D10" i="7"/>
  <c r="D9" i="7"/>
  <c r="D8" i="7"/>
  <c r="D7" i="7"/>
  <c r="D6" i="7"/>
  <c r="D5" i="7"/>
  <c r="D2" i="7" s="1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6" l="1"/>
  <c r="D2" i="5"/>
</calcChain>
</file>

<file path=xl/sharedStrings.xml><?xml version="1.0" encoding="utf-8"?>
<sst xmlns="http://schemas.openxmlformats.org/spreadsheetml/2006/main" count="168" uniqueCount="132">
  <si>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</si>
  <si>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</si>
  <si>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</si>
  <si>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</si>
  <si>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</si>
  <si>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</si>
  <si>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</si>
  <si>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</si>
  <si>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</si>
  <si>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</si>
  <si>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</si>
  <si>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</si>
  <si>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2016-春</t>
  </si>
  <si>
    <t>2016-春</t>
    <rPh sb="5" eb="6">
      <t>ハル</t>
    </rPh>
    <phoneticPr fontId="1"/>
  </si>
  <si>
    <t>PM1-1</t>
  </si>
  <si>
    <t>PM1-1</t>
    <phoneticPr fontId="1"/>
  </si>
  <si>
    <t>1-1</t>
    <phoneticPr fontId="1"/>
  </si>
  <si>
    <t>ソフトウェア受託</t>
    <rPh sb="6" eb="8">
      <t>ジュタク</t>
    </rPh>
    <phoneticPr fontId="1"/>
  </si>
  <si>
    <t>検証システム</t>
    <rPh sb="0" eb="2">
      <t>ケンショウ</t>
    </rPh>
    <phoneticPr fontId="1"/>
  </si>
  <si>
    <t>セッション維持のパラメタは省略</t>
    <rPh sb="5" eb="7">
      <t>イジ</t>
    </rPh>
    <rPh sb="13" eb="15">
      <t>ショウリャク</t>
    </rPh>
    <phoneticPr fontId="1"/>
  </si>
  <si>
    <t>keywordに適切な処理</t>
    <rPh sb="8" eb="10">
      <t>テキセツ</t>
    </rPh>
    <rPh sb="11" eb="13">
      <t>ショリ</t>
    </rPh>
    <phoneticPr fontId="1"/>
  </si>
  <si>
    <t>a: wana.example.jp</t>
    <phoneticPr fontId="1"/>
  </si>
  <si>
    <t>1-2</t>
    <phoneticPr fontId="1"/>
  </si>
  <si>
    <t>kensho.m-sha.co.jp</t>
    <phoneticPr fontId="1"/>
  </si>
  <si>
    <t>1-3</t>
    <phoneticPr fontId="1"/>
  </si>
  <si>
    <t>エ</t>
    <phoneticPr fontId="1"/>
  </si>
  <si>
    <t>1-4</t>
    <phoneticPr fontId="1"/>
  </si>
  <si>
    <t>c: https://kensho.m-sha.co.jp/Gamen2_2</t>
    <phoneticPr fontId="1"/>
  </si>
  <si>
    <t>d: keyword</t>
    <phoneticPr fontId="1"/>
  </si>
  <si>
    <t>1-5</t>
    <phoneticPr fontId="1"/>
  </si>
  <si>
    <t>利用者が懸賞システムにログインした状態</t>
    <rPh sb="0" eb="3">
      <t>リヨウシャ</t>
    </rPh>
    <rPh sb="4" eb="6">
      <t>ケンショウ</t>
    </rPh>
    <rPh sb="17" eb="19">
      <t>ジョウタイ</t>
    </rPh>
    <phoneticPr fontId="1"/>
  </si>
  <si>
    <t>2-1</t>
    <phoneticPr fontId="1"/>
  </si>
  <si>
    <t>フレームワーク</t>
    <phoneticPr fontId="1"/>
  </si>
  <si>
    <t>CSRF対策</t>
    <rPh sb="4" eb="6">
      <t>タイサク</t>
    </rPh>
    <phoneticPr fontId="1"/>
  </si>
  <si>
    <t>e: ランダムな値</t>
    <rPh sb="8" eb="9">
      <t>アタイ</t>
    </rPh>
    <phoneticPr fontId="1"/>
  </si>
  <si>
    <t>f: hidden</t>
    <phoneticPr fontId="1"/>
  </si>
  <si>
    <t>2-2</t>
    <phoneticPr fontId="1"/>
  </si>
  <si>
    <t>ウ</t>
    <phoneticPr fontId="1"/>
  </si>
  <si>
    <t>3-1</t>
    <phoneticPr fontId="1"/>
  </si>
  <si>
    <t>画面2-1を経由させずに直接画面2-2へアクセスさせるから</t>
    <rPh sb="0" eb="2">
      <t>ガメン</t>
    </rPh>
    <rPh sb="6" eb="8">
      <t>ケイユ</t>
    </rPh>
    <rPh sb="12" eb="14">
      <t>チョクセツ</t>
    </rPh>
    <rPh sb="14" eb="16">
      <t>ガメン</t>
    </rPh>
    <phoneticPr fontId="1"/>
  </si>
  <si>
    <t>3-2</t>
    <phoneticPr fontId="1"/>
  </si>
  <si>
    <t>i: サーバーサイド</t>
    <phoneticPr fontId="1"/>
  </si>
  <si>
    <t>3-3</t>
    <phoneticPr fontId="1"/>
  </si>
  <si>
    <t>j: URL</t>
    <phoneticPr fontId="1"/>
  </si>
  <si>
    <t>PM2-2</t>
  </si>
  <si>
    <t>PM2-2</t>
    <phoneticPr fontId="1"/>
  </si>
  <si>
    <t>テレワーク</t>
    <phoneticPr fontId="1"/>
  </si>
  <si>
    <t>SI</t>
    <phoneticPr fontId="1"/>
  </si>
  <si>
    <t>フリーアドレス</t>
    <phoneticPr fontId="1"/>
  </si>
  <si>
    <t>モバイルPCUSB通信</t>
    <rPh sb="9" eb="11">
      <t>ツウシン</t>
    </rPh>
    <phoneticPr fontId="1"/>
  </si>
  <si>
    <t>週１時間</t>
    <rPh sb="0" eb="1">
      <t>シュウ</t>
    </rPh>
    <rPh sb="2" eb="4">
      <t>ジカン</t>
    </rPh>
    <phoneticPr fontId="1"/>
  </si>
  <si>
    <t>Q社</t>
    <rPh sb="1" eb="2">
      <t>シャ</t>
    </rPh>
    <phoneticPr fontId="1"/>
  </si>
  <si>
    <t>社内LAN</t>
    <rPh sb="0" eb="2">
      <t>シャナイ</t>
    </rPh>
    <phoneticPr fontId="1"/>
  </si>
  <si>
    <t>IT部</t>
    <rPh sb="2" eb="3">
      <t>ブ</t>
    </rPh>
    <phoneticPr fontId="1"/>
  </si>
  <si>
    <t>メール、チャット</t>
    <phoneticPr fontId="1"/>
  </si>
  <si>
    <t>SPAMフィルタ</t>
    <phoneticPr fontId="1"/>
  </si>
  <si>
    <t>MW対策</t>
    <rPh sb="2" eb="4">
      <t>タイサク</t>
    </rPh>
    <phoneticPr fontId="1"/>
  </si>
  <si>
    <t>Nコラボ</t>
    <phoneticPr fontId="1"/>
  </si>
  <si>
    <t>CRMツール</t>
    <phoneticPr fontId="1"/>
  </si>
  <si>
    <t>Jプロキシ</t>
    <phoneticPr fontId="1"/>
  </si>
  <si>
    <t>N社コラボレーションツール</t>
    <rPh sb="1" eb="2">
      <t>シャ</t>
    </rPh>
    <phoneticPr fontId="1"/>
  </si>
  <si>
    <t>ファイル共有</t>
    <rPh sb="4" eb="6">
      <t>キョウユウ</t>
    </rPh>
    <phoneticPr fontId="1"/>
  </si>
  <si>
    <t>Qセキュリティガイドライン</t>
    <phoneticPr fontId="1"/>
  </si>
  <si>
    <t>PFW</t>
    <phoneticPr fontId="1"/>
  </si>
  <si>
    <t>AMサイト</t>
    <phoneticPr fontId="1"/>
  </si>
  <si>
    <t>ログ記録</t>
    <rPh sb="2" eb="4">
      <t>キロク</t>
    </rPh>
    <phoneticPr fontId="1"/>
  </si>
  <si>
    <t>パッチDL</t>
    <phoneticPr fontId="1"/>
  </si>
  <si>
    <t>モバイルPCの通信制限</t>
    <rPh sb="7" eb="9">
      <t>ツウシン</t>
    </rPh>
    <rPh sb="9" eb="11">
      <t>セイゲン</t>
    </rPh>
    <phoneticPr fontId="1"/>
  </si>
  <si>
    <t>ポート、IPの通信開始</t>
    <rPh sb="7" eb="9">
      <t>ツウシン</t>
    </rPh>
    <rPh sb="9" eb="11">
      <t>カイシ</t>
    </rPh>
    <phoneticPr fontId="1"/>
  </si>
  <si>
    <t>MW定義ファイルを最新</t>
    <rPh sb="2" eb="4">
      <t>テイギ</t>
    </rPh>
    <rPh sb="9" eb="11">
      <t>サイシン</t>
    </rPh>
    <phoneticPr fontId="1"/>
  </si>
  <si>
    <t>AMのフルスキャン</t>
    <phoneticPr fontId="1"/>
  </si>
  <si>
    <t>検知ログ</t>
    <rPh sb="0" eb="2">
      <t>ケンチ</t>
    </rPh>
    <phoneticPr fontId="1"/>
  </si>
  <si>
    <t>PC01</t>
    <phoneticPr fontId="1"/>
  </si>
  <si>
    <t>UA標準ブラウザ</t>
    <rPh sb="2" eb="4">
      <t>ヒョウジュン</t>
    </rPh>
    <phoneticPr fontId="1"/>
  </si>
  <si>
    <t>user01</t>
    <phoneticPr fontId="1"/>
  </si>
  <si>
    <t>MW M</t>
    <phoneticPr fontId="1"/>
  </si>
  <si>
    <t>DL2の通信</t>
    <rPh sb="4" eb="6">
      <t>ツウシン</t>
    </rPh>
    <phoneticPr fontId="1"/>
  </si>
  <si>
    <t>標準ブラウザ</t>
    <rPh sb="0" eb="2">
      <t>ヒョウジュン</t>
    </rPh>
    <phoneticPr fontId="1"/>
  </si>
  <si>
    <t>UAがDL2以外の場合には、"404 Not Found"を返す</t>
    <rPh sb="6" eb="8">
      <t>イガイ</t>
    </rPh>
    <rPh sb="9" eb="11">
      <t>バアイ</t>
    </rPh>
    <rPh sb="30" eb="31">
      <t>カエ</t>
    </rPh>
    <phoneticPr fontId="1"/>
  </si>
  <si>
    <t>モバイルPCからブロックする</t>
    <phoneticPr fontId="1"/>
  </si>
  <si>
    <t>URLフィルタ機能</t>
    <rPh sb="7" eb="9">
      <t>キノウ</t>
    </rPh>
    <phoneticPr fontId="1"/>
  </si>
  <si>
    <t>RHフィルタ機能</t>
    <rPh sb="6" eb="8">
      <t>キノウ</t>
    </rPh>
    <phoneticPr fontId="1"/>
  </si>
  <si>
    <t>2</t>
    <phoneticPr fontId="1"/>
  </si>
  <si>
    <t>OSコマンド</t>
    <phoneticPr fontId="1"/>
  </si>
  <si>
    <t>b: ドライブバイ</t>
    <phoneticPr fontId="1"/>
  </si>
  <si>
    <t>c: 分割</t>
    <rPh sb="3" eb="5">
      <t>ブンカツ</t>
    </rPh>
    <phoneticPr fontId="1"/>
  </si>
  <si>
    <t>d: N社コラボレートツール</t>
    <rPh sb="4" eb="5">
      <t>シャ</t>
    </rPh>
    <phoneticPr fontId="1"/>
  </si>
  <si>
    <t>e: P社CRMツール</t>
    <rPh sb="4" eb="5">
      <t>シャ</t>
    </rPh>
    <phoneticPr fontId="1"/>
  </si>
  <si>
    <t>4</t>
    <phoneticPr fontId="1"/>
  </si>
  <si>
    <t>f: 見直し</t>
    <rPh sb="3" eb="5">
      <t>ミナオ</t>
    </rPh>
    <phoneticPr fontId="1"/>
  </si>
  <si>
    <t>入口、出口</t>
    <rPh sb="0" eb="2">
      <t>イリグチ</t>
    </rPh>
    <rPh sb="3" eb="5">
      <t>デグチ</t>
    </rPh>
    <phoneticPr fontId="1"/>
  </si>
  <si>
    <t>データ暗号化</t>
    <rPh sb="3" eb="6">
      <t>アンゴウカ</t>
    </rPh>
    <phoneticPr fontId="1"/>
  </si>
  <si>
    <t>ブートイメージの復元</t>
    <rPh sb="8" eb="10">
      <t>フクゲン</t>
    </rPh>
    <phoneticPr fontId="1"/>
  </si>
  <si>
    <t>HDD暗号化</t>
    <rPh sb="3" eb="6">
      <t>アンゴウカ</t>
    </rPh>
    <phoneticPr fontId="1"/>
  </si>
  <si>
    <t>DRM</t>
    <phoneticPr fontId="1"/>
  </si>
  <si>
    <t>ブートイメージ</t>
    <phoneticPr fontId="1"/>
  </si>
  <si>
    <t>5-1</t>
    <phoneticPr fontId="1"/>
  </si>
  <si>
    <t>PC起動後はデータは復号されているため、マルウェアはデータの内容を閲覧することが出来る</t>
    <rPh sb="2" eb="5">
      <t>キドウアト</t>
    </rPh>
    <rPh sb="10" eb="12">
      <t>フクゴウ</t>
    </rPh>
    <rPh sb="30" eb="32">
      <t>ナイヨウ</t>
    </rPh>
    <rPh sb="33" eb="35">
      <t>エツラン</t>
    </rPh>
    <rPh sb="40" eb="42">
      <t>デキ</t>
    </rPh>
    <phoneticPr fontId="1"/>
  </si>
  <si>
    <t>5-2</t>
    <phoneticPr fontId="1"/>
  </si>
  <si>
    <t>1. マルウェア定義ファイルが初期化される</t>
    <rPh sb="8" eb="10">
      <t>テイギ</t>
    </rPh>
    <rPh sb="15" eb="18">
      <t>ショキカ</t>
    </rPh>
    <phoneticPr fontId="1"/>
  </si>
  <si>
    <t>2. 脆弱性修正プログラムの更新がなくなる</t>
    <rPh sb="3" eb="6">
      <t>ゼイジャクセイ</t>
    </rPh>
    <rPh sb="6" eb="8">
      <t>シュウセイ</t>
    </rPh>
    <rPh sb="14" eb="16">
      <t>コウシン</t>
    </rPh>
    <phoneticPr fontId="1"/>
  </si>
  <si>
    <t>5-3</t>
    <phoneticPr fontId="1"/>
  </si>
  <si>
    <t>画面の情報からデータの窃取。</t>
    <rPh sb="0" eb="2">
      <t>ガメン</t>
    </rPh>
    <rPh sb="3" eb="5">
      <t>ジョウホウ</t>
    </rPh>
    <rPh sb="11" eb="13">
      <t>セッシュ</t>
    </rPh>
    <phoneticPr fontId="1"/>
  </si>
  <si>
    <t>5-4</t>
    <phoneticPr fontId="1"/>
  </si>
  <si>
    <t>社内LANからの通信によるアクセスのみを許可するように設定する</t>
    <rPh sb="0" eb="2">
      <t>シャナイ</t>
    </rPh>
    <rPh sb="8" eb="10">
      <t>ツウシン</t>
    </rPh>
    <rPh sb="20" eb="22">
      <t>キョカ</t>
    </rPh>
    <rPh sb="27" eb="29">
      <t>セッテイ</t>
    </rPh>
    <phoneticPr fontId="1"/>
  </si>
  <si>
    <t>ECサービス</t>
    <phoneticPr fontId="1"/>
  </si>
  <si>
    <t>Sサイト</t>
    <phoneticPr fontId="1"/>
  </si>
  <si>
    <t>Sシステム</t>
    <phoneticPr fontId="1"/>
  </si>
  <si>
    <t>Sサーバとの通信はFQDN</t>
    <rPh sb="6" eb="8">
      <t>ツウシン</t>
    </rPh>
    <phoneticPr fontId="1"/>
  </si>
  <si>
    <t>Sサーバー</t>
    <phoneticPr fontId="1"/>
  </si>
  <si>
    <t>通信エラー</t>
    <rPh sb="0" eb="2">
      <t>ツウシン</t>
    </rPh>
    <phoneticPr fontId="1"/>
  </si>
  <si>
    <t>証明書の検証</t>
    <rPh sb="0" eb="3">
      <t>ショウメイショ</t>
    </rPh>
    <rPh sb="4" eb="6">
      <t>ケンショウ</t>
    </rPh>
    <phoneticPr fontId="1"/>
  </si>
  <si>
    <t>スマートフォン</t>
    <phoneticPr fontId="1"/>
  </si>
  <si>
    <t>Sshanai に県境環境</t>
    <rPh sb="9" eb="13">
      <t>ケンキョウカンキョウ</t>
    </rPh>
    <phoneticPr fontId="1"/>
  </si>
  <si>
    <t>スマホで接続</t>
    <rPh sb="4" eb="6">
      <t>セツゾク</t>
    </rPh>
    <phoneticPr fontId="1"/>
  </si>
  <si>
    <t>S証明書の検証試験環境</t>
    <rPh sb="1" eb="4">
      <t>ショウメイショ</t>
    </rPh>
    <rPh sb="5" eb="9">
      <t>ケンショウシケン</t>
    </rPh>
    <rPh sb="9" eb="11">
      <t>カンキョウ</t>
    </rPh>
    <phoneticPr fontId="1"/>
  </si>
  <si>
    <t>a: Sサイト</t>
    <phoneticPr fontId="1"/>
  </si>
  <si>
    <t>b: 試験用Webサーバー</t>
    <rPh sb="3" eb="6">
      <t>シケンヨウ</t>
    </rPh>
    <phoneticPr fontId="1"/>
  </si>
  <si>
    <t>サーバー証明書を登録</t>
    <rPh sb="4" eb="7">
      <t>ショウメイショ</t>
    </rPh>
    <rPh sb="8" eb="10">
      <t>トウロク</t>
    </rPh>
    <phoneticPr fontId="1"/>
  </si>
  <si>
    <t>サブジェクトの顧問</t>
    <rPh sb="7" eb="9">
      <t>コモン</t>
    </rPh>
    <phoneticPr fontId="1"/>
  </si>
  <si>
    <t>WEBサーバーに証明書登録</t>
    <rPh sb="8" eb="11">
      <t>ショウメイショ</t>
    </rPh>
    <rPh sb="11" eb="13">
      <t>トウロク</t>
    </rPh>
    <phoneticPr fontId="1"/>
  </si>
  <si>
    <t>試験日よりも前の有効期限</t>
    <rPh sb="0" eb="3">
      <t>シケンビ</t>
    </rPh>
    <rPh sb="6" eb="7">
      <t>マエ</t>
    </rPh>
    <rPh sb="8" eb="12">
      <t>ユウコウキゲン</t>
    </rPh>
    <phoneticPr fontId="1"/>
  </si>
  <si>
    <t>1-4</t>
    <phoneticPr fontId="1"/>
  </si>
  <si>
    <t>Sアプリがサーバー認証エラー画面を表示する</t>
    <rPh sb="9" eb="11">
      <t>ニンショウ</t>
    </rPh>
    <rPh sb="14" eb="16">
      <t>ガメン</t>
    </rPh>
    <rPh sb="17" eb="19">
      <t>ヒョウジ</t>
    </rPh>
    <phoneticPr fontId="1"/>
  </si>
  <si>
    <t>Sアプリ検証の不備があると</t>
    <rPh sb="4" eb="6">
      <t>ケンショウ</t>
    </rPh>
    <rPh sb="7" eb="9">
      <t>フビ</t>
    </rPh>
    <phoneticPr fontId="1"/>
  </si>
  <si>
    <t>中間者サーバーはHTTPS通信を確立</t>
    <rPh sb="0" eb="3">
      <t>チュウカンシャ</t>
    </rPh>
    <rPh sb="13" eb="15">
      <t>ツウシン</t>
    </rPh>
    <rPh sb="16" eb="18">
      <t>カクリツ</t>
    </rPh>
    <phoneticPr fontId="1"/>
  </si>
  <si>
    <t>2-1</t>
    <phoneticPr fontId="1"/>
  </si>
  <si>
    <t>f:3</t>
    <phoneticPr fontId="1"/>
  </si>
  <si>
    <t>e:1,2,3,4</t>
    <phoneticPr fontId="1"/>
  </si>
  <si>
    <t>g:1</t>
    <phoneticPr fontId="1"/>
  </si>
  <si>
    <t>2-2</t>
    <phoneticPr fontId="1"/>
  </si>
  <si>
    <t>SSID、暗号化方式と事前共有鍵に、公衆無線LANで使用されているものを設定する</t>
    <rPh sb="5" eb="8">
      <t>アンゴウカ</t>
    </rPh>
    <rPh sb="8" eb="10">
      <t>ホウシキ</t>
    </rPh>
    <rPh sb="11" eb="16">
      <t>ジゼンキョウユウカギ</t>
    </rPh>
    <rPh sb="18" eb="22">
      <t>コウシュウムセン</t>
    </rPh>
    <rPh sb="26" eb="28">
      <t>シヨウ</t>
    </rPh>
    <rPh sb="36" eb="38">
      <t>セッテイ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</si>
</sst>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tabSelected="1" workbookViewId="0">
      <selection activeCell="D3" sqref="D3"/>
    </sheetView>
  </sheetViews>
  <sheetFormatPr defaultRowHeight="18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50</v>
      </c>
      <c r="E2">
        <v>50</v>
      </c>
    </row>
    <row r="3" spans="1:6">
      <c r="A3">
        <v>2</v>
      </c>
      <c r="B3" s="2" t="s">
        <v>12</v>
      </c>
      <c r="C3" s="2" t="s">
        <v>44</v>
      </c>
      <c r="D3">
        <v>63</v>
      </c>
      <c r="E3">
        <v>100</v>
      </c>
    </row>
    <row r="4" spans="1:6">
      <c r="A4">
        <v>3</v>
      </c>
      <c r="B4" s="2" t="s">
        <v>12</v>
      </c>
      <c r="C4" s="2" t="s">
        <v>14</v>
      </c>
      <c r="D4">
        <v>34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AAAE2-91E0-44E7-A967-AC4EA176B2BF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"/>
  <cols>
    <col min="1" max="1" width="9" style="2"/>
    <col min="2" max="2" width="70.3984375" style="1" customWidth="1"/>
    <col min="3" max="3" width="9.699218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15</v>
      </c>
      <c r="D2">
        <f>SUM(D4:D1000)</f>
        <v>50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16</v>
      </c>
      <c r="B4" s="1" t="s">
        <v>21</v>
      </c>
      <c r="C4">
        <f>IF(B4&lt;&gt;"",LEN(B4),"")</f>
        <v>18</v>
      </c>
      <c r="D4">
        <f>E4*F4</f>
        <v>4</v>
      </c>
      <c r="E4">
        <v>4</v>
      </c>
      <c r="F4">
        <v>1</v>
      </c>
      <c r="G4" t="s">
        <v>17</v>
      </c>
    </row>
    <row r="5" spans="1:7">
      <c r="A5" s="2" t="s">
        <v>22</v>
      </c>
      <c r="B5" s="1" t="s">
        <v>23</v>
      </c>
      <c r="C5">
        <f t="shared" ref="C5:C68" si="0">IF(B5&lt;&gt;"",LEN(B5),"")</f>
        <v>18</v>
      </c>
      <c r="D5">
        <f t="shared" ref="D5:D15" si="1">E5*F5</f>
        <v>4</v>
      </c>
      <c r="E5">
        <v>4</v>
      </c>
      <c r="F5">
        <v>1</v>
      </c>
      <c r="G5" t="s">
        <v>18</v>
      </c>
    </row>
    <row r="6" spans="1:7">
      <c r="A6" s="2" t="s">
        <v>24</v>
      </c>
      <c r="B6" s="1" t="s">
        <v>25</v>
      </c>
      <c r="C6">
        <f t="shared" si="0"/>
        <v>1</v>
      </c>
      <c r="D6">
        <f t="shared" si="1"/>
        <v>4</v>
      </c>
      <c r="E6">
        <v>4</v>
      </c>
      <c r="F6">
        <v>1</v>
      </c>
      <c r="G6" t="s">
        <v>19</v>
      </c>
    </row>
    <row r="7" spans="1:7">
      <c r="A7" s="2" t="s">
        <v>26</v>
      </c>
      <c r="B7" s="1" t="s">
        <v>27</v>
      </c>
      <c r="C7">
        <f t="shared" si="0"/>
        <v>38</v>
      </c>
      <c r="D7">
        <f t="shared" si="1"/>
        <v>6</v>
      </c>
      <c r="E7">
        <v>6</v>
      </c>
      <c r="F7">
        <v>1</v>
      </c>
      <c r="G7" t="s">
        <v>20</v>
      </c>
    </row>
    <row r="8" spans="1:7">
      <c r="B8" s="1" t="s">
        <v>28</v>
      </c>
      <c r="C8">
        <f t="shared" si="0"/>
        <v>10</v>
      </c>
      <c r="D8">
        <f t="shared" si="1"/>
        <v>4</v>
      </c>
      <c r="E8">
        <v>4</v>
      </c>
      <c r="F8">
        <v>1</v>
      </c>
      <c r="G8" t="s">
        <v>32</v>
      </c>
    </row>
    <row r="9" spans="1:7">
      <c r="A9" s="2" t="s">
        <v>29</v>
      </c>
      <c r="B9" s="1" t="s">
        <v>30</v>
      </c>
      <c r="C9">
        <f t="shared" si="0"/>
        <v>19</v>
      </c>
      <c r="D9">
        <f t="shared" si="1"/>
        <v>6</v>
      </c>
      <c r="E9">
        <v>6</v>
      </c>
      <c r="F9">
        <v>1</v>
      </c>
      <c r="G9" t="s">
        <v>33</v>
      </c>
    </row>
    <row r="10" spans="1:7">
      <c r="A10" s="2" t="s">
        <v>31</v>
      </c>
      <c r="B10" s="1" t="s">
        <v>34</v>
      </c>
      <c r="C10">
        <f t="shared" si="0"/>
        <v>9</v>
      </c>
      <c r="D10">
        <f t="shared" si="1"/>
        <v>2</v>
      </c>
      <c r="E10">
        <v>2</v>
      </c>
      <c r="F10">
        <v>1</v>
      </c>
    </row>
    <row r="11" spans="1:7">
      <c r="B11" s="1" t="s">
        <v>35</v>
      </c>
      <c r="C11">
        <f t="shared" si="0"/>
        <v>9</v>
      </c>
      <c r="D11">
        <f t="shared" si="1"/>
        <v>2</v>
      </c>
      <c r="E11">
        <v>2</v>
      </c>
      <c r="F11">
        <v>1</v>
      </c>
    </row>
    <row r="12" spans="1:7">
      <c r="A12" s="2" t="s">
        <v>36</v>
      </c>
      <c r="B12" s="1" t="s">
        <v>37</v>
      </c>
      <c r="C12">
        <f t="shared" si="0"/>
        <v>1</v>
      </c>
      <c r="D12">
        <f t="shared" si="1"/>
        <v>4</v>
      </c>
      <c r="E12">
        <v>4</v>
      </c>
      <c r="F12">
        <v>1</v>
      </c>
    </row>
    <row r="13" spans="1:7">
      <c r="A13" s="2" t="s">
        <v>38</v>
      </c>
      <c r="B13" s="1" t="s">
        <v>39</v>
      </c>
      <c r="C13">
        <f t="shared" si="0"/>
        <v>29</v>
      </c>
      <c r="D13">
        <f t="shared" si="1"/>
        <v>6</v>
      </c>
      <c r="E13">
        <v>6</v>
      </c>
      <c r="F13">
        <v>1</v>
      </c>
    </row>
    <row r="14" spans="1:7">
      <c r="A14" s="2" t="s">
        <v>40</v>
      </c>
      <c r="B14" s="1" t="s">
        <v>41</v>
      </c>
      <c r="C14">
        <f t="shared" si="0"/>
        <v>10</v>
      </c>
      <c r="D14">
        <f t="shared" si="1"/>
        <v>4</v>
      </c>
      <c r="E14">
        <v>4</v>
      </c>
      <c r="F14">
        <v>1</v>
      </c>
    </row>
    <row r="15" spans="1:7">
      <c r="A15" s="2" t="s">
        <v>42</v>
      </c>
      <c r="B15" s="1" t="s">
        <v>43</v>
      </c>
      <c r="C15">
        <f t="shared" si="0"/>
        <v>6</v>
      </c>
      <c r="D15">
        <f t="shared" si="1"/>
        <v>4</v>
      </c>
      <c r="E15">
        <v>4</v>
      </c>
      <c r="F15">
        <v>1</v>
      </c>
    </row>
    <row r="16" spans="1:7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4D94-4425-4C50-9D73-ED98D10ED38E}">
  <sheetPr codeName="Sheet5"/>
  <dimension ref="A1:Q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4" sqref="F14"/>
    </sheetView>
  </sheetViews>
  <sheetFormatPr defaultRowHeight="18"/>
  <cols>
    <col min="1" max="1" width="9" style="2"/>
    <col min="2" max="2" width="60.19921875" style="1" customWidth="1"/>
    <col min="3" max="3" width="9.69921875" customWidth="1"/>
  </cols>
  <sheetData>
    <row r="1" spans="1:17">
      <c r="A1" s="2" t="s">
        <v>0</v>
      </c>
      <c r="B1" s="1" t="s">
        <v>13</v>
      </c>
      <c r="I1" t="s">
        <v>94</v>
      </c>
    </row>
    <row r="2" spans="1:17">
      <c r="A2" s="2" t="s">
        <v>2</v>
      </c>
      <c r="B2" s="3" t="s">
        <v>45</v>
      </c>
      <c r="D2">
        <f>SUM(D4:D1000)</f>
        <v>63</v>
      </c>
      <c r="E2">
        <f>SUM(E4:E1000)</f>
        <v>100</v>
      </c>
    </row>
    <row r="3" spans="1:1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7">
      <c r="A4" s="2" t="s">
        <v>16</v>
      </c>
      <c r="B4" s="1" t="s">
        <v>78</v>
      </c>
      <c r="C4">
        <f>IF(B4&lt;&gt;"",LEN(B4),"")</f>
        <v>32</v>
      </c>
      <c r="D4">
        <f>E4*F4</f>
        <v>10</v>
      </c>
      <c r="E4">
        <v>10</v>
      </c>
      <c r="F4">
        <v>1</v>
      </c>
      <c r="G4" t="s">
        <v>46</v>
      </c>
      <c r="I4" t="s">
        <v>53</v>
      </c>
      <c r="K4" t="s">
        <v>60</v>
      </c>
      <c r="M4" t="s">
        <v>67</v>
      </c>
      <c r="O4" t="s">
        <v>74</v>
      </c>
      <c r="Q4" t="s">
        <v>90</v>
      </c>
    </row>
    <row r="5" spans="1:17">
      <c r="A5" s="2" t="s">
        <v>22</v>
      </c>
      <c r="B5" s="1" t="s">
        <v>80</v>
      </c>
      <c r="C5">
        <f t="shared" ref="C5:C68" si="0">IF(B5&lt;&gt;"",LEN(B5),"")</f>
        <v>9</v>
      </c>
      <c r="D5">
        <f t="shared" ref="D5:D18" si="1">E5*F5</f>
        <v>6</v>
      </c>
      <c r="E5">
        <v>6</v>
      </c>
      <c r="F5">
        <v>1</v>
      </c>
      <c r="G5" t="s">
        <v>47</v>
      </c>
      <c r="I5" t="s">
        <v>54</v>
      </c>
      <c r="K5" t="s">
        <v>61</v>
      </c>
      <c r="M5" t="s">
        <v>68</v>
      </c>
      <c r="O5" t="s">
        <v>75</v>
      </c>
      <c r="Q5" t="s">
        <v>91</v>
      </c>
    </row>
    <row r="6" spans="1:17">
      <c r="B6" s="1" t="s">
        <v>81</v>
      </c>
      <c r="C6">
        <f t="shared" si="0"/>
        <v>8</v>
      </c>
      <c r="D6">
        <f t="shared" si="1"/>
        <v>6</v>
      </c>
      <c r="E6">
        <v>6</v>
      </c>
      <c r="F6">
        <v>1</v>
      </c>
      <c r="G6" t="s">
        <v>48</v>
      </c>
      <c r="I6" t="s">
        <v>55</v>
      </c>
      <c r="K6" t="s">
        <v>62</v>
      </c>
      <c r="M6" t="s">
        <v>69</v>
      </c>
      <c r="O6" t="s">
        <v>76</v>
      </c>
      <c r="Q6" t="s">
        <v>92</v>
      </c>
    </row>
    <row r="7" spans="1:17">
      <c r="A7" s="2" t="s">
        <v>82</v>
      </c>
      <c r="B7" s="1" t="s">
        <v>83</v>
      </c>
      <c r="C7">
        <f t="shared" si="0"/>
        <v>6</v>
      </c>
      <c r="D7">
        <f t="shared" si="1"/>
        <v>0</v>
      </c>
      <c r="E7">
        <v>6</v>
      </c>
      <c r="F7">
        <v>0</v>
      </c>
      <c r="G7" t="s">
        <v>49</v>
      </c>
      <c r="I7" t="s">
        <v>56</v>
      </c>
      <c r="K7" t="s">
        <v>63</v>
      </c>
      <c r="M7" t="s">
        <v>70</v>
      </c>
      <c r="O7" t="s">
        <v>77</v>
      </c>
    </row>
    <row r="8" spans="1:17">
      <c r="A8" s="2" t="s">
        <v>38</v>
      </c>
      <c r="B8" s="1" t="s">
        <v>84</v>
      </c>
      <c r="C8">
        <f t="shared" si="0"/>
        <v>9</v>
      </c>
      <c r="D8">
        <f t="shared" si="1"/>
        <v>0</v>
      </c>
      <c r="E8">
        <v>6</v>
      </c>
      <c r="F8">
        <v>0</v>
      </c>
      <c r="G8" t="s">
        <v>50</v>
      </c>
      <c r="I8" t="s">
        <v>57</v>
      </c>
      <c r="K8" t="s">
        <v>64</v>
      </c>
      <c r="M8" t="s">
        <v>71</v>
      </c>
      <c r="O8" t="s">
        <v>79</v>
      </c>
    </row>
    <row r="9" spans="1:17">
      <c r="B9" s="1" t="s">
        <v>85</v>
      </c>
      <c r="C9">
        <f t="shared" si="0"/>
        <v>5</v>
      </c>
      <c r="D9">
        <f t="shared" si="1"/>
        <v>0</v>
      </c>
      <c r="E9">
        <v>6</v>
      </c>
      <c r="F9">
        <v>0</v>
      </c>
      <c r="G9" t="s">
        <v>51</v>
      </c>
      <c r="I9" t="s">
        <v>58</v>
      </c>
      <c r="K9" t="s">
        <v>65</v>
      </c>
      <c r="M9" t="s">
        <v>72</v>
      </c>
    </row>
    <row r="10" spans="1:17">
      <c r="A10" s="2" t="s">
        <v>40</v>
      </c>
      <c r="B10" s="1" t="s">
        <v>86</v>
      </c>
      <c r="C10">
        <f t="shared" si="0"/>
        <v>14</v>
      </c>
      <c r="D10">
        <f t="shared" si="1"/>
        <v>4</v>
      </c>
      <c r="E10">
        <v>4</v>
      </c>
      <c r="F10">
        <v>1</v>
      </c>
      <c r="G10" t="s">
        <v>52</v>
      </c>
      <c r="I10" t="s">
        <v>59</v>
      </c>
      <c r="K10" t="s">
        <v>66</v>
      </c>
      <c r="M10" t="s">
        <v>73</v>
      </c>
    </row>
    <row r="11" spans="1:17">
      <c r="B11" s="1" t="s">
        <v>87</v>
      </c>
      <c r="C11">
        <f t="shared" si="0"/>
        <v>11</v>
      </c>
      <c r="D11">
        <f t="shared" si="1"/>
        <v>4</v>
      </c>
      <c r="E11">
        <v>4</v>
      </c>
      <c r="F11">
        <v>1</v>
      </c>
      <c r="G11" t="s">
        <v>93</v>
      </c>
      <c r="I11" t="s">
        <v>95</v>
      </c>
    </row>
    <row r="12" spans="1:17">
      <c r="A12" s="2" t="s">
        <v>88</v>
      </c>
      <c r="B12" s="1" t="s">
        <v>89</v>
      </c>
      <c r="C12">
        <f t="shared" si="0"/>
        <v>6</v>
      </c>
      <c r="D12">
        <f t="shared" si="1"/>
        <v>6</v>
      </c>
      <c r="E12">
        <v>6</v>
      </c>
      <c r="F12">
        <v>1</v>
      </c>
      <c r="G12" t="s">
        <v>94</v>
      </c>
    </row>
    <row r="13" spans="1:17" ht="36">
      <c r="A13" s="2" t="s">
        <v>96</v>
      </c>
      <c r="B13" s="1" t="s">
        <v>97</v>
      </c>
      <c r="C13">
        <f t="shared" si="0"/>
        <v>43</v>
      </c>
      <c r="D13">
        <f t="shared" si="1"/>
        <v>5</v>
      </c>
      <c r="E13">
        <v>10</v>
      </c>
      <c r="F13">
        <v>0.5</v>
      </c>
    </row>
    <row r="14" spans="1:17">
      <c r="A14" s="2" t="s">
        <v>98</v>
      </c>
      <c r="B14" s="1" t="s">
        <v>99</v>
      </c>
      <c r="C14">
        <f t="shared" si="0"/>
        <v>21</v>
      </c>
      <c r="D14">
        <f t="shared" si="1"/>
        <v>8</v>
      </c>
      <c r="E14">
        <v>8</v>
      </c>
      <c r="F14">
        <v>1</v>
      </c>
    </row>
    <row r="15" spans="1:17">
      <c r="B15" s="1" t="s">
        <v>100</v>
      </c>
      <c r="C15">
        <f t="shared" si="0"/>
        <v>21</v>
      </c>
      <c r="D15">
        <f t="shared" si="1"/>
        <v>0</v>
      </c>
      <c r="E15">
        <v>8</v>
      </c>
      <c r="F15">
        <v>0</v>
      </c>
    </row>
    <row r="16" spans="1:17">
      <c r="A16" s="2" t="s">
        <v>101</v>
      </c>
      <c r="B16" s="1" t="s">
        <v>102</v>
      </c>
      <c r="C16">
        <f t="shared" si="0"/>
        <v>14</v>
      </c>
      <c r="D16">
        <f t="shared" si="1"/>
        <v>8</v>
      </c>
      <c r="E16">
        <v>8</v>
      </c>
      <c r="F16">
        <v>1</v>
      </c>
    </row>
    <row r="17" spans="1:6">
      <c r="A17" s="2" t="s">
        <v>103</v>
      </c>
      <c r="B17" s="1">
        <v>3</v>
      </c>
      <c r="C17">
        <f t="shared" si="0"/>
        <v>1</v>
      </c>
      <c r="D17">
        <f t="shared" si="1"/>
        <v>2</v>
      </c>
      <c r="E17">
        <v>4</v>
      </c>
      <c r="F17">
        <v>0.5</v>
      </c>
    </row>
    <row r="18" spans="1:6">
      <c r="B18" s="1" t="s">
        <v>104</v>
      </c>
      <c r="C18">
        <f t="shared" si="0"/>
        <v>31</v>
      </c>
      <c r="D18">
        <f t="shared" si="1"/>
        <v>4</v>
      </c>
      <c r="E18">
        <v>8</v>
      </c>
      <c r="F18">
        <v>0.5</v>
      </c>
    </row>
    <row r="19" spans="1:6">
      <c r="C19" t="str">
        <f t="shared" si="0"/>
        <v/>
      </c>
    </row>
    <row r="20" spans="1:6">
      <c r="C20" t="str">
        <f t="shared" si="0"/>
        <v/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D77FA-CC68-4FCC-BA44-41D3BAD47F74}">
  <sheetPr codeName="Sheet6"/>
  <dimension ref="A1:M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" sqref="D4:D11"/>
    </sheetView>
  </sheetViews>
  <sheetFormatPr defaultRowHeight="18"/>
  <cols>
    <col min="1" max="1" width="9" style="2"/>
    <col min="2" max="2" width="55" style="1" customWidth="1"/>
    <col min="3" max="3" width="9.69921875" customWidth="1"/>
  </cols>
  <sheetData>
    <row r="1" spans="1:13">
      <c r="A1" s="2" t="s">
        <v>0</v>
      </c>
      <c r="B1" s="1" t="s">
        <v>13</v>
      </c>
    </row>
    <row r="2" spans="1:13">
      <c r="A2" s="2" t="s">
        <v>2</v>
      </c>
      <c r="B2" s="3" t="s">
        <v>15</v>
      </c>
      <c r="D2">
        <f>SUM(D4:D1000)</f>
        <v>34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16</v>
      </c>
      <c r="B4" s="1" t="s">
        <v>116</v>
      </c>
      <c r="C4">
        <f>IF(B4&lt;&gt;"",LEN(B4),"")</f>
        <v>7</v>
      </c>
      <c r="D4">
        <f>E4*F4</f>
        <v>0</v>
      </c>
      <c r="E4">
        <v>6</v>
      </c>
      <c r="F4">
        <v>0</v>
      </c>
      <c r="G4" t="s">
        <v>105</v>
      </c>
      <c r="I4" t="s">
        <v>109</v>
      </c>
      <c r="K4" t="s">
        <v>113</v>
      </c>
      <c r="M4" t="s">
        <v>118</v>
      </c>
    </row>
    <row r="5" spans="1:13">
      <c r="A5" s="2" t="s">
        <v>22</v>
      </c>
      <c r="B5" s="1" t="s">
        <v>117</v>
      </c>
      <c r="C5">
        <f t="shared" ref="C5:C68" si="0">IF(B5&lt;&gt;"",LEN(B5),"")</f>
        <v>13</v>
      </c>
      <c r="D5">
        <f t="shared" ref="D5:D11" si="1">E5*F5</f>
        <v>6</v>
      </c>
      <c r="E5">
        <v>6</v>
      </c>
      <c r="F5">
        <v>1</v>
      </c>
      <c r="G5" t="s">
        <v>106</v>
      </c>
      <c r="I5" t="s">
        <v>110</v>
      </c>
      <c r="K5" t="s">
        <v>114</v>
      </c>
      <c r="M5" t="s">
        <v>119</v>
      </c>
    </row>
    <row r="6" spans="1:13">
      <c r="A6" s="2" t="s">
        <v>24</v>
      </c>
      <c r="B6" s="1" t="s">
        <v>121</v>
      </c>
      <c r="C6">
        <f t="shared" si="0"/>
        <v>12</v>
      </c>
      <c r="D6">
        <f t="shared" si="1"/>
        <v>6</v>
      </c>
      <c r="E6">
        <v>6</v>
      </c>
      <c r="F6">
        <v>1</v>
      </c>
      <c r="G6" t="s">
        <v>107</v>
      </c>
      <c r="I6" t="s">
        <v>111</v>
      </c>
      <c r="K6" t="s">
        <v>115</v>
      </c>
      <c r="M6" t="s">
        <v>120</v>
      </c>
    </row>
    <row r="7" spans="1:13">
      <c r="A7" s="2" t="s">
        <v>122</v>
      </c>
      <c r="B7" s="1" t="s">
        <v>123</v>
      </c>
      <c r="C7">
        <f t="shared" si="0"/>
        <v>21</v>
      </c>
      <c r="D7">
        <f t="shared" si="1"/>
        <v>8</v>
      </c>
      <c r="E7">
        <v>8</v>
      </c>
      <c r="F7">
        <v>1</v>
      </c>
      <c r="G7" t="s">
        <v>108</v>
      </c>
      <c r="I7" t="s">
        <v>112</v>
      </c>
    </row>
    <row r="8" spans="1:13">
      <c r="A8" s="2" t="s">
        <v>126</v>
      </c>
      <c r="B8" s="1" t="s">
        <v>128</v>
      </c>
      <c r="C8">
        <f t="shared" si="0"/>
        <v>9</v>
      </c>
      <c r="D8">
        <f t="shared" si="1"/>
        <v>6</v>
      </c>
      <c r="E8">
        <v>6</v>
      </c>
      <c r="F8">
        <v>1</v>
      </c>
      <c r="G8" t="s">
        <v>124</v>
      </c>
    </row>
    <row r="9" spans="1:13">
      <c r="B9" s="1" t="s">
        <v>127</v>
      </c>
      <c r="C9">
        <f t="shared" si="0"/>
        <v>3</v>
      </c>
      <c r="D9">
        <f t="shared" si="1"/>
        <v>4</v>
      </c>
      <c r="E9">
        <v>4</v>
      </c>
      <c r="F9">
        <v>1</v>
      </c>
      <c r="G9" t="s">
        <v>125</v>
      </c>
    </row>
    <row r="10" spans="1:13">
      <c r="B10" s="1" t="s">
        <v>129</v>
      </c>
      <c r="C10">
        <f t="shared" si="0"/>
        <v>3</v>
      </c>
      <c r="D10">
        <f t="shared" si="1"/>
        <v>4</v>
      </c>
      <c r="E10">
        <v>4</v>
      </c>
      <c r="F10">
        <v>1</v>
      </c>
    </row>
    <row r="11" spans="1:13" ht="36">
      <c r="A11" s="2" t="s">
        <v>130</v>
      </c>
      <c r="B11" s="1" t="s">
        <v>131</v>
      </c>
      <c r="C11">
        <f t="shared" si="0"/>
        <v>40</v>
      </c>
      <c r="D11">
        <f t="shared" si="1"/>
        <v>0</v>
      </c>
      <c r="E11">
        <v>10</v>
      </c>
      <c r="F11">
        <v>0</v>
      </c>
    </row>
    <row r="12" spans="1:13">
      <c r="C12" t="str">
        <f t="shared" si="0"/>
        <v/>
      </c>
    </row>
    <row r="13" spans="1:13">
      <c r="C13" t="str">
        <f t="shared" si="0"/>
        <v/>
      </c>
    </row>
    <row r="14" spans="1:13">
      <c r="C14" t="str">
        <f t="shared" si="0"/>
        <v/>
      </c>
    </row>
    <row r="15" spans="1:13">
      <c r="C15" t="str">
        <f t="shared" si="0"/>
        <v/>
      </c>
    </row>
    <row r="16" spans="1:13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2025-03-01T10:24:29Z</dcterms:modified>
</cp:coreProperties>
</file>