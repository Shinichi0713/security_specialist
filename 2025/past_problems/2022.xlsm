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past_problems\"/>
    </mc:Choice>
  </mc:AlternateContent>
  <xr:revisionPtr revIDLastSave="0" documentId="13_ncr:1_{57A5850D-5FF0-4960-B2AC-B87242D54F45}" xr6:coauthVersionLast="47" xr6:coauthVersionMax="47" xr10:uidLastSave="{00000000-0000-0000-0000-000000000000}"/>
  <bookViews>
    <workbookView xWindow="28680" yWindow="-120" windowWidth="29040" windowHeight="15720" xr2:uid="{00000000-000D-0000-FFFF-FFFF00000000}"/>
  </bookViews>
  <sheets>
    <sheet name="レビュー" sheetId="2" r:id="rId1"/>
    <sheet name="format" sheetId="4" r:id="rId2"/>
    <sheet name="1" sheetId="5" r:id="rId3"/>
    <sheet name="2" sheetId="6"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7" i="6" l="1"/>
  <c r="D16" i="6"/>
  <c r="D15" i="6"/>
  <c r="D14" i="6"/>
  <c r="D13" i="6"/>
  <c r="D12" i="6"/>
  <c r="D11" i="6"/>
  <c r="D10" i="6"/>
  <c r="D9" i="6"/>
  <c r="D8" i="6"/>
  <c r="D7" i="6"/>
  <c r="D6" i="6"/>
  <c r="D5" i="6"/>
  <c r="D2" i="6" s="1"/>
  <c r="D4"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5" l="1"/>
</calcChain>
</file>

<file path=xl/sharedStrings.xml><?xml version="1.0" encoding="utf-8"?>
<sst xmlns="http://schemas.openxmlformats.org/spreadsheetml/2006/main" count="99" uniqueCount="74">
  <si>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</si>
  <si>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</si>
  <si>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</si>
  <si>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</si>
  <si>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</si>
  <si>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</si>
  <si>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</si>
  <si>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</si>
  <si>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</si>
  <si>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</si>
  <si>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</si>
  <si>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</si>
  <si>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2022-春</t>
  </si>
  <si>
    <t>2022-春</t>
    <rPh sb="5" eb="6">
      <t>ハル</t>
    </rPh>
    <phoneticPr fontId="1"/>
  </si>
  <si>
    <t>1-1</t>
  </si>
  <si>
    <t>1-1</t>
    <phoneticPr fontId="1"/>
  </si>
  <si>
    <t>ア</t>
    <phoneticPr fontId="1"/>
  </si>
  <si>
    <t>1-2</t>
    <phoneticPr fontId="1"/>
  </si>
  <si>
    <t>プレースホルダー</t>
    <phoneticPr fontId="1"/>
  </si>
  <si>
    <t>1-3</t>
    <phoneticPr fontId="1"/>
  </si>
  <si>
    <t>a: 改行コード</t>
    <rPh sb="3" eb="5">
      <t>カイギョウ</t>
    </rPh>
    <phoneticPr fontId="1"/>
  </si>
  <si>
    <t>プルダウンから表示したい情報を選択</t>
    <rPh sb="7" eb="9">
      <t>ヒョウジ</t>
    </rPh>
    <rPh sb="12" eb="14">
      <t>ジョウホウ</t>
    </rPh>
    <rPh sb="15" eb="17">
      <t>センタク</t>
    </rPh>
    <phoneticPr fontId="1"/>
  </si>
  <si>
    <t>セッションIDでセッション管理</t>
    <rPh sb="13" eb="15">
      <t>カンリ</t>
    </rPh>
    <phoneticPr fontId="1"/>
  </si>
  <si>
    <t>secureが付与されたcookie</t>
    <rPh sb="7" eb="9">
      <t>フヨ</t>
    </rPh>
    <phoneticPr fontId="1"/>
  </si>
  <si>
    <t>Sシステムで社内ルールを共有</t>
    <rPh sb="6" eb="8">
      <t>シャナイ</t>
    </rPh>
    <rPh sb="12" eb="14">
      <t>キョウユウ</t>
    </rPh>
    <phoneticPr fontId="1"/>
  </si>
  <si>
    <t>真プロジェクト</t>
    <rPh sb="0" eb="1">
      <t>シン</t>
    </rPh>
    <phoneticPr fontId="1"/>
  </si>
  <si>
    <t>プロジェクト内で共有できる</t>
    <rPh sb="6" eb="7">
      <t>ナイ</t>
    </rPh>
    <rPh sb="8" eb="10">
      <t>キョウユウ</t>
    </rPh>
    <phoneticPr fontId="1"/>
  </si>
  <si>
    <t>社内ルールだけでなくプロジェクトの計画書を共有</t>
    <rPh sb="0" eb="2">
      <t>シャナイ</t>
    </rPh>
    <rPh sb="17" eb="20">
      <t>ケイカクショ</t>
    </rPh>
    <rPh sb="21" eb="23">
      <t>キョウユウ</t>
    </rPh>
    <phoneticPr fontId="1"/>
  </si>
  <si>
    <t>プロジェクトの計画書や情報はぷうろじぇくとで制御</t>
    <rPh sb="7" eb="10">
      <t>ケイカクショ</t>
    </rPh>
    <rPh sb="11" eb="13">
      <t>ジョウホウ</t>
    </rPh>
    <rPh sb="22" eb="24">
      <t>セイギョ</t>
    </rPh>
    <phoneticPr fontId="1"/>
  </si>
  <si>
    <t>2-1</t>
    <phoneticPr fontId="1"/>
  </si>
  <si>
    <t>プロジェクトIDでｗ裁判</t>
    <rPh sb="10" eb="12">
      <t>サイバン</t>
    </rPh>
    <phoneticPr fontId="1"/>
  </si>
  <si>
    <t>利用者IDに対してID登録</t>
    <rPh sb="0" eb="3">
      <t>リヨウシャ</t>
    </rPh>
    <rPh sb="6" eb="7">
      <t>タイ</t>
    </rPh>
    <rPh sb="11" eb="13">
      <t>トウロク</t>
    </rPh>
    <phoneticPr fontId="1"/>
  </si>
  <si>
    <t xml:space="preserve">purojekuto </t>
    <phoneticPr fontId="1"/>
  </si>
  <si>
    <t>GETリクエストのクエリ文字列に、所属しないプロジェクトIDを指定する</t>
    <rPh sb="12" eb="15">
      <t>モジレツ</t>
    </rPh>
    <rPh sb="17" eb="19">
      <t>ショゾク</t>
    </rPh>
    <rPh sb="31" eb="33">
      <t>シテイ</t>
    </rPh>
    <phoneticPr fontId="1"/>
  </si>
  <si>
    <t>2-2</t>
    <phoneticPr fontId="1"/>
  </si>
  <si>
    <t>プロジェクトを示すパラメータを外部から指定できないため</t>
    <rPh sb="7" eb="8">
      <t>シメ</t>
    </rPh>
    <rPh sb="15" eb="17">
      <t>ガイブ</t>
    </rPh>
    <rPh sb="19" eb="21">
      <t>シテイ</t>
    </rPh>
    <phoneticPr fontId="1"/>
  </si>
  <si>
    <t>2-3</t>
    <phoneticPr fontId="1"/>
  </si>
  <si>
    <t>ウ</t>
    <phoneticPr fontId="1"/>
  </si>
  <si>
    <t>2-4</t>
    <phoneticPr fontId="1"/>
  </si>
  <si>
    <t>stmt</t>
    <phoneticPr fontId="1"/>
  </si>
  <si>
    <t>3</t>
    <phoneticPr fontId="1"/>
  </si>
  <si>
    <t>プロジェクトID＝？</t>
    <phoneticPr fontId="1"/>
  </si>
  <si>
    <t>1-2</t>
  </si>
  <si>
    <t>Z社NAS製品開発</t>
    <rPh sb="1" eb="2">
      <t>シャ</t>
    </rPh>
    <rPh sb="5" eb="7">
      <t>セイヒン</t>
    </rPh>
    <rPh sb="7" eb="9">
      <t>カイハツ</t>
    </rPh>
    <phoneticPr fontId="1"/>
  </si>
  <si>
    <t>製品Xファイル共有</t>
    <rPh sb="0" eb="2">
      <t>セイヒン</t>
    </rPh>
    <rPh sb="7" eb="9">
      <t>キョウユウ</t>
    </rPh>
    <phoneticPr fontId="1"/>
  </si>
  <si>
    <t>Yはネット接続で利用</t>
    <rPh sb="5" eb="7">
      <t>セツゾク</t>
    </rPh>
    <rPh sb="8" eb="10">
      <t>リヨウ</t>
    </rPh>
    <phoneticPr fontId="1"/>
  </si>
  <si>
    <t>linuxベースOS</t>
    <phoneticPr fontId="1"/>
  </si>
  <si>
    <t>ドメイン取得</t>
    <rPh sb="4" eb="6">
      <t>シュトク</t>
    </rPh>
    <phoneticPr fontId="1"/>
  </si>
  <si>
    <t>DNS-Z</t>
    <phoneticPr fontId="1"/>
  </si>
  <si>
    <t>グローバルIPが変更</t>
    <rPh sb="8" eb="10">
      <t>ヘンコウ</t>
    </rPh>
    <phoneticPr fontId="1"/>
  </si>
  <si>
    <t>IPアドレスを変更</t>
    <rPh sb="7" eb="9">
      <t>ヘンコウ</t>
    </rPh>
    <phoneticPr fontId="1"/>
  </si>
  <si>
    <t>b: エ</t>
    <phoneticPr fontId="1"/>
  </si>
  <si>
    <t>a: ア</t>
    <phoneticPr fontId="1"/>
  </si>
  <si>
    <t>ルータAの設定内容</t>
    <rPh sb="5" eb="7">
      <t>セッテイ</t>
    </rPh>
    <rPh sb="7" eb="9">
      <t>ナイヨウ</t>
    </rPh>
    <phoneticPr fontId="1"/>
  </si>
  <si>
    <t>ファイル共有</t>
    <rPh sb="4" eb="6">
      <t>キョウユウ</t>
    </rPh>
    <phoneticPr fontId="1"/>
  </si>
  <si>
    <t>SMB</t>
    <phoneticPr fontId="1"/>
  </si>
  <si>
    <t>NFS</t>
    <phoneticPr fontId="1"/>
  </si>
  <si>
    <t>インターネットから製品Yの設定を変更することができる</t>
    <rPh sb="9" eb="11">
      <t>セイヒン</t>
    </rPh>
    <rPh sb="13" eb="15">
      <t>セッテイ</t>
    </rPh>
    <rPh sb="16" eb="18">
      <t>ヘンコウ</t>
    </rPh>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</si>
  <si>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</si>
  <si>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LAN側からアクセスできないディレクトリのファイルが操作されていたため。</t>
    <rPh sb="3" eb="4">
      <t>ガワ</t>
    </rPh>
    <rPh sb="26" eb="28">
      <t>ソウサ</t>
    </rPh>
    <phoneticPr fontId="1"/>
  </si>
  <si>
    <t>NAS-Aの脆弱性修正を確認</t>
    <rPh sb="6" eb="9">
      <t>ゼイジャクセイ</t>
    </rPh>
    <rPh sb="9" eb="11">
      <t>シュウセイ</t>
    </rPh>
    <rPh sb="12" eb="14">
      <t>カクニン</t>
    </rPh>
    <phoneticPr fontId="1"/>
  </si>
  <si>
    <t>パッチMが未適用</t>
    <rPh sb="5" eb="8">
      <t>ミテキヨウ</t>
    </rPh>
    <phoneticPr fontId="1"/>
  </si>
  <si>
    <t>c:ディレクトリトラバーサル</t>
    <phoneticPr fontId="1"/>
  </si>
  <si>
    <t>d:OSコマンドインジェクション</t>
    <phoneticPr fontId="1"/>
  </si>
  <si>
    <t>e:ア</t>
    <phoneticPr fontId="1"/>
  </si>
  <si>
    <t>f:イ</t>
    <phoneticPr fontId="1"/>
  </si>
  <si>
    <t>g:ウ</t>
    <phoneticPr fontId="1"/>
  </si>
  <si>
    <t>3-1</t>
    <phoneticPr fontId="1"/>
  </si>
  <si>
    <t>攻撃用コマンドが、ボディの中に記載されアクセスログに残らなかったため</t>
    <rPh sb="0" eb="2">
      <t>コウゲキ</t>
    </rPh>
    <rPh sb="2" eb="3">
      <t>ヨウ</t>
    </rPh>
    <rPh sb="13" eb="14">
      <t>ナカ</t>
    </rPh>
    <rPh sb="15" eb="17">
      <t>キサイ</t>
    </rPh>
    <rPh sb="26" eb="27">
      <t>ノコ</t>
    </rPh>
    <phoneticPr fontId="1"/>
  </si>
  <si>
    <t>3-2</t>
    <phoneticPr fontId="1"/>
  </si>
  <si>
    <t>tarコマンドを扱う場合、オプションを受け付けないように設定する。</t>
    <rPh sb="8" eb="9">
      <t>アツカ</t>
    </rPh>
    <rPh sb="10" eb="12">
      <t>バアイ</t>
    </rPh>
    <rPh sb="19" eb="20">
      <t>ウ</t>
    </rPh>
    <rPh sb="21" eb="22">
      <t>ツ</t>
    </rPh>
    <rPh sb="28" eb="30">
      <t>セッテイ</t>
    </rPh>
    <phoneticPr fontId="1"/>
  </si>
  <si>
    <t>sudoコマンドの設定ファイルで、tarコマンドのオプションを受け付けないように設定する</t>
    <rPh sb="9" eb="11">
      <t>セッテイ</t>
    </rPh>
    <rPh sb="31" eb="32">
      <t>ウ</t>
    </rPh>
    <rPh sb="33" eb="34">
      <t>ツ</t>
    </rPh>
    <rPh sb="40" eb="42">
      <t>セッテイ</t>
    </rPh>
    <phoneticPr fontId="1"/>
  </si>
  <si>
    <t>4</t>
    <phoneticPr fontId="1"/>
  </si>
  <si>
    <t>no-content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</si>
</sst>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144780</xdr:colOff>
          <xdr:row>1</xdr:row>
          <xdr:rowOff>38100</xdr:rowOff>
        </xdr:from>
        <xdr:to>
          <xdr:col>14</xdr:col>
          <xdr:colOff>594360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198120</xdr:colOff>
          <xdr:row>3</xdr:row>
          <xdr:rowOff>106680</xdr:rowOff>
        </xdr:from>
        <xdr:to>
          <xdr:col>14</xdr:col>
          <xdr:colOff>571500</xdr:colOff>
          <xdr:row>4</xdr:row>
          <xdr:rowOff>175260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I3"/>
  <sheetViews>
    <sheetView tabSelected="1" workbookViewId="0">
      <selection activeCell="J9" sqref="J9"/>
    </sheetView>
  </sheetViews>
  <sheetFormatPr defaultRowHeight="18"/>
  <cols>
    <col min="2" max="3" width="9" style="2"/>
  </cols>
  <sheetData>
    <row r="1" spans="1:9">
      <c r="A1" t="s">
        <v>11</v>
      </c>
      <c r="B1" s="2" t="s">
        <v>7</v>
      </c>
      <c r="C1" s="2" t="s">
        <v>8</v>
      </c>
      <c r="D1" t="s">
        <v>9</v>
      </c>
      <c r="E1" t="s">
        <v>5</v>
      </c>
      <c r="F1" t="s">
        <v>10</v>
      </c>
    </row>
    <row r="2" spans="1:9">
      <c r="A2">
        <v>1</v>
      </c>
      <c r="B2" s="2" t="s">
        <v>12</v>
      </c>
      <c r="C2" s="2" t="s">
        <v>14</v>
      </c>
      <c r="D2">
        <v>44</v>
      </c>
      <c r="E2">
        <v>50</v>
      </c>
      <c r="I2">
        <v>76</v>
      </c>
    </row>
    <row r="3" spans="1:9">
      <c r="A3">
        <v>2</v>
      </c>
      <c r="B3" s="2" t="s">
        <v>12</v>
      </c>
      <c r="C3" s="2" t="s">
        <v>42</v>
      </c>
      <c r="D3">
        <v>32</v>
      </c>
      <c r="E3">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144780</xdr:colOff>
                    <xdr:row>1</xdr:row>
                    <xdr:rowOff>38100</xdr:rowOff>
                  </from>
                  <to>
                    <xdr:col>14</xdr:col>
                    <xdr:colOff>594360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198120</xdr:colOff>
                    <xdr:row>3</xdr:row>
                    <xdr:rowOff>106680</xdr:rowOff>
                  </from>
                  <to>
                    <xdr:col>14</xdr:col>
                    <xdr:colOff>571500</xdr:colOff>
                    <xdr:row>4</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
  <cols>
    <col min="1" max="1" width="8.69921875" style="2"/>
    <col min="2" max="2" width="96.8984375" style="1" customWidth="1"/>
    <col min="3" max="3" width="9.699218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A2183-53D9-4B4A-910C-28CB0A906B06}">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
  <cols>
    <col min="1" max="1" width="8.796875" style="2"/>
    <col min="2" max="2" width="59.8984375" style="1" customWidth="1"/>
    <col min="3" max="3" width="9.69921875" customWidth="1"/>
  </cols>
  <sheetData>
    <row r="1" spans="1:9">
      <c r="A1" s="2" t="s">
        <v>0</v>
      </c>
      <c r="B1" s="1" t="s">
        <v>13</v>
      </c>
    </row>
    <row r="2" spans="1:9">
      <c r="A2" s="2" t="s">
        <v>2</v>
      </c>
      <c r="B2" s="3" t="s">
        <v>15</v>
      </c>
      <c r="D2">
        <f>SUM(D4:D1000)</f>
        <v>44</v>
      </c>
      <c r="E2">
        <f>SUM(E4:E1000)</f>
        <v>50</v>
      </c>
    </row>
    <row r="3" spans="1:9">
      <c r="A3" s="2" t="s">
        <v>1</v>
      </c>
      <c r="B3" s="1" t="s">
        <v>3</v>
      </c>
      <c r="C3" t="s">
        <v>6</v>
      </c>
      <c r="D3" t="s">
        <v>4</v>
      </c>
      <c r="E3" t="s">
        <v>5</v>
      </c>
    </row>
    <row r="4" spans="1:9">
      <c r="A4" s="2" t="s">
        <v>15</v>
      </c>
      <c r="B4" s="1" t="s">
        <v>16</v>
      </c>
      <c r="C4">
        <f>IF(B4&lt;&gt;"",LEN(B4),"")</f>
        <v>1</v>
      </c>
      <c r="D4">
        <f>E4*F4</f>
        <v>6</v>
      </c>
      <c r="E4">
        <v>6</v>
      </c>
      <c r="F4">
        <v>1</v>
      </c>
      <c r="G4" t="s">
        <v>21</v>
      </c>
      <c r="I4" t="s">
        <v>27</v>
      </c>
    </row>
    <row r="5" spans="1:9">
      <c r="A5" s="2" t="s">
        <v>17</v>
      </c>
      <c r="B5" s="1" t="s">
        <v>18</v>
      </c>
      <c r="C5">
        <f t="shared" ref="C5:C68" si="0">IF(B5&lt;&gt;"",LEN(B5),"")</f>
        <v>8</v>
      </c>
      <c r="D5">
        <f t="shared" ref="D5:D11" si="1">E5*F5</f>
        <v>6</v>
      </c>
      <c r="E5">
        <v>6</v>
      </c>
      <c r="F5">
        <v>1</v>
      </c>
      <c r="G5" t="s">
        <v>22</v>
      </c>
      <c r="I5" t="s">
        <v>28</v>
      </c>
    </row>
    <row r="6" spans="1:9">
      <c r="A6" s="2" t="s">
        <v>19</v>
      </c>
      <c r="B6" s="1" t="s">
        <v>20</v>
      </c>
      <c r="C6">
        <f t="shared" si="0"/>
        <v>8</v>
      </c>
      <c r="D6">
        <f t="shared" si="1"/>
        <v>6</v>
      </c>
      <c r="E6">
        <v>6</v>
      </c>
      <c r="F6">
        <v>1</v>
      </c>
      <c r="G6" t="s">
        <v>23</v>
      </c>
      <c r="I6" t="s">
        <v>30</v>
      </c>
    </row>
    <row r="7" spans="1:9" ht="36">
      <c r="A7" s="2" t="s">
        <v>29</v>
      </c>
      <c r="B7" s="1" t="s">
        <v>33</v>
      </c>
      <c r="C7">
        <f t="shared" si="0"/>
        <v>35</v>
      </c>
      <c r="D7">
        <f t="shared" si="1"/>
        <v>8</v>
      </c>
      <c r="E7">
        <v>8</v>
      </c>
      <c r="F7">
        <v>1</v>
      </c>
      <c r="G7" t="s">
        <v>24</v>
      </c>
      <c r="I7" t="s">
        <v>31</v>
      </c>
    </row>
    <row r="8" spans="1:9">
      <c r="A8" s="2" t="s">
        <v>34</v>
      </c>
      <c r="B8" s="1" t="s">
        <v>35</v>
      </c>
      <c r="C8">
        <f t="shared" si="0"/>
        <v>27</v>
      </c>
      <c r="D8">
        <f t="shared" si="1"/>
        <v>6</v>
      </c>
      <c r="E8">
        <v>6</v>
      </c>
      <c r="F8">
        <v>1</v>
      </c>
      <c r="G8" t="s">
        <v>25</v>
      </c>
      <c r="I8" t="s">
        <v>32</v>
      </c>
    </row>
    <row r="9" spans="1:9">
      <c r="A9" s="2" t="s">
        <v>36</v>
      </c>
      <c r="B9" s="1" t="s">
        <v>37</v>
      </c>
      <c r="C9">
        <f t="shared" si="0"/>
        <v>1</v>
      </c>
      <c r="D9">
        <f t="shared" si="1"/>
        <v>6</v>
      </c>
      <c r="E9">
        <v>6</v>
      </c>
      <c r="F9">
        <v>1</v>
      </c>
      <c r="G9" t="s">
        <v>26</v>
      </c>
    </row>
    <row r="10" spans="1:9">
      <c r="A10" s="2" t="s">
        <v>38</v>
      </c>
      <c r="B10" s="1" t="s">
        <v>39</v>
      </c>
      <c r="C10">
        <f t="shared" si="0"/>
        <v>4</v>
      </c>
      <c r="D10">
        <f t="shared" si="1"/>
        <v>6</v>
      </c>
      <c r="E10">
        <v>6</v>
      </c>
      <c r="F10">
        <v>1</v>
      </c>
    </row>
    <row r="11" spans="1:9">
      <c r="A11" s="2" t="s">
        <v>40</v>
      </c>
      <c r="B11" s="1" t="s">
        <v>41</v>
      </c>
      <c r="C11">
        <f t="shared" si="0"/>
        <v>10</v>
      </c>
      <c r="D11">
        <f t="shared" si="1"/>
        <v>0</v>
      </c>
      <c r="E11">
        <v>6</v>
      </c>
      <c r="F11">
        <v>0</v>
      </c>
    </row>
    <row r="12" spans="1:9">
      <c r="C12" t="str">
        <f t="shared" si="0"/>
        <v/>
      </c>
    </row>
    <row r="13" spans="1:9">
      <c r="C13" t="str">
        <f t="shared" si="0"/>
        <v/>
      </c>
    </row>
    <row r="14" spans="1:9">
      <c r="C14" t="str">
        <f t="shared" si="0"/>
        <v/>
      </c>
    </row>
    <row r="15" spans="1:9">
      <c r="C15" t="str">
        <f t="shared" si="0"/>
        <v/>
      </c>
    </row>
    <row r="16" spans="1:9">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11B9-E0C7-4F54-B066-7FAE88653A62}">
  <sheetPr codeName="Sheet5"/>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B14" sqref="B14"/>
    </sheetView>
  </sheetViews>
  <sheetFormatPr defaultRowHeight="18"/>
  <cols>
    <col min="1" max="1" width="8.796875" style="2"/>
    <col min="2" max="2" width="57.8984375" style="1" customWidth="1"/>
    <col min="3" max="3" width="9.69921875" customWidth="1"/>
  </cols>
  <sheetData>
    <row r="1" spans="1:9">
      <c r="A1" s="2" t="s">
        <v>0</v>
      </c>
      <c r="B1" s="1" t="s">
        <v>13</v>
      </c>
    </row>
    <row r="2" spans="1:9">
      <c r="A2" s="2" t="s">
        <v>2</v>
      </c>
      <c r="B2" s="3" t="s">
        <v>17</v>
      </c>
      <c r="D2">
        <f>SUM(D4:D1000)</f>
        <v>32</v>
      </c>
      <c r="E2">
        <f>SUM(E4:E1000)</f>
        <v>50</v>
      </c>
    </row>
    <row r="3" spans="1:9">
      <c r="A3" s="2" t="s">
        <v>1</v>
      </c>
      <c r="B3" s="1" t="s">
        <v>3</v>
      </c>
      <c r="C3" t="s">
        <v>6</v>
      </c>
      <c r="D3" t="s">
        <v>4</v>
      </c>
      <c r="E3" t="s">
        <v>5</v>
      </c>
    </row>
    <row r="4" spans="1:9">
      <c r="A4" s="2" t="s">
        <v>15</v>
      </c>
      <c r="B4" s="1" t="s">
        <v>52</v>
      </c>
      <c r="C4">
        <f>IF(B4&lt;&gt;"",LEN(B4),"")</f>
        <v>4</v>
      </c>
      <c r="D4">
        <f>E4*F4</f>
        <v>4</v>
      </c>
      <c r="E4">
        <v>4</v>
      </c>
      <c r="F4">
        <v>1</v>
      </c>
      <c r="G4" t="s">
        <v>43</v>
      </c>
      <c r="I4" t="s">
        <v>49</v>
      </c>
    </row>
    <row r="5" spans="1:9">
      <c r="B5" s="1" t="s">
        <v>51</v>
      </c>
      <c r="C5">
        <f t="shared" ref="C5:C68" si="0">IF(B5&lt;&gt;"",LEN(B5),"")</f>
        <v>4</v>
      </c>
      <c r="D5">
        <f t="shared" ref="D5:D17" si="1">E5*F5</f>
        <v>4</v>
      </c>
      <c r="E5">
        <v>4</v>
      </c>
      <c r="F5">
        <v>1</v>
      </c>
      <c r="G5" t="s">
        <v>44</v>
      </c>
      <c r="I5" t="s">
        <v>50</v>
      </c>
    </row>
    <row r="6" spans="1:9">
      <c r="A6" s="2" t="s">
        <v>17</v>
      </c>
      <c r="B6" s="1" t="s">
        <v>57</v>
      </c>
      <c r="C6">
        <f t="shared" si="0"/>
        <v>26</v>
      </c>
      <c r="D6">
        <f t="shared" si="1"/>
        <v>3</v>
      </c>
      <c r="E6">
        <v>6</v>
      </c>
      <c r="F6">
        <v>0.5</v>
      </c>
      <c r="G6" t="s">
        <v>45</v>
      </c>
      <c r="I6" t="s">
        <v>53</v>
      </c>
    </row>
    <row r="7" spans="1:9">
      <c r="B7" s="1" t="s">
        <v>58</v>
      </c>
      <c r="C7">
        <f t="shared" si="0"/>
        <v>24</v>
      </c>
      <c r="D7">
        <f t="shared" si="1"/>
        <v>0</v>
      </c>
      <c r="G7" t="s">
        <v>46</v>
      </c>
      <c r="I7" t="s">
        <v>54</v>
      </c>
    </row>
    <row r="8" spans="1:9" ht="36">
      <c r="A8" s="2" t="s">
        <v>19</v>
      </c>
      <c r="B8" s="1" t="s">
        <v>59</v>
      </c>
      <c r="C8">
        <f t="shared" si="0"/>
        <v>36</v>
      </c>
      <c r="D8">
        <f t="shared" si="1"/>
        <v>6</v>
      </c>
      <c r="E8">
        <v>6</v>
      </c>
      <c r="F8">
        <v>1</v>
      </c>
      <c r="G8" t="s">
        <v>47</v>
      </c>
      <c r="I8" t="s">
        <v>55</v>
      </c>
    </row>
    <row r="9" spans="1:9">
      <c r="A9" s="2" t="s">
        <v>29</v>
      </c>
      <c r="B9" s="1" t="s">
        <v>62</v>
      </c>
      <c r="C9">
        <f t="shared" si="0"/>
        <v>14</v>
      </c>
      <c r="D9">
        <f t="shared" si="1"/>
        <v>4</v>
      </c>
      <c r="E9">
        <v>4</v>
      </c>
      <c r="F9">
        <v>1</v>
      </c>
      <c r="G9" t="s">
        <v>48</v>
      </c>
      <c r="I9" t="s">
        <v>56</v>
      </c>
    </row>
    <row r="10" spans="1:9">
      <c r="A10" s="2" t="s">
        <v>34</v>
      </c>
      <c r="B10" s="1" t="s">
        <v>63</v>
      </c>
      <c r="C10">
        <f t="shared" si="0"/>
        <v>16</v>
      </c>
      <c r="D10">
        <f t="shared" si="1"/>
        <v>4</v>
      </c>
      <c r="E10">
        <v>4</v>
      </c>
      <c r="F10">
        <v>1</v>
      </c>
      <c r="G10" t="s">
        <v>60</v>
      </c>
    </row>
    <row r="11" spans="1:9">
      <c r="A11" s="2" t="s">
        <v>36</v>
      </c>
      <c r="B11" s="1" t="s">
        <v>64</v>
      </c>
      <c r="C11">
        <f t="shared" si="0"/>
        <v>3</v>
      </c>
      <c r="D11">
        <f t="shared" si="1"/>
        <v>4</v>
      </c>
      <c r="E11">
        <v>4</v>
      </c>
      <c r="F11">
        <v>1</v>
      </c>
      <c r="G11" t="s">
        <v>61</v>
      </c>
    </row>
    <row r="12" spans="1:9">
      <c r="B12" s="1" t="s">
        <v>65</v>
      </c>
      <c r="C12">
        <f t="shared" si="0"/>
        <v>3</v>
      </c>
      <c r="D12">
        <f t="shared" si="1"/>
        <v>0</v>
      </c>
      <c r="E12">
        <v>4</v>
      </c>
      <c r="F12">
        <v>0</v>
      </c>
    </row>
    <row r="13" spans="1:9">
      <c r="B13" s="1" t="s">
        <v>66</v>
      </c>
      <c r="C13">
        <f t="shared" si="0"/>
        <v>3</v>
      </c>
      <c r="D13">
        <f t="shared" si="1"/>
        <v>0</v>
      </c>
      <c r="E13">
        <v>4</v>
      </c>
      <c r="F13">
        <v>0</v>
      </c>
    </row>
    <row r="14" spans="1:9" ht="36">
      <c r="A14" s="2" t="s">
        <v>67</v>
      </c>
      <c r="B14" s="1" t="s">
        <v>68</v>
      </c>
      <c r="C14">
        <f t="shared" si="0"/>
        <v>34</v>
      </c>
      <c r="D14">
        <f t="shared" si="1"/>
        <v>0</v>
      </c>
    </row>
    <row r="15" spans="1:9">
      <c r="A15" s="2" t="s">
        <v>69</v>
      </c>
      <c r="B15" s="1" t="s">
        <v>70</v>
      </c>
      <c r="C15">
        <f t="shared" si="0"/>
        <v>33</v>
      </c>
      <c r="D15">
        <f t="shared" si="1"/>
        <v>3</v>
      </c>
      <c r="E15">
        <v>6</v>
      </c>
      <c r="F15">
        <v>0.5</v>
      </c>
    </row>
    <row r="16" spans="1:9" ht="36">
      <c r="B16" s="1" t="s">
        <v>71</v>
      </c>
      <c r="C16">
        <f t="shared" si="0"/>
        <v>44</v>
      </c>
      <c r="D16">
        <f t="shared" si="1"/>
        <v>0</v>
      </c>
    </row>
    <row r="17" spans="1:6">
      <c r="A17" s="2" t="s">
        <v>72</v>
      </c>
      <c r="B17" s="1" t="s">
        <v>73</v>
      </c>
      <c r="C17">
        <f t="shared" si="0"/>
        <v>10</v>
      </c>
      <c r="D17">
        <f t="shared" si="1"/>
        <v>0</v>
      </c>
      <c r="E17">
        <v>4</v>
      </c>
      <c r="F17">
        <v>0</v>
      </c>
    </row>
    <row r="18" spans="1:6">
      <c r="C18" t="str">
        <f t="shared" si="0"/>
        <v/>
      </c>
    </row>
    <row r="19" spans="1:6">
      <c r="C19" t="str">
        <f t="shared" si="0"/>
        <v/>
      </c>
    </row>
    <row r="20" spans="1:6">
      <c r="C20" t="str">
        <f t="shared" si="0"/>
        <v/>
      </c>
    </row>
    <row r="21" spans="1:6">
      <c r="C21" t="str">
        <f t="shared" si="0"/>
        <v/>
      </c>
    </row>
    <row r="22" spans="1:6">
      <c r="C22" t="str">
        <f t="shared" si="0"/>
        <v/>
      </c>
    </row>
    <row r="23" spans="1:6">
      <c r="C23" t="str">
        <f t="shared" si="0"/>
        <v/>
      </c>
    </row>
    <row r="24" spans="1:6">
      <c r="C24" t="str">
        <f t="shared" si="0"/>
        <v/>
      </c>
    </row>
    <row r="25" spans="1:6">
      <c r="C25" t="str">
        <f t="shared" si="0"/>
        <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レビュー</vt:lpstr>
      <vt:lpstr>format</vt:lpstr>
      <vt:lpstr>1</vt:lpstr>
      <vt:lpstr>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2025-03-19T23:03:01Z</dcterms:modified>
</cp:coreProperties>
</file>