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past_problems\"/>
    </mc:Choice>
  </mc:AlternateContent>
  <xr:revisionPtr revIDLastSave="0" documentId="13_ncr:1_{E7D8C105-ACB9-4093-8F35-8BE5DD76EF96}" xr6:coauthVersionLast="47" xr6:coauthVersionMax="47" xr10:uidLastSave="{00000000-0000-0000-0000-000000000000}"/>
  <bookViews>
    <workbookView xWindow="5325" yWindow="1935" windowWidth="21600" windowHeight="11295" activeTab="4" xr2:uid="{00000000-000D-0000-FFFF-FFFF00000000}"/>
  </bookViews>
  <sheets>
    <sheet name="レビュー" sheetId="2" r:id="rId1"/>
    <sheet name="format" sheetId="4" r:id="rId2"/>
    <sheet name="1" sheetId="5" r:id="rId3"/>
    <sheet name="2" sheetId="6" r:id="rId4"/>
    <sheet name="3" sheetId="7" r:id="rId5"/>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4" i="7" l="1"/>
  <c r="D23" i="7"/>
  <c r="D22" i="7"/>
  <c r="D21" i="7"/>
  <c r="D20" i="7"/>
  <c r="D19" i="7"/>
  <c r="D18" i="7"/>
  <c r="D17" i="7"/>
  <c r="D16" i="7"/>
  <c r="D15" i="7"/>
  <c r="D14" i="7"/>
  <c r="D13" i="7"/>
  <c r="D12" i="7"/>
  <c r="D11" i="7"/>
  <c r="D10" i="7"/>
  <c r="D9" i="7"/>
  <c r="D8" i="7"/>
  <c r="D7" i="7"/>
  <c r="D6" i="7"/>
  <c r="D5" i="7"/>
  <c r="D2" i="7" s="1"/>
  <c r="D4" i="7"/>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17" i="6"/>
  <c r="D16" i="6"/>
  <c r="D15" i="6"/>
  <c r="D14" i="6"/>
  <c r="D13" i="6"/>
  <c r="D12" i="6"/>
  <c r="D11" i="6"/>
  <c r="D10" i="6"/>
  <c r="D9" i="6"/>
  <c r="D8" i="6"/>
  <c r="D7" i="6"/>
  <c r="D6" i="6"/>
  <c r="D5" i="6"/>
  <c r="D2" i="6" s="1"/>
  <c r="D4"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E2" i="6"/>
  <c r="D11" i="5"/>
  <c r="D10" i="5"/>
  <c r="D9" i="5"/>
  <c r="D8" i="5"/>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 r="D2" i="5" l="1"/>
</calcChain>
</file>

<file path=xl/sharedStrings.xml><?xml version="1.0" encoding="utf-8"?>
<sst xmlns="http://schemas.openxmlformats.org/spreadsheetml/2006/main" count="183" uniqueCount="140">
  <si>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</si>
  <si>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</si>
  <si>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</si>
  <si>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</si>
  <si>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</si>
  <si>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</si>
  <si>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</si>
  <si>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</si>
  <si>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</si>
  <si>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</si>
  <si>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</si>
  <si>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</si>
  <si>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2022-春</t>
  </si>
  <si>
    <t>2022-春</t>
    <rPh sb="5" eb="6">
      <t>ハル</t>
    </rPh>
    <phoneticPr fontId="1"/>
  </si>
  <si>
    <t>1-1</t>
  </si>
  <si>
    <t>1-1</t>
    <phoneticPr fontId="1"/>
  </si>
  <si>
    <t>ア</t>
    <phoneticPr fontId="1"/>
  </si>
  <si>
    <t>1-2</t>
    <phoneticPr fontId="1"/>
  </si>
  <si>
    <t>プレースホルダー</t>
    <phoneticPr fontId="1"/>
  </si>
  <si>
    <t>1-3</t>
    <phoneticPr fontId="1"/>
  </si>
  <si>
    <t>a: 改行コード</t>
    <rPh sb="3" eb="5">
      <t>カイギョウ</t>
    </rPh>
    <phoneticPr fontId="1"/>
  </si>
  <si>
    <t>プルダウンから表示したい情報を選択</t>
    <rPh sb="7" eb="9">
      <t>ヒョウジ</t>
    </rPh>
    <rPh sb="12" eb="14">
      <t>ジョウホウ</t>
    </rPh>
    <rPh sb="15" eb="17">
      <t>センタク</t>
    </rPh>
    <phoneticPr fontId="1"/>
  </si>
  <si>
    <t>セッションIDでセッション管理</t>
    <rPh sb="13" eb="15">
      <t>カンリ</t>
    </rPh>
    <phoneticPr fontId="1"/>
  </si>
  <si>
    <t>secureが付与されたcookie</t>
    <rPh sb="7" eb="9">
      <t>フヨ</t>
    </rPh>
    <phoneticPr fontId="1"/>
  </si>
  <si>
    <t>Sシステムで社内ルールを共有</t>
    <rPh sb="6" eb="8">
      <t>シャナイ</t>
    </rPh>
    <rPh sb="12" eb="14">
      <t>キョウユウ</t>
    </rPh>
    <phoneticPr fontId="1"/>
  </si>
  <si>
    <t>真プロジェクト</t>
    <rPh sb="0" eb="1">
      <t>シン</t>
    </rPh>
    <phoneticPr fontId="1"/>
  </si>
  <si>
    <t>プロジェクト内で共有できる</t>
    <rPh sb="6" eb="7">
      <t>ナイ</t>
    </rPh>
    <rPh sb="8" eb="10">
      <t>キョウユウ</t>
    </rPh>
    <phoneticPr fontId="1"/>
  </si>
  <si>
    <t>社内ルールだけでなくプロジェクトの計画書を共有</t>
    <rPh sb="0" eb="2">
      <t>シャナイ</t>
    </rPh>
    <rPh sb="17" eb="20">
      <t>ケイカクショ</t>
    </rPh>
    <rPh sb="21" eb="23">
      <t>キョウユウ</t>
    </rPh>
    <phoneticPr fontId="1"/>
  </si>
  <si>
    <t>プロジェクトの計画書や情報はぷうろじぇくとで制御</t>
    <rPh sb="7" eb="10">
      <t>ケイカクショ</t>
    </rPh>
    <rPh sb="11" eb="13">
      <t>ジョウホウ</t>
    </rPh>
    <rPh sb="22" eb="24">
      <t>セイギョ</t>
    </rPh>
    <phoneticPr fontId="1"/>
  </si>
  <si>
    <t>2-1</t>
    <phoneticPr fontId="1"/>
  </si>
  <si>
    <t>プロジェクトIDでｗ裁判</t>
    <rPh sb="10" eb="12">
      <t>サイバン</t>
    </rPh>
    <phoneticPr fontId="1"/>
  </si>
  <si>
    <t>利用者IDに対してID登録</t>
    <rPh sb="0" eb="3">
      <t>リヨウシャ</t>
    </rPh>
    <rPh sb="6" eb="7">
      <t>タイ</t>
    </rPh>
    <rPh sb="11" eb="13">
      <t>トウロク</t>
    </rPh>
    <phoneticPr fontId="1"/>
  </si>
  <si>
    <t xml:space="preserve">purojekuto </t>
    <phoneticPr fontId="1"/>
  </si>
  <si>
    <t>GETリクエストのクエリ文字列に、所属しないプロジェクトIDを指定する</t>
    <rPh sb="12" eb="15">
      <t>モジレツ</t>
    </rPh>
    <rPh sb="17" eb="19">
      <t>ショゾク</t>
    </rPh>
    <rPh sb="31" eb="33">
      <t>シテイ</t>
    </rPh>
    <phoneticPr fontId="1"/>
  </si>
  <si>
    <t>2-2</t>
    <phoneticPr fontId="1"/>
  </si>
  <si>
    <t>プロジェクトを示すパラメータを外部から指定できないため</t>
    <rPh sb="7" eb="8">
      <t>シメ</t>
    </rPh>
    <rPh sb="15" eb="17">
      <t>ガイブ</t>
    </rPh>
    <rPh sb="19" eb="21">
      <t>シテイ</t>
    </rPh>
    <phoneticPr fontId="1"/>
  </si>
  <si>
    <t>2-3</t>
    <phoneticPr fontId="1"/>
  </si>
  <si>
    <t>ウ</t>
    <phoneticPr fontId="1"/>
  </si>
  <si>
    <t>2-4</t>
    <phoneticPr fontId="1"/>
  </si>
  <si>
    <t>stmt</t>
    <phoneticPr fontId="1"/>
  </si>
  <si>
    <t>3</t>
    <phoneticPr fontId="1"/>
  </si>
  <si>
    <t>プロジェクトID＝？</t>
    <phoneticPr fontId="1"/>
  </si>
  <si>
    <t>1-2</t>
  </si>
  <si>
    <t>Z社NAS製品開発</t>
    <rPh sb="1" eb="2">
      <t>シャ</t>
    </rPh>
    <rPh sb="5" eb="7">
      <t>セイヒン</t>
    </rPh>
    <rPh sb="7" eb="9">
      <t>カイハツ</t>
    </rPh>
    <phoneticPr fontId="1"/>
  </si>
  <si>
    <t>製品Xファイル共有</t>
    <rPh sb="0" eb="2">
      <t>セイヒン</t>
    </rPh>
    <rPh sb="7" eb="9">
      <t>キョウユウ</t>
    </rPh>
    <phoneticPr fontId="1"/>
  </si>
  <si>
    <t>Yはネット接続で利用</t>
    <rPh sb="5" eb="7">
      <t>セツゾク</t>
    </rPh>
    <rPh sb="8" eb="10">
      <t>リヨウ</t>
    </rPh>
    <phoneticPr fontId="1"/>
  </si>
  <si>
    <t>linuxベースOS</t>
    <phoneticPr fontId="1"/>
  </si>
  <si>
    <t>ドメイン取得</t>
    <rPh sb="4" eb="6">
      <t>シュトク</t>
    </rPh>
    <phoneticPr fontId="1"/>
  </si>
  <si>
    <t>DNS-Z</t>
    <phoneticPr fontId="1"/>
  </si>
  <si>
    <t>グローバルIPが変更</t>
    <rPh sb="8" eb="10">
      <t>ヘンコウ</t>
    </rPh>
    <phoneticPr fontId="1"/>
  </si>
  <si>
    <t>IPアドレスを変更</t>
    <rPh sb="7" eb="9">
      <t>ヘンコウ</t>
    </rPh>
    <phoneticPr fontId="1"/>
  </si>
  <si>
    <t>b: エ</t>
    <phoneticPr fontId="1"/>
  </si>
  <si>
    <t>a: ア</t>
    <phoneticPr fontId="1"/>
  </si>
  <si>
    <t>ルータAの設定内容</t>
    <rPh sb="5" eb="7">
      <t>セッテイ</t>
    </rPh>
    <rPh sb="7" eb="9">
      <t>ナイヨウ</t>
    </rPh>
    <phoneticPr fontId="1"/>
  </si>
  <si>
    <t>ファイル共有</t>
    <rPh sb="4" eb="6">
      <t>キョウユウ</t>
    </rPh>
    <phoneticPr fontId="1"/>
  </si>
  <si>
    <t>SMB</t>
    <phoneticPr fontId="1"/>
  </si>
  <si>
    <t>NFS</t>
    <phoneticPr fontId="1"/>
  </si>
  <si>
    <t>インターネットから製品Yの設定を変更することができる</t>
    <rPh sb="9" eb="11">
      <t>セイヒン</t>
    </rPh>
    <rPh sb="13" eb="15">
      <t>セッテイ</t>
    </rPh>
    <rPh sb="16" eb="18">
      <t>ヘンコウ</t>
    </rPh>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</si>
  <si>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</si>
  <si>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LAN側からアクセスできないディレクトリのファイルが操作されていたため。</t>
    <rPh sb="3" eb="4">
      <t>ガワ</t>
    </rPh>
    <rPh sb="26" eb="28">
      <t>ソウサ</t>
    </rPh>
    <phoneticPr fontId="1"/>
  </si>
  <si>
    <t>NAS-Aの脆弱性修正を確認</t>
    <rPh sb="6" eb="9">
      <t>ゼイジャクセイ</t>
    </rPh>
    <rPh sb="9" eb="11">
      <t>シュウセイ</t>
    </rPh>
    <rPh sb="12" eb="14">
      <t>カクニン</t>
    </rPh>
    <phoneticPr fontId="1"/>
  </si>
  <si>
    <t>パッチMが未適用</t>
    <rPh sb="5" eb="8">
      <t>ミテキヨウ</t>
    </rPh>
    <phoneticPr fontId="1"/>
  </si>
  <si>
    <t>c:ディレクトリトラバーサル</t>
    <phoneticPr fontId="1"/>
  </si>
  <si>
    <t>d:OSコマンドインジェクション</t>
    <phoneticPr fontId="1"/>
  </si>
  <si>
    <t>e:ア</t>
    <phoneticPr fontId="1"/>
  </si>
  <si>
    <t>f:イ</t>
    <phoneticPr fontId="1"/>
  </si>
  <si>
    <t>g:ウ</t>
    <phoneticPr fontId="1"/>
  </si>
  <si>
    <t>3-1</t>
    <phoneticPr fontId="1"/>
  </si>
  <si>
    <t>攻撃用コマンドが、ボディの中に記載されアクセスログに残らなかったため</t>
    <rPh sb="0" eb="2">
      <t>コウゲキ</t>
    </rPh>
    <rPh sb="2" eb="3">
      <t>ヨウ</t>
    </rPh>
    <rPh sb="13" eb="14">
      <t>ナカ</t>
    </rPh>
    <rPh sb="15" eb="17">
      <t>キサイ</t>
    </rPh>
    <rPh sb="26" eb="27">
      <t>ノコ</t>
    </rPh>
    <phoneticPr fontId="1"/>
  </si>
  <si>
    <t>3-2</t>
    <phoneticPr fontId="1"/>
  </si>
  <si>
    <t>tarコマンドを扱う場合、オプションを受け付けないように設定する。</t>
    <rPh sb="8" eb="9">
      <t>アツカ</t>
    </rPh>
    <rPh sb="10" eb="12">
      <t>バアイ</t>
    </rPh>
    <rPh sb="19" eb="20">
      <t>ウ</t>
    </rPh>
    <rPh sb="21" eb="22">
      <t>ツ</t>
    </rPh>
    <rPh sb="28" eb="30">
      <t>セッテイ</t>
    </rPh>
    <phoneticPr fontId="1"/>
  </si>
  <si>
    <t>sudoコマンドの設定ファイルで、tarコマンドのオプションを受け付けないように設定する</t>
    <rPh sb="9" eb="11">
      <t>セッテイ</t>
    </rPh>
    <rPh sb="31" eb="32">
      <t>ウ</t>
    </rPh>
    <rPh sb="33" eb="34">
      <t>ツ</t>
    </rPh>
    <rPh sb="40" eb="42">
      <t>セッテイ</t>
    </rPh>
    <phoneticPr fontId="1"/>
  </si>
  <si>
    <t>4</t>
    <phoneticPr fontId="1"/>
  </si>
  <si>
    <t>no-content</t>
    <phoneticPr fontId="1"/>
  </si>
  <si>
    <t>webサイトのセキュリティ</t>
    <phoneticPr fontId="1"/>
  </si>
  <si>
    <t>セキュリティ管理基準</t>
    <rPh sb="6" eb="8">
      <t>カンリ</t>
    </rPh>
    <rPh sb="8" eb="10">
      <t>キジュン</t>
    </rPh>
    <phoneticPr fontId="1"/>
  </si>
  <si>
    <t>要件レビュー</t>
    <rPh sb="0" eb="2">
      <t>ヨウケン</t>
    </rPh>
    <phoneticPr fontId="1"/>
  </si>
  <si>
    <t>レビュー</t>
    <phoneticPr fontId="1"/>
  </si>
  <si>
    <t>セッション管理の脆弱性</t>
    <rPh sb="5" eb="7">
      <t>カンリ</t>
    </rPh>
    <rPh sb="8" eb="11">
      <t>ゼイジャクセイ</t>
    </rPh>
    <phoneticPr fontId="1"/>
  </si>
  <si>
    <t>サイトのリリースまでに実施する</t>
    <rPh sb="11" eb="13">
      <t>ジッシ</t>
    </rPh>
    <phoneticPr fontId="1"/>
  </si>
  <si>
    <t>ツールレビュー</t>
    <phoneticPr fontId="1"/>
  </si>
  <si>
    <t>テスト環境で稼働</t>
    <rPh sb="3" eb="5">
      <t>カンキョウ</t>
    </rPh>
    <rPh sb="6" eb="8">
      <t>カドウ</t>
    </rPh>
    <phoneticPr fontId="1"/>
  </si>
  <si>
    <t>サイトのリリースまでに実施</t>
    <rPh sb="11" eb="13">
      <t>ジッシ</t>
    </rPh>
    <phoneticPr fontId="1"/>
  </si>
  <si>
    <t>10が目安</t>
    <rPh sb="3" eb="5">
      <t>メヤス</t>
    </rPh>
    <phoneticPr fontId="1"/>
  </si>
  <si>
    <t>セッション、制御が対象</t>
    <rPh sb="6" eb="8">
      <t>セイギョ</t>
    </rPh>
    <rPh sb="9" eb="11">
      <t>タイショウ</t>
    </rPh>
    <phoneticPr fontId="1"/>
  </si>
  <si>
    <t>D社に委託</t>
    <rPh sb="1" eb="2">
      <t>シャ</t>
    </rPh>
    <rPh sb="3" eb="5">
      <t>イタク</t>
    </rPh>
    <phoneticPr fontId="1"/>
  </si>
  <si>
    <t>B社はサービス会社</t>
    <rPh sb="1" eb="2">
      <t>シャ</t>
    </rPh>
    <rPh sb="7" eb="9">
      <t>カイシャ</t>
    </rPh>
    <phoneticPr fontId="1"/>
  </si>
  <si>
    <t>性能改善を頻繁</t>
    <rPh sb="0" eb="2">
      <t>セイノウ</t>
    </rPh>
    <rPh sb="2" eb="4">
      <t>カイゼン</t>
    </rPh>
    <rPh sb="5" eb="7">
      <t>ヒンパン</t>
    </rPh>
    <phoneticPr fontId="1"/>
  </si>
  <si>
    <t>サイトB</t>
    <phoneticPr fontId="1"/>
  </si>
  <si>
    <t>CMS</t>
    <phoneticPr fontId="1"/>
  </si>
  <si>
    <t>サイトX</t>
    <phoneticPr fontId="1"/>
  </si>
  <si>
    <t>サイトY</t>
    <phoneticPr fontId="1"/>
  </si>
  <si>
    <t>webサービスでグループをつくることが出来る</t>
    <rPh sb="19" eb="21">
      <t>デキ</t>
    </rPh>
    <phoneticPr fontId="1"/>
  </si>
  <si>
    <t>ERPツール</t>
    <phoneticPr fontId="1"/>
  </si>
  <si>
    <t>セキュリティ水準確認</t>
    <rPh sb="6" eb="8">
      <t>スイジュン</t>
    </rPh>
    <rPh sb="8" eb="10">
      <t>カクニン</t>
    </rPh>
    <phoneticPr fontId="1"/>
  </si>
  <si>
    <t>ライブラリM</t>
    <phoneticPr fontId="1"/>
  </si>
  <si>
    <t>SEOライブラリ</t>
    <phoneticPr fontId="1"/>
  </si>
  <si>
    <t>FSVはアクセス可能</t>
    <rPh sb="8" eb="10">
      <t>カノウ</t>
    </rPh>
    <phoneticPr fontId="1"/>
  </si>
  <si>
    <t>ライブラリの仕様前に利用するバージョンに既知の脆弱性がないかを確認する</t>
    <rPh sb="6" eb="9">
      <t>シヨウマエ</t>
    </rPh>
    <rPh sb="10" eb="12">
      <t>リヨウ</t>
    </rPh>
    <rPh sb="20" eb="22">
      <t>キチ</t>
    </rPh>
    <rPh sb="23" eb="26">
      <t>ゼイジャクセイ</t>
    </rPh>
    <rPh sb="31" eb="33">
      <t>カクニン</t>
    </rPh>
    <phoneticPr fontId="1"/>
  </si>
  <si>
    <t>サイトXはcookieにっか右脳</t>
    <rPh sb="14" eb="16">
      <t>ウノウ</t>
    </rPh>
    <phoneticPr fontId="1"/>
  </si>
  <si>
    <t>CSRF脆弱性</t>
    <rPh sb="4" eb="7">
      <t>ゼイジャクセイ</t>
    </rPh>
    <phoneticPr fontId="1"/>
  </si>
  <si>
    <t>診断用IDでログイン</t>
    <rPh sb="0" eb="3">
      <t>シンダンヨウ</t>
    </rPh>
    <phoneticPr fontId="1"/>
  </si>
  <si>
    <t>csrf値を設定→別利用者</t>
    <rPh sb="4" eb="5">
      <t>アタイ</t>
    </rPh>
    <rPh sb="6" eb="8">
      <t>セッテイ</t>
    </rPh>
    <rPh sb="9" eb="10">
      <t>ベツ</t>
    </rPh>
    <rPh sb="10" eb="13">
      <t>リヨウシャ</t>
    </rPh>
    <phoneticPr fontId="1"/>
  </si>
  <si>
    <t>2</t>
    <phoneticPr fontId="1"/>
  </si>
  <si>
    <t>a: 利用者ID</t>
    <rPh sb="3" eb="6">
      <t>リヨウシャ</t>
    </rPh>
    <phoneticPr fontId="1"/>
  </si>
  <si>
    <t>b: JSESESSION</t>
    <phoneticPr fontId="1"/>
  </si>
  <si>
    <t>クリックジャッキングで公開hン位が変更</t>
    <rPh sb="11" eb="13">
      <t>コウカイ</t>
    </rPh>
    <rPh sb="15" eb="16">
      <t>イ</t>
    </rPh>
    <rPh sb="17" eb="19">
      <t>ヘンコウ</t>
    </rPh>
    <phoneticPr fontId="1"/>
  </si>
  <si>
    <t>手前の画面で発生</t>
    <rPh sb="0" eb="2">
      <t>テマエ</t>
    </rPh>
    <rPh sb="3" eb="5">
      <t>ガメン</t>
    </rPh>
    <rPh sb="6" eb="8">
      <t>ハッセイ</t>
    </rPh>
    <phoneticPr fontId="1"/>
  </si>
  <si>
    <t>c:イ</t>
    <phoneticPr fontId="1"/>
  </si>
  <si>
    <t>f:ア</t>
    <phoneticPr fontId="1"/>
  </si>
  <si>
    <t>d:イ</t>
    <phoneticPr fontId="1"/>
  </si>
  <si>
    <t>g:ア</t>
    <phoneticPr fontId="1"/>
  </si>
  <si>
    <t>h:イ</t>
    <phoneticPr fontId="1"/>
  </si>
  <si>
    <t>j:エ</t>
    <phoneticPr fontId="1"/>
  </si>
  <si>
    <t>i:エ</t>
    <phoneticPr fontId="1"/>
  </si>
  <si>
    <t>ニューストピックを取得して表示</t>
    <rPh sb="9" eb="11">
      <t>シュトク</t>
    </rPh>
    <rPh sb="13" eb="15">
      <t>ヒョウジ</t>
    </rPh>
    <phoneticPr fontId="1"/>
  </si>
  <si>
    <t>topicの値にサイトYのDBサーバーのメンテナンス用のURLを指定する</t>
    <rPh sb="6" eb="7">
      <t>アタイ</t>
    </rPh>
    <rPh sb="26" eb="27">
      <t>ヨウ</t>
    </rPh>
    <rPh sb="32" eb="34">
      <t>シテイ</t>
    </rPh>
    <phoneticPr fontId="1"/>
  </si>
  <si>
    <t>サイトZでは新機能</t>
    <rPh sb="6" eb="9">
      <t>シンキノウ</t>
    </rPh>
    <phoneticPr fontId="1"/>
  </si>
  <si>
    <t>宿泊サイトとの連携</t>
    <rPh sb="0" eb="2">
      <t>シュクハク</t>
    </rPh>
    <rPh sb="7" eb="9">
      <t>レンケイ</t>
    </rPh>
    <phoneticPr fontId="1"/>
  </si>
  <si>
    <t>SSRF脆弱性</t>
    <rPh sb="4" eb="7">
      <t>ゼイジャクセイ</t>
    </rPh>
    <phoneticPr fontId="1"/>
  </si>
  <si>
    <t>5-1</t>
    <phoneticPr fontId="1"/>
  </si>
  <si>
    <t>Authorizationヘッダ</t>
    <phoneticPr fontId="1"/>
  </si>
  <si>
    <t>k: V氏の用意したサイト</t>
    <rPh sb="4" eb="5">
      <t>シ</t>
    </rPh>
    <rPh sb="6" eb="8">
      <t>ヨウイ</t>
    </rPh>
    <phoneticPr fontId="1"/>
  </si>
  <si>
    <t>5-2</t>
    <phoneticPr fontId="1"/>
  </si>
  <si>
    <t>エラー処理によって、レスポンスメッセージを変えないようにする</t>
    <rPh sb="3" eb="5">
      <t>ショリ</t>
    </rPh>
    <rPh sb="21" eb="22">
      <t>カ</t>
    </rPh>
    <phoneticPr fontId="1"/>
  </si>
  <si>
    <t>セキュリティ水準によって調査</t>
    <rPh sb="6" eb="8">
      <t>スイジュン</t>
    </rPh>
    <rPh sb="12" eb="14">
      <t>チョウサ</t>
    </rPh>
    <phoneticPr fontId="1"/>
  </si>
  <si>
    <t>改善要望</t>
    <rPh sb="0" eb="2">
      <t>カイゼン</t>
    </rPh>
    <rPh sb="2" eb="4">
      <t>ヨウボウ</t>
    </rPh>
    <phoneticPr fontId="1"/>
  </si>
  <si>
    <t>アジャイル開発</t>
    <rPh sb="5" eb="7">
      <t>カイハツ</t>
    </rPh>
    <phoneticPr fontId="1"/>
  </si>
  <si>
    <t>セキュアプログラミング</t>
    <phoneticPr fontId="1"/>
  </si>
  <si>
    <t>webサイト構築</t>
    <rPh sb="6" eb="8">
      <t>コウチク</t>
    </rPh>
    <phoneticPr fontId="1"/>
  </si>
  <si>
    <t>6-1</t>
    <phoneticPr fontId="1"/>
  </si>
  <si>
    <t>認可・アクセス制御の脆弱性</t>
    <rPh sb="0" eb="2">
      <t>ニンカ</t>
    </rPh>
    <rPh sb="7" eb="9">
      <t>セイギョ</t>
    </rPh>
    <rPh sb="10" eb="13">
      <t>ゼイジャクセイ</t>
    </rPh>
    <phoneticPr fontId="1"/>
  </si>
  <si>
    <t>6-2</t>
    <phoneticPr fontId="1"/>
  </si>
  <si>
    <t>2-1</t>
  </si>
  <si>
    <t>周期が2Wの開発のサイクルでは不適格</t>
    <rPh sb="0" eb="2">
      <t>シュウキ</t>
    </rPh>
    <rPh sb="6" eb="8">
      <t>カイハツ</t>
    </rPh>
    <rPh sb="15" eb="18">
      <t>フテキカク</t>
    </rPh>
    <phoneticPr fontId="1"/>
  </si>
  <si>
    <t>20回に一回の大規模な改修</t>
    <rPh sb="2" eb="3">
      <t>カイ</t>
    </rPh>
    <rPh sb="4" eb="6">
      <t>イッカイ</t>
    </rPh>
    <rPh sb="7" eb="10">
      <t>ダイキボ</t>
    </rPh>
    <rPh sb="11" eb="13">
      <t>カイシュウ</t>
    </rPh>
    <phoneticPr fontId="1"/>
  </si>
  <si>
    <t>6-3</t>
    <phoneticPr fontId="1"/>
  </si>
  <si>
    <t>定期的に期間の長い改良リリース期間を設ける</t>
    <rPh sb="0" eb="3">
      <t>テイキテキ</t>
    </rPh>
    <rPh sb="4" eb="6">
      <t>キカン</t>
    </rPh>
    <rPh sb="7" eb="8">
      <t>ナガ</t>
    </rPh>
    <rPh sb="9" eb="11">
      <t>カイリョウ</t>
    </rPh>
    <rPh sb="15" eb="17">
      <t>キカン</t>
    </rPh>
    <rPh sb="18" eb="19">
      <t>モウ</t>
    </rPh>
    <phoneticPr fontId="1"/>
  </si>
  <si>
    <t>6-4</t>
    <phoneticPr fontId="1"/>
  </si>
  <si>
    <t>ランダムな値をhiddenフィールドに保管の上、リクエストのたびに値が整合するか検証する</t>
    <rPh sb="5" eb="6">
      <t>アタイ</t>
    </rPh>
    <rPh sb="19" eb="21">
      <t>ホカン</t>
    </rPh>
    <rPh sb="22" eb="23">
      <t>ウエ</t>
    </rPh>
    <rPh sb="33" eb="34">
      <t>アタイ</t>
    </rPh>
    <rPh sb="35" eb="37">
      <t>セイゴウ</t>
    </rPh>
    <rPh sb="40" eb="42">
      <t>ケンショウ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</si>
</sst>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I4"/>
  <sheetViews>
    <sheetView workbookViewId="0">
      <selection activeCell="N18" sqref="N18:N19"/>
    </sheetView>
  </sheetViews>
  <sheetFormatPr defaultRowHeight="18.75"/>
  <cols>
    <col min="2" max="3" width="9" style="2"/>
  </cols>
  <sheetData>
    <row r="1" spans="1:9">
      <c r="A1" t="s">
        <v>11</v>
      </c>
      <c r="B1" s="2" t="s">
        <v>7</v>
      </c>
      <c r="C1" s="2" t="s">
        <v>8</v>
      </c>
      <c r="D1" t="s">
        <v>9</v>
      </c>
      <c r="E1" t="s">
        <v>5</v>
      </c>
      <c r="F1" t="s">
        <v>10</v>
      </c>
    </row>
    <row r="2" spans="1:9">
      <c r="A2">
        <v>1</v>
      </c>
      <c r="B2" s="2" t="s">
        <v>12</v>
      </c>
      <c r="C2" s="2" t="s">
        <v>14</v>
      </c>
      <c r="D2">
        <v>44</v>
      </c>
      <c r="E2">
        <v>50</v>
      </c>
      <c r="I2">
        <v>76</v>
      </c>
    </row>
    <row r="3" spans="1:9">
      <c r="A3">
        <v>2</v>
      </c>
      <c r="B3" s="2" t="s">
        <v>12</v>
      </c>
      <c r="C3" s="2" t="s">
        <v>42</v>
      </c>
      <c r="D3">
        <v>32</v>
      </c>
      <c r="E3">
        <v>50</v>
      </c>
    </row>
    <row r="4" spans="1:9">
      <c r="A4">
        <v>3</v>
      </c>
      <c r="B4" s="2" t="s">
        <v>12</v>
      </c>
      <c r="C4" s="2" t="s">
        <v>133</v>
      </c>
      <c r="D4">
        <v>67</v>
      </c>
      <c r="E4">
        <v>100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A2183-53D9-4B4A-910C-28CB0A906B06}">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8.75" style="2"/>
    <col min="2" max="2" width="59.875" style="1" customWidth="1"/>
    <col min="3" max="3" width="9.75" customWidth="1"/>
  </cols>
  <sheetData>
    <row r="1" spans="1:9">
      <c r="A1" s="2" t="s">
        <v>0</v>
      </c>
      <c r="B1" s="1" t="s">
        <v>13</v>
      </c>
    </row>
    <row r="2" spans="1:9">
      <c r="A2" s="2" t="s">
        <v>2</v>
      </c>
      <c r="B2" s="3" t="s">
        <v>15</v>
      </c>
      <c r="D2">
        <f>SUM(D4:D1000)</f>
        <v>44</v>
      </c>
      <c r="E2">
        <f>SUM(E4:E1000)</f>
        <v>50</v>
      </c>
    </row>
    <row r="3" spans="1:9">
      <c r="A3" s="2" t="s">
        <v>1</v>
      </c>
      <c r="B3" s="1" t="s">
        <v>3</v>
      </c>
      <c r="C3" t="s">
        <v>6</v>
      </c>
      <c r="D3" t="s">
        <v>4</v>
      </c>
      <c r="E3" t="s">
        <v>5</v>
      </c>
    </row>
    <row r="4" spans="1:9">
      <c r="A4" s="2" t="s">
        <v>15</v>
      </c>
      <c r="B4" s="1" t="s">
        <v>16</v>
      </c>
      <c r="C4">
        <f>IF(B4&lt;&gt;"",LEN(B4),"")</f>
        <v>1</v>
      </c>
      <c r="D4">
        <f>E4*F4</f>
        <v>6</v>
      </c>
      <c r="E4">
        <v>6</v>
      </c>
      <c r="F4">
        <v>1</v>
      </c>
      <c r="G4" t="s">
        <v>21</v>
      </c>
      <c r="I4" t="s">
        <v>27</v>
      </c>
    </row>
    <row r="5" spans="1:9">
      <c r="A5" s="2" t="s">
        <v>17</v>
      </c>
      <c r="B5" s="1" t="s">
        <v>18</v>
      </c>
      <c r="C5">
        <f t="shared" ref="C5:C68" si="0">IF(B5&lt;&gt;"",LEN(B5),"")</f>
        <v>8</v>
      </c>
      <c r="D5">
        <f t="shared" ref="D5:D11" si="1">E5*F5</f>
        <v>6</v>
      </c>
      <c r="E5">
        <v>6</v>
      </c>
      <c r="F5">
        <v>1</v>
      </c>
      <c r="G5" t="s">
        <v>22</v>
      </c>
      <c r="I5" t="s">
        <v>28</v>
      </c>
    </row>
    <row r="6" spans="1:9">
      <c r="A6" s="2" t="s">
        <v>19</v>
      </c>
      <c r="B6" s="1" t="s">
        <v>20</v>
      </c>
      <c r="C6">
        <f t="shared" si="0"/>
        <v>8</v>
      </c>
      <c r="D6">
        <f t="shared" si="1"/>
        <v>6</v>
      </c>
      <c r="E6">
        <v>6</v>
      </c>
      <c r="F6">
        <v>1</v>
      </c>
      <c r="G6" t="s">
        <v>23</v>
      </c>
      <c r="I6" t="s">
        <v>30</v>
      </c>
    </row>
    <row r="7" spans="1:9" ht="37.5">
      <c r="A7" s="2" t="s">
        <v>29</v>
      </c>
      <c r="B7" s="1" t="s">
        <v>33</v>
      </c>
      <c r="C7">
        <f t="shared" si="0"/>
        <v>35</v>
      </c>
      <c r="D7">
        <f t="shared" si="1"/>
        <v>8</v>
      </c>
      <c r="E7">
        <v>8</v>
      </c>
      <c r="F7">
        <v>1</v>
      </c>
      <c r="G7" t="s">
        <v>24</v>
      </c>
      <c r="I7" t="s">
        <v>31</v>
      </c>
    </row>
    <row r="8" spans="1:9">
      <c r="A8" s="2" t="s">
        <v>34</v>
      </c>
      <c r="B8" s="1" t="s">
        <v>35</v>
      </c>
      <c r="C8">
        <f t="shared" si="0"/>
        <v>27</v>
      </c>
      <c r="D8">
        <f t="shared" si="1"/>
        <v>6</v>
      </c>
      <c r="E8">
        <v>6</v>
      </c>
      <c r="F8">
        <v>1</v>
      </c>
      <c r="G8" t="s">
        <v>25</v>
      </c>
      <c r="I8" t="s">
        <v>32</v>
      </c>
    </row>
    <row r="9" spans="1:9">
      <c r="A9" s="2" t="s">
        <v>36</v>
      </c>
      <c r="B9" s="1" t="s">
        <v>37</v>
      </c>
      <c r="C9">
        <f t="shared" si="0"/>
        <v>1</v>
      </c>
      <c r="D9">
        <f t="shared" si="1"/>
        <v>6</v>
      </c>
      <c r="E9">
        <v>6</v>
      </c>
      <c r="F9">
        <v>1</v>
      </c>
      <c r="G9" t="s">
        <v>26</v>
      </c>
    </row>
    <row r="10" spans="1:9">
      <c r="A10" s="2" t="s">
        <v>38</v>
      </c>
      <c r="B10" s="1" t="s">
        <v>39</v>
      </c>
      <c r="C10">
        <f t="shared" si="0"/>
        <v>4</v>
      </c>
      <c r="D10">
        <f t="shared" si="1"/>
        <v>6</v>
      </c>
      <c r="E10">
        <v>6</v>
      </c>
      <c r="F10">
        <v>1</v>
      </c>
    </row>
    <row r="11" spans="1:9">
      <c r="A11" s="2" t="s">
        <v>40</v>
      </c>
      <c r="B11" s="1" t="s">
        <v>41</v>
      </c>
      <c r="C11">
        <f t="shared" si="0"/>
        <v>10</v>
      </c>
      <c r="D11">
        <f t="shared" si="1"/>
        <v>0</v>
      </c>
      <c r="E11">
        <v>6</v>
      </c>
      <c r="F11">
        <v>0</v>
      </c>
    </row>
    <row r="12" spans="1:9">
      <c r="C12" t="str">
        <f t="shared" si="0"/>
        <v/>
      </c>
    </row>
    <row r="13" spans="1:9">
      <c r="C13" t="str">
        <f t="shared" si="0"/>
        <v/>
      </c>
    </row>
    <row r="14" spans="1:9">
      <c r="C14" t="str">
        <f t="shared" si="0"/>
        <v/>
      </c>
    </row>
    <row r="15" spans="1:9">
      <c r="C15" t="str">
        <f t="shared" si="0"/>
        <v/>
      </c>
    </row>
    <row r="16" spans="1:9">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11B9-E0C7-4F54-B066-7FAE88653A62}">
  <sheetPr codeName="Sheet5"/>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B1" sqref="B1"/>
    </sheetView>
  </sheetViews>
  <sheetFormatPr defaultRowHeight="18.75"/>
  <cols>
    <col min="1" max="1" width="8.75" style="2"/>
    <col min="2" max="2" width="57.875" style="1" customWidth="1"/>
    <col min="3" max="3" width="9.75" customWidth="1"/>
  </cols>
  <sheetData>
    <row r="1" spans="1:9">
      <c r="A1" s="2" t="s">
        <v>0</v>
      </c>
      <c r="B1" s="1" t="s">
        <v>13</v>
      </c>
    </row>
    <row r="2" spans="1:9">
      <c r="A2" s="2" t="s">
        <v>2</v>
      </c>
      <c r="B2" s="3" t="s">
        <v>17</v>
      </c>
      <c r="D2">
        <f>SUM(D4:D1000)</f>
        <v>32</v>
      </c>
      <c r="E2">
        <f>SUM(E4:E1000)</f>
        <v>50</v>
      </c>
    </row>
    <row r="3" spans="1:9">
      <c r="A3" s="2" t="s">
        <v>1</v>
      </c>
      <c r="B3" s="1" t="s">
        <v>3</v>
      </c>
      <c r="C3" t="s">
        <v>6</v>
      </c>
      <c r="D3" t="s">
        <v>4</v>
      </c>
      <c r="E3" t="s">
        <v>5</v>
      </c>
    </row>
    <row r="4" spans="1:9">
      <c r="A4" s="2" t="s">
        <v>15</v>
      </c>
      <c r="B4" s="1" t="s">
        <v>52</v>
      </c>
      <c r="C4">
        <f>IF(B4&lt;&gt;"",LEN(B4),"")</f>
        <v>4</v>
      </c>
      <c r="D4">
        <f>E4*F4</f>
        <v>4</v>
      </c>
      <c r="E4">
        <v>4</v>
      </c>
      <c r="F4">
        <v>1</v>
      </c>
      <c r="G4" t="s">
        <v>43</v>
      </c>
      <c r="I4" t="s">
        <v>49</v>
      </c>
    </row>
    <row r="5" spans="1:9">
      <c r="B5" s="1" t="s">
        <v>51</v>
      </c>
      <c r="C5">
        <f t="shared" ref="C5:C68" si="0">IF(B5&lt;&gt;"",LEN(B5),"")</f>
        <v>4</v>
      </c>
      <c r="D5">
        <f t="shared" ref="D5:D17" si="1">E5*F5</f>
        <v>4</v>
      </c>
      <c r="E5">
        <v>4</v>
      </c>
      <c r="F5">
        <v>1</v>
      </c>
      <c r="G5" t="s">
        <v>44</v>
      </c>
      <c r="I5" t="s">
        <v>50</v>
      </c>
    </row>
    <row r="6" spans="1:9">
      <c r="A6" s="2" t="s">
        <v>17</v>
      </c>
      <c r="B6" s="1" t="s">
        <v>57</v>
      </c>
      <c r="C6">
        <f t="shared" si="0"/>
        <v>26</v>
      </c>
      <c r="D6">
        <f t="shared" si="1"/>
        <v>3</v>
      </c>
      <c r="E6">
        <v>6</v>
      </c>
      <c r="F6">
        <v>0.5</v>
      </c>
      <c r="G6" t="s">
        <v>45</v>
      </c>
      <c r="I6" t="s">
        <v>53</v>
      </c>
    </row>
    <row r="7" spans="1:9">
      <c r="B7" s="1" t="s">
        <v>58</v>
      </c>
      <c r="C7">
        <f t="shared" si="0"/>
        <v>24</v>
      </c>
      <c r="D7">
        <f t="shared" si="1"/>
        <v>0</v>
      </c>
      <c r="G7" t="s">
        <v>46</v>
      </c>
      <c r="I7" t="s">
        <v>54</v>
      </c>
    </row>
    <row r="8" spans="1:9" ht="37.5">
      <c r="A8" s="2" t="s">
        <v>19</v>
      </c>
      <c r="B8" s="1" t="s">
        <v>59</v>
      </c>
      <c r="C8">
        <f t="shared" si="0"/>
        <v>36</v>
      </c>
      <c r="D8">
        <f t="shared" si="1"/>
        <v>6</v>
      </c>
      <c r="E8">
        <v>6</v>
      </c>
      <c r="F8">
        <v>1</v>
      </c>
      <c r="G8" t="s">
        <v>47</v>
      </c>
      <c r="I8" t="s">
        <v>55</v>
      </c>
    </row>
    <row r="9" spans="1:9">
      <c r="A9" s="2" t="s">
        <v>29</v>
      </c>
      <c r="B9" s="1" t="s">
        <v>62</v>
      </c>
      <c r="C9">
        <f t="shared" si="0"/>
        <v>14</v>
      </c>
      <c r="D9">
        <f t="shared" si="1"/>
        <v>4</v>
      </c>
      <c r="E9">
        <v>4</v>
      </c>
      <c r="F9">
        <v>1</v>
      </c>
      <c r="G9" t="s">
        <v>48</v>
      </c>
      <c r="I9" t="s">
        <v>56</v>
      </c>
    </row>
    <row r="10" spans="1:9">
      <c r="A10" s="2" t="s">
        <v>34</v>
      </c>
      <c r="B10" s="1" t="s">
        <v>63</v>
      </c>
      <c r="C10">
        <f t="shared" si="0"/>
        <v>16</v>
      </c>
      <c r="D10">
        <f t="shared" si="1"/>
        <v>4</v>
      </c>
      <c r="E10">
        <v>4</v>
      </c>
      <c r="F10">
        <v>1</v>
      </c>
      <c r="G10" t="s">
        <v>60</v>
      </c>
    </row>
    <row r="11" spans="1:9">
      <c r="A11" s="2" t="s">
        <v>36</v>
      </c>
      <c r="B11" s="1" t="s">
        <v>64</v>
      </c>
      <c r="C11">
        <f t="shared" si="0"/>
        <v>3</v>
      </c>
      <c r="D11">
        <f t="shared" si="1"/>
        <v>4</v>
      </c>
      <c r="E11">
        <v>4</v>
      </c>
      <c r="F11">
        <v>1</v>
      </c>
      <c r="G11" t="s">
        <v>61</v>
      </c>
    </row>
    <row r="12" spans="1:9">
      <c r="B12" s="1" t="s">
        <v>65</v>
      </c>
      <c r="C12">
        <f t="shared" si="0"/>
        <v>3</v>
      </c>
      <c r="D12">
        <f t="shared" si="1"/>
        <v>0</v>
      </c>
      <c r="E12">
        <v>4</v>
      </c>
      <c r="F12">
        <v>0</v>
      </c>
    </row>
    <row r="13" spans="1:9">
      <c r="B13" s="1" t="s">
        <v>66</v>
      </c>
      <c r="C13">
        <f t="shared" si="0"/>
        <v>3</v>
      </c>
      <c r="D13">
        <f t="shared" si="1"/>
        <v>0</v>
      </c>
      <c r="E13">
        <v>4</v>
      </c>
      <c r="F13">
        <v>0</v>
      </c>
    </row>
    <row r="14" spans="1:9" ht="37.5">
      <c r="A14" s="2" t="s">
        <v>67</v>
      </c>
      <c r="B14" s="1" t="s">
        <v>68</v>
      </c>
      <c r="C14">
        <f t="shared" si="0"/>
        <v>34</v>
      </c>
      <c r="D14">
        <f t="shared" si="1"/>
        <v>0</v>
      </c>
    </row>
    <row r="15" spans="1:9" ht="37.5">
      <c r="A15" s="2" t="s">
        <v>69</v>
      </c>
      <c r="B15" s="1" t="s">
        <v>70</v>
      </c>
      <c r="C15">
        <f t="shared" si="0"/>
        <v>33</v>
      </c>
      <c r="D15">
        <f t="shared" si="1"/>
        <v>3</v>
      </c>
      <c r="E15">
        <v>6</v>
      </c>
      <c r="F15">
        <v>0.5</v>
      </c>
    </row>
    <row r="16" spans="1:9" ht="37.5">
      <c r="B16" s="1" t="s">
        <v>71</v>
      </c>
      <c r="C16">
        <f t="shared" si="0"/>
        <v>44</v>
      </c>
      <c r="D16">
        <f t="shared" si="1"/>
        <v>0</v>
      </c>
    </row>
    <row r="17" spans="1:6">
      <c r="A17" s="2" t="s">
        <v>72</v>
      </c>
      <c r="B17" s="1" t="s">
        <v>73</v>
      </c>
      <c r="C17">
        <f t="shared" si="0"/>
        <v>10</v>
      </c>
      <c r="D17">
        <f t="shared" si="1"/>
        <v>0</v>
      </c>
      <c r="E17">
        <v>4</v>
      </c>
      <c r="F17">
        <v>0</v>
      </c>
    </row>
    <row r="18" spans="1:6">
      <c r="C18" t="str">
        <f t="shared" si="0"/>
        <v/>
      </c>
    </row>
    <row r="19" spans="1:6">
      <c r="C19" t="str">
        <f t="shared" si="0"/>
        <v/>
      </c>
    </row>
    <row r="20" spans="1:6">
      <c r="C20" t="str">
        <f t="shared" si="0"/>
        <v/>
      </c>
    </row>
    <row r="21" spans="1:6">
      <c r="C21" t="str">
        <f t="shared" si="0"/>
        <v/>
      </c>
    </row>
    <row r="22" spans="1:6">
      <c r="C22" t="str">
        <f t="shared" si="0"/>
        <v/>
      </c>
    </row>
    <row r="23" spans="1:6">
      <c r="C23" t="str">
        <f t="shared" si="0"/>
        <v/>
      </c>
    </row>
    <row r="24" spans="1:6">
      <c r="C24" t="str">
        <f t="shared" si="0"/>
        <v/>
      </c>
    </row>
    <row r="25" spans="1:6">
      <c r="C25" t="str">
        <f t="shared" si="0"/>
        <v/>
      </c>
    </row>
    <row r="26" spans="1:6">
      <c r="C26" t="str">
        <f t="shared" si="0"/>
        <v/>
      </c>
    </row>
    <row r="27" spans="1:6">
      <c r="C27" t="str">
        <f t="shared" si="0"/>
        <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7C410-6DF4-4668-BDB8-E70A1C328ADB}">
  <sheetPr codeName="Sheet6"/>
  <dimension ref="A1:M167"/>
  <sheetViews>
    <sheetView tabSelected="1" zoomScale="85" zoomScaleNormal="85" workbookViewId="0">
      <pane xSplit="1" ySplit="3" topLeftCell="B4" activePane="bottomRight" state="frozen"/>
      <selection pane="topRight" activeCell="B1" sqref="B1"/>
      <selection pane="bottomLeft" activeCell="A4" sqref="A4"/>
      <selection pane="bottomRight" activeCell="J9" sqref="J9"/>
    </sheetView>
  </sheetViews>
  <sheetFormatPr defaultRowHeight="18.75"/>
  <cols>
    <col min="1" max="1" width="9" style="2"/>
    <col min="2" max="2" width="54.5" style="1" customWidth="1"/>
    <col min="3" max="3" width="9.75" customWidth="1"/>
  </cols>
  <sheetData>
    <row r="1" spans="1:13">
      <c r="A1" s="2" t="s">
        <v>0</v>
      </c>
      <c r="B1" s="1" t="s">
        <v>13</v>
      </c>
      <c r="F1" t="s">
        <v>121</v>
      </c>
    </row>
    <row r="2" spans="1:13">
      <c r="A2" s="2" t="s">
        <v>2</v>
      </c>
      <c r="B2" s="3" t="s">
        <v>29</v>
      </c>
      <c r="D2">
        <f>SUM(D4:D1000)</f>
        <v>67</v>
      </c>
      <c r="E2">
        <f>SUM(E4:E1000)</f>
        <v>100</v>
      </c>
    </row>
    <row r="3" spans="1:13">
      <c r="A3" s="2" t="s">
        <v>1</v>
      </c>
      <c r="B3" s="1" t="s">
        <v>3</v>
      </c>
      <c r="C3" t="s">
        <v>6</v>
      </c>
      <c r="D3" t="s">
        <v>4</v>
      </c>
      <c r="E3" t="s">
        <v>5</v>
      </c>
    </row>
    <row r="4" spans="1:13">
      <c r="A4" s="2" t="s">
        <v>15</v>
      </c>
      <c r="B4" s="1" t="s">
        <v>16</v>
      </c>
      <c r="C4">
        <f>IF(B4&lt;&gt;"",LEN(B4),"")</f>
        <v>1</v>
      </c>
      <c r="D4">
        <f>E4*F4</f>
        <v>4</v>
      </c>
      <c r="E4">
        <v>4</v>
      </c>
      <c r="F4">
        <v>1</v>
      </c>
      <c r="G4" t="s">
        <v>74</v>
      </c>
      <c r="I4" t="s">
        <v>82</v>
      </c>
      <c r="K4" t="s">
        <v>90</v>
      </c>
      <c r="M4" t="s">
        <v>99</v>
      </c>
    </row>
    <row r="5" spans="1:13" ht="37.5">
      <c r="A5" s="2" t="s">
        <v>17</v>
      </c>
      <c r="B5" s="1" t="s">
        <v>98</v>
      </c>
      <c r="C5">
        <f t="shared" ref="C5:C68" si="0">IF(B5&lt;&gt;"",LEN(B5),"")</f>
        <v>35</v>
      </c>
      <c r="D5">
        <f t="shared" ref="D5:D24" si="1">E5*F5</f>
        <v>8</v>
      </c>
      <c r="E5">
        <v>8</v>
      </c>
      <c r="F5">
        <v>1</v>
      </c>
      <c r="G5" t="s">
        <v>75</v>
      </c>
      <c r="I5" t="s">
        <v>83</v>
      </c>
      <c r="K5" t="s">
        <v>91</v>
      </c>
      <c r="M5" t="s">
        <v>100</v>
      </c>
    </row>
    <row r="6" spans="1:13">
      <c r="A6" s="2" t="s">
        <v>103</v>
      </c>
      <c r="B6" s="1" t="s">
        <v>104</v>
      </c>
      <c r="C6">
        <f t="shared" si="0"/>
        <v>8</v>
      </c>
      <c r="D6">
        <f t="shared" si="1"/>
        <v>4</v>
      </c>
      <c r="E6">
        <v>4</v>
      </c>
      <c r="F6">
        <v>1</v>
      </c>
      <c r="G6" t="s">
        <v>76</v>
      </c>
      <c r="I6" t="s">
        <v>84</v>
      </c>
      <c r="K6" t="s">
        <v>92</v>
      </c>
    </row>
    <row r="7" spans="1:13">
      <c r="B7" s="1" t="s">
        <v>105</v>
      </c>
      <c r="C7">
        <f t="shared" si="0"/>
        <v>13</v>
      </c>
      <c r="D7">
        <f t="shared" si="1"/>
        <v>0</v>
      </c>
      <c r="E7">
        <v>4</v>
      </c>
      <c r="F7">
        <v>0</v>
      </c>
      <c r="G7" t="s">
        <v>77</v>
      </c>
      <c r="I7" t="s">
        <v>85</v>
      </c>
      <c r="K7" t="s">
        <v>93</v>
      </c>
      <c r="M7" t="s">
        <v>101</v>
      </c>
    </row>
    <row r="8" spans="1:13">
      <c r="A8" s="2" t="s">
        <v>67</v>
      </c>
      <c r="B8" s="1" t="s">
        <v>108</v>
      </c>
      <c r="C8">
        <f t="shared" si="0"/>
        <v>3</v>
      </c>
      <c r="D8">
        <f t="shared" si="1"/>
        <v>4</v>
      </c>
      <c r="E8">
        <v>4</v>
      </c>
      <c r="F8">
        <v>1</v>
      </c>
      <c r="G8" t="s">
        <v>78</v>
      </c>
      <c r="I8" t="s">
        <v>86</v>
      </c>
      <c r="K8" t="s">
        <v>94</v>
      </c>
      <c r="M8" t="s">
        <v>102</v>
      </c>
    </row>
    <row r="9" spans="1:13">
      <c r="B9" s="1" t="s">
        <v>110</v>
      </c>
      <c r="C9">
        <f t="shared" si="0"/>
        <v>3</v>
      </c>
      <c r="D9">
        <f t="shared" si="1"/>
        <v>0</v>
      </c>
      <c r="E9">
        <v>4</v>
      </c>
      <c r="F9">
        <v>0</v>
      </c>
      <c r="G9" t="s">
        <v>79</v>
      </c>
      <c r="I9" t="s">
        <v>87</v>
      </c>
      <c r="K9" t="s">
        <v>95</v>
      </c>
      <c r="M9" t="s">
        <v>106</v>
      </c>
    </row>
    <row r="10" spans="1:13">
      <c r="B10" s="1" t="s">
        <v>64</v>
      </c>
      <c r="C10">
        <f t="shared" si="0"/>
        <v>3</v>
      </c>
      <c r="D10">
        <f t="shared" si="1"/>
        <v>4</v>
      </c>
      <c r="E10">
        <v>4</v>
      </c>
      <c r="F10">
        <v>1</v>
      </c>
      <c r="G10" t="s">
        <v>80</v>
      </c>
      <c r="I10" t="s">
        <v>88</v>
      </c>
      <c r="K10" t="s">
        <v>96</v>
      </c>
      <c r="M10" t="s">
        <v>107</v>
      </c>
    </row>
    <row r="11" spans="1:13">
      <c r="B11" s="1" t="s">
        <v>109</v>
      </c>
      <c r="C11">
        <f t="shared" si="0"/>
        <v>3</v>
      </c>
      <c r="D11">
        <f t="shared" si="1"/>
        <v>4</v>
      </c>
      <c r="E11">
        <v>4</v>
      </c>
      <c r="F11">
        <v>1</v>
      </c>
      <c r="G11" t="s">
        <v>81</v>
      </c>
      <c r="I11" t="s">
        <v>89</v>
      </c>
      <c r="K11" t="s">
        <v>97</v>
      </c>
    </row>
    <row r="12" spans="1:13">
      <c r="B12" s="1" t="s">
        <v>111</v>
      </c>
      <c r="C12">
        <f t="shared" si="0"/>
        <v>3</v>
      </c>
      <c r="D12">
        <f t="shared" si="1"/>
        <v>0</v>
      </c>
      <c r="E12">
        <v>4</v>
      </c>
      <c r="F12">
        <v>0</v>
      </c>
      <c r="G12" t="s">
        <v>115</v>
      </c>
      <c r="I12" t="s">
        <v>117</v>
      </c>
      <c r="K12" t="s">
        <v>125</v>
      </c>
    </row>
    <row r="13" spans="1:13">
      <c r="B13" s="1" t="s">
        <v>112</v>
      </c>
      <c r="C13">
        <f t="shared" si="0"/>
        <v>3</v>
      </c>
      <c r="D13">
        <f t="shared" si="1"/>
        <v>4</v>
      </c>
      <c r="E13">
        <v>4</v>
      </c>
      <c r="F13">
        <v>1</v>
      </c>
      <c r="I13" t="s">
        <v>118</v>
      </c>
      <c r="K13" t="s">
        <v>126</v>
      </c>
    </row>
    <row r="14" spans="1:13">
      <c r="A14" s="2" t="s">
        <v>69</v>
      </c>
      <c r="B14" s="1" t="s">
        <v>114</v>
      </c>
      <c r="C14">
        <f t="shared" si="0"/>
        <v>3</v>
      </c>
      <c r="D14">
        <f t="shared" si="1"/>
        <v>4</v>
      </c>
      <c r="E14">
        <v>4</v>
      </c>
      <c r="F14">
        <v>1</v>
      </c>
      <c r="I14" t="s">
        <v>119</v>
      </c>
      <c r="K14" t="s">
        <v>127</v>
      </c>
    </row>
    <row r="15" spans="1:13">
      <c r="B15" s="1" t="s">
        <v>113</v>
      </c>
      <c r="C15">
        <f t="shared" si="0"/>
        <v>3</v>
      </c>
      <c r="D15">
        <f t="shared" si="1"/>
        <v>0</v>
      </c>
      <c r="E15">
        <v>4</v>
      </c>
      <c r="F15">
        <v>0</v>
      </c>
      <c r="K15" t="s">
        <v>128</v>
      </c>
    </row>
    <row r="16" spans="1:13" ht="37.5">
      <c r="A16" s="2" t="s">
        <v>72</v>
      </c>
      <c r="B16" s="1" t="s">
        <v>116</v>
      </c>
      <c r="C16">
        <f t="shared" si="0"/>
        <v>36</v>
      </c>
      <c r="D16">
        <f t="shared" si="1"/>
        <v>4</v>
      </c>
      <c r="E16">
        <v>8</v>
      </c>
      <c r="F16">
        <v>0.5</v>
      </c>
      <c r="K16" t="s">
        <v>129</v>
      </c>
    </row>
    <row r="17" spans="1:6">
      <c r="A17" s="2" t="s">
        <v>120</v>
      </c>
      <c r="B17" s="1" t="s">
        <v>122</v>
      </c>
      <c r="C17">
        <f t="shared" si="0"/>
        <v>13</v>
      </c>
      <c r="D17">
        <f t="shared" si="1"/>
        <v>6</v>
      </c>
      <c r="E17">
        <v>6</v>
      </c>
      <c r="F17">
        <v>1</v>
      </c>
    </row>
    <row r="18" spans="1:6" ht="37.5">
      <c r="A18" s="2" t="s">
        <v>123</v>
      </c>
      <c r="B18" s="1" t="s">
        <v>124</v>
      </c>
      <c r="C18">
        <f t="shared" si="0"/>
        <v>30</v>
      </c>
      <c r="D18">
        <f t="shared" si="1"/>
        <v>3</v>
      </c>
      <c r="E18">
        <v>6</v>
      </c>
      <c r="F18">
        <v>0.5</v>
      </c>
    </row>
    <row r="19" spans="1:6">
      <c r="A19" s="2" t="s">
        <v>130</v>
      </c>
      <c r="B19" s="1" t="s">
        <v>78</v>
      </c>
      <c r="C19">
        <f t="shared" si="0"/>
        <v>11</v>
      </c>
      <c r="D19">
        <f t="shared" si="1"/>
        <v>4</v>
      </c>
      <c r="E19">
        <v>4</v>
      </c>
      <c r="F19">
        <v>1</v>
      </c>
    </row>
    <row r="20" spans="1:6">
      <c r="B20" s="1" t="s">
        <v>131</v>
      </c>
      <c r="C20">
        <f t="shared" si="0"/>
        <v>13</v>
      </c>
      <c r="D20">
        <f t="shared" si="1"/>
        <v>4</v>
      </c>
      <c r="E20">
        <v>4</v>
      </c>
      <c r="F20">
        <v>1</v>
      </c>
    </row>
    <row r="21" spans="1:6">
      <c r="A21" s="2" t="s">
        <v>132</v>
      </c>
      <c r="B21" s="1" t="s">
        <v>134</v>
      </c>
      <c r="C21">
        <f t="shared" si="0"/>
        <v>18</v>
      </c>
      <c r="D21">
        <f t="shared" si="1"/>
        <v>0</v>
      </c>
    </row>
    <row r="22" spans="1:6">
      <c r="B22" s="1" t="s">
        <v>135</v>
      </c>
      <c r="C22">
        <f t="shared" si="0"/>
        <v>13</v>
      </c>
      <c r="D22">
        <f t="shared" si="1"/>
        <v>0</v>
      </c>
      <c r="E22">
        <v>6</v>
      </c>
      <c r="F22">
        <v>0</v>
      </c>
    </row>
    <row r="23" spans="1:6">
      <c r="A23" s="2" t="s">
        <v>136</v>
      </c>
      <c r="B23" s="1" t="s">
        <v>137</v>
      </c>
      <c r="C23">
        <f t="shared" si="0"/>
        <v>21</v>
      </c>
      <c r="D23">
        <f t="shared" si="1"/>
        <v>6</v>
      </c>
      <c r="E23">
        <v>6</v>
      </c>
      <c r="F23">
        <v>1</v>
      </c>
    </row>
    <row r="24" spans="1:6" ht="37.5">
      <c r="A24" s="2" t="s">
        <v>138</v>
      </c>
      <c r="B24" s="1" t="s">
        <v>139</v>
      </c>
      <c r="C24">
        <f t="shared" si="0"/>
        <v>44</v>
      </c>
      <c r="D24">
        <f t="shared" si="1"/>
        <v>4</v>
      </c>
      <c r="E24">
        <v>8</v>
      </c>
      <c r="F24">
        <v>0.5</v>
      </c>
    </row>
    <row r="25" spans="1:6">
      <c r="C25" t="str">
        <f t="shared" si="0"/>
        <v/>
      </c>
    </row>
    <row r="26" spans="1:6">
      <c r="C26" t="str">
        <f t="shared" si="0"/>
        <v/>
      </c>
    </row>
    <row r="27" spans="1:6">
      <c r="C27" t="str">
        <f t="shared" si="0"/>
        <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レビュー</vt:lpstr>
      <vt:lpstr>format</vt:lpstr>
      <vt:lpstr>1</vt:lpstr>
      <vt:lpstr>2</vt:lpstr>
      <vt:lpstr>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2025-03-20T06:12:28Z</dcterms:modified>
</cp:coreProperties>
</file>