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AC29F44-AB41-49E9-957F-BAD15D80DB5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7" l="1"/>
  <c r="D13" i="7"/>
  <c r="D12" i="7"/>
  <c r="D11" i="7"/>
  <c r="D10" i="7"/>
  <c r="D9" i="7"/>
  <c r="D8" i="7"/>
  <c r="D7" i="7"/>
  <c r="D6" i="7"/>
  <c r="D5" i="7"/>
  <c r="D2" i="7" s="1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2" i="6" s="1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<sst xmlns="http://schemas.openxmlformats.org/spreadsheetml/2006/main" count="175" uniqueCount="138">
  <si>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</si>
  <si>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</si>
  <si>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</si>
  <si>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</si>
  <si>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</si>
  <si>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</si>
  <si>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</si>
  <si>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</si>
  <si>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</si>
  <si>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</si>
  <si>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</si>
  <si>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</si>
  <si>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</si>
  <si>
    <t>PM2-2</t>
    <phoneticPr fontId="1"/>
  </si>
  <si>
    <t>E社</t>
    <rPh sb="1" eb="2">
      <t>シャ</t>
    </rPh>
    <phoneticPr fontId="1"/>
  </si>
  <si>
    <t>従業員のIT企業</t>
    <rPh sb="0" eb="3">
      <t>ジュウギョウイン</t>
    </rPh>
    <rPh sb="6" eb="8">
      <t>キギョウ</t>
    </rPh>
    <phoneticPr fontId="1"/>
  </si>
  <si>
    <t>働き方改革</t>
    <rPh sb="0" eb="1">
      <t>ハタラ</t>
    </rPh>
    <rPh sb="2" eb="3">
      <t>カタ</t>
    </rPh>
    <rPh sb="3" eb="5">
      <t>カイカク</t>
    </rPh>
    <phoneticPr fontId="1"/>
  </si>
  <si>
    <t>テレワーク</t>
    <phoneticPr fontId="1"/>
  </si>
  <si>
    <t>SaaS-X</t>
    <phoneticPr fontId="1"/>
  </si>
  <si>
    <t>IDaaS-Y</t>
    <phoneticPr fontId="1"/>
  </si>
  <si>
    <t>認証サーバー</t>
    <rPh sb="0" eb="2">
      <t>ニンショウ</t>
    </rPh>
    <phoneticPr fontId="1"/>
  </si>
  <si>
    <t>T環境</t>
    <rPh sb="1" eb="3">
      <t>カンキョウ</t>
    </rPh>
    <phoneticPr fontId="1"/>
  </si>
  <si>
    <t>電子メール</t>
    <rPh sb="0" eb="2">
      <t>デンシ</t>
    </rPh>
    <phoneticPr fontId="1"/>
  </si>
  <si>
    <t>業務分掌</t>
    <rPh sb="0" eb="4">
      <t>ギョウムブンショウ</t>
    </rPh>
    <phoneticPr fontId="1"/>
  </si>
  <si>
    <t>FSV</t>
    <phoneticPr fontId="1"/>
  </si>
  <si>
    <t>VD</t>
    <phoneticPr fontId="1"/>
  </si>
  <si>
    <t>Tenv</t>
    <phoneticPr fontId="1"/>
  </si>
  <si>
    <t>情報の持ち出し禁止</t>
    <rPh sb="0" eb="2">
      <t>ジョウホウ</t>
    </rPh>
    <rPh sb="3" eb="4">
      <t>モ</t>
    </rPh>
    <rPh sb="5" eb="6">
      <t>ダ</t>
    </rPh>
    <rPh sb="7" eb="9">
      <t>キンシ</t>
    </rPh>
    <phoneticPr fontId="1"/>
  </si>
  <si>
    <t>MW感染</t>
    <rPh sb="2" eb="4">
      <t>カンセン</t>
    </rPh>
    <phoneticPr fontId="1"/>
  </si>
  <si>
    <t>認証ログ</t>
    <rPh sb="0" eb="2">
      <t>ニンショウ</t>
    </rPh>
    <phoneticPr fontId="1"/>
  </si>
  <si>
    <t>MDM-W</t>
    <phoneticPr fontId="1"/>
  </si>
  <si>
    <t>NPC</t>
    <phoneticPr fontId="1"/>
  </si>
  <si>
    <t>FIDO方式</t>
    <rPh sb="4" eb="6">
      <t>ホウシキ</t>
    </rPh>
    <phoneticPr fontId="1"/>
  </si>
  <si>
    <t>２要素</t>
    <rPh sb="1" eb="3">
      <t>ヨウソ</t>
    </rPh>
    <phoneticPr fontId="1"/>
  </si>
  <si>
    <t>1-1</t>
    <phoneticPr fontId="1"/>
  </si>
  <si>
    <t>当該QR</t>
    <rPh sb="0" eb="2">
      <t>トウガイ</t>
    </rPh>
    <phoneticPr fontId="1"/>
  </si>
  <si>
    <t>イ</t>
    <phoneticPr fontId="1"/>
  </si>
  <si>
    <t>1-2</t>
    <phoneticPr fontId="1"/>
  </si>
  <si>
    <t>他者のQRコードを第３者が読取り、当人になりすましてアクセスする</t>
    <rPh sb="0" eb="2">
      <t>タシャ</t>
    </rPh>
    <rPh sb="9" eb="10">
      <t>ダイ</t>
    </rPh>
    <rPh sb="11" eb="12">
      <t>シャ</t>
    </rPh>
    <rPh sb="13" eb="15">
      <t>ヨミト</t>
    </rPh>
    <rPh sb="17" eb="19">
      <t>トウニン</t>
    </rPh>
    <phoneticPr fontId="1"/>
  </si>
  <si>
    <t>1-3</t>
    <phoneticPr fontId="1"/>
  </si>
  <si>
    <t>NPCでアクセス</t>
    <phoneticPr fontId="1"/>
  </si>
  <si>
    <t>RADIUSで認証</t>
    <rPh sb="7" eb="9">
      <t>ニンショウ</t>
    </rPh>
    <phoneticPr fontId="1"/>
  </si>
  <si>
    <t>SaaS-Xと認証</t>
    <rPh sb="7" eb="9">
      <t>ニンショウ</t>
    </rPh>
    <phoneticPr fontId="1"/>
  </si>
  <si>
    <t>Connetct</t>
    <phoneticPr fontId="1"/>
  </si>
  <si>
    <t>a: ウ</t>
    <phoneticPr fontId="1"/>
  </si>
  <si>
    <t>b: エ</t>
    <phoneticPr fontId="1"/>
  </si>
  <si>
    <t>c: イ</t>
    <phoneticPr fontId="1"/>
  </si>
  <si>
    <t>d: ア</t>
    <phoneticPr fontId="1"/>
  </si>
  <si>
    <t>e: カ</t>
    <phoneticPr fontId="1"/>
  </si>
  <si>
    <t>f: オ</t>
    <phoneticPr fontId="1"/>
  </si>
  <si>
    <t>2</t>
    <phoneticPr fontId="1"/>
  </si>
  <si>
    <t>DaaS-Vの２要素認証</t>
    <rPh sb="8" eb="12">
      <t>ヨウソニンショウ</t>
    </rPh>
    <phoneticPr fontId="1"/>
  </si>
  <si>
    <t>クライアント認証</t>
    <rPh sb="6" eb="8">
      <t>ニンショウ</t>
    </rPh>
    <phoneticPr fontId="1"/>
  </si>
  <si>
    <t>デバイス認証</t>
    <rPh sb="4" eb="6">
      <t>ニンショウ</t>
    </rPh>
    <phoneticPr fontId="1"/>
  </si>
  <si>
    <t>TPM</t>
    <phoneticPr fontId="1"/>
  </si>
  <si>
    <t>DaaS-V</t>
    <phoneticPr fontId="1"/>
  </si>
  <si>
    <t>社内情報を表示した画面をカメラで撮影するという方法</t>
    <rPh sb="0" eb="2">
      <t>シャナイ</t>
    </rPh>
    <rPh sb="2" eb="4">
      <t>ジョウホウ</t>
    </rPh>
    <rPh sb="5" eb="7">
      <t>ヒョウジ</t>
    </rPh>
    <rPh sb="9" eb="11">
      <t>ガメン</t>
    </rPh>
    <rPh sb="16" eb="18">
      <t>サツエイ</t>
    </rPh>
    <rPh sb="23" eb="25">
      <t>ホウホウ</t>
    </rPh>
    <phoneticPr fontId="1"/>
  </si>
  <si>
    <t>3-1</t>
    <phoneticPr fontId="1"/>
  </si>
  <si>
    <t>社内情報が表示された画面をキャプチャして、送出するという方法</t>
    <rPh sb="0" eb="2">
      <t>シャナイ</t>
    </rPh>
    <rPh sb="2" eb="4">
      <t>ジョウホウ</t>
    </rPh>
    <rPh sb="5" eb="7">
      <t>ヒョウジ</t>
    </rPh>
    <rPh sb="10" eb="12">
      <t>ガメン</t>
    </rPh>
    <rPh sb="21" eb="23">
      <t>ソウシュツ</t>
    </rPh>
    <rPh sb="28" eb="30">
      <t>ホウホウ</t>
    </rPh>
    <phoneticPr fontId="1"/>
  </si>
  <si>
    <t>3-2</t>
    <phoneticPr fontId="1"/>
  </si>
  <si>
    <t>情報持ち出しの禁止</t>
    <rPh sb="0" eb="2">
      <t>ジョウホウ</t>
    </rPh>
    <rPh sb="2" eb="3">
      <t>モ</t>
    </rPh>
    <rPh sb="4" eb="5">
      <t>ダ</t>
    </rPh>
    <rPh sb="7" eb="9">
      <t>キンシ</t>
    </rPh>
    <phoneticPr fontId="1"/>
  </si>
  <si>
    <t>アウエ</t>
    <phoneticPr fontId="1"/>
  </si>
  <si>
    <t>4</t>
    <phoneticPr fontId="1"/>
  </si>
  <si>
    <t>第３者によるセキュリティに関する監査報告書で確認するという方法</t>
    <rPh sb="0" eb="1">
      <t>ダイ</t>
    </rPh>
    <rPh sb="2" eb="3">
      <t>シャ</t>
    </rPh>
    <rPh sb="13" eb="14">
      <t>カン</t>
    </rPh>
    <rPh sb="16" eb="18">
      <t>カンサ</t>
    </rPh>
    <rPh sb="18" eb="21">
      <t>ホウコクショ</t>
    </rPh>
    <rPh sb="22" eb="24">
      <t>カクニン</t>
    </rPh>
    <rPh sb="29" eb="31">
      <t>ホウホウ</t>
    </rPh>
    <phoneticPr fontId="1"/>
  </si>
  <si>
    <t>5</t>
    <phoneticPr fontId="1"/>
  </si>
  <si>
    <t>クライアント証明書によるデバイス認証</t>
    <rPh sb="6" eb="9">
      <t>ショウメイショ</t>
    </rPh>
    <rPh sb="16" eb="18">
      <t>ニンショウ</t>
    </rPh>
    <phoneticPr fontId="1"/>
  </si>
  <si>
    <t>6-1</t>
    <phoneticPr fontId="1"/>
  </si>
  <si>
    <t>パスワードの推測によるログイン</t>
    <rPh sb="6" eb="8">
      <t>スイソク</t>
    </rPh>
    <phoneticPr fontId="1"/>
  </si>
  <si>
    <t>6-2</t>
    <phoneticPr fontId="1"/>
  </si>
  <si>
    <t>容易に推測可能なPINコードを設定する</t>
    <rPh sb="0" eb="2">
      <t>ヨウイ</t>
    </rPh>
    <rPh sb="3" eb="7">
      <t>スイソクカノウ</t>
    </rPh>
    <rPh sb="15" eb="17">
      <t>セッテイ</t>
    </rPh>
    <phoneticPr fontId="1"/>
  </si>
  <si>
    <t>6-3</t>
    <phoneticPr fontId="1"/>
  </si>
  <si>
    <t>クライアント証明書によるデバイス認証を行う仕組み</t>
    <rPh sb="6" eb="9">
      <t>ショウメイショ</t>
    </rPh>
    <rPh sb="16" eb="18">
      <t>ニンショウ</t>
    </rPh>
    <rPh sb="19" eb="20">
      <t>オコナ</t>
    </rPh>
    <rPh sb="21" eb="23">
      <t>シク</t>
    </rPh>
    <phoneticPr fontId="1"/>
  </si>
  <si>
    <t>2020</t>
  </si>
  <si>
    <t>N社</t>
    <rPh sb="1" eb="2">
      <t>シャ</t>
    </rPh>
    <phoneticPr fontId="1"/>
  </si>
  <si>
    <t>PM1-1</t>
  </si>
  <si>
    <t>PM1-1</t>
    <phoneticPr fontId="1"/>
  </si>
  <si>
    <t>従業員10000</t>
    <rPh sb="0" eb="3">
      <t>ジュウギョウイン</t>
    </rPh>
    <phoneticPr fontId="1"/>
  </si>
  <si>
    <t>ポイントアプリ</t>
    <phoneticPr fontId="1"/>
  </si>
  <si>
    <t>Nシステム</t>
    <phoneticPr fontId="1"/>
  </si>
  <si>
    <t>店舗アプリ</t>
    <rPh sb="0" eb="2">
      <t>テンポ</t>
    </rPh>
    <phoneticPr fontId="1"/>
  </si>
  <si>
    <t>決済アプリ</t>
    <rPh sb="0" eb="2">
      <t>ケッサイ</t>
    </rPh>
    <phoneticPr fontId="1"/>
  </si>
  <si>
    <t>LANをInetoに接続</t>
    <rPh sb="10" eb="12">
      <t>セツゾク</t>
    </rPh>
    <phoneticPr fontId="1"/>
  </si>
  <si>
    <t>無線サービス</t>
    <rPh sb="0" eb="2">
      <t>ムセン</t>
    </rPh>
    <phoneticPr fontId="1"/>
  </si>
  <si>
    <t>会員登録</t>
    <rPh sb="0" eb="2">
      <t>カイイン</t>
    </rPh>
    <rPh sb="2" eb="4">
      <t>トウロク</t>
    </rPh>
    <phoneticPr fontId="1"/>
  </si>
  <si>
    <t>ログイン</t>
    <phoneticPr fontId="1"/>
  </si>
  <si>
    <t>決済</t>
    <rPh sb="0" eb="2">
      <t>ケッサイ</t>
    </rPh>
    <phoneticPr fontId="1"/>
  </si>
  <si>
    <t>Nログ取得</t>
    <rPh sb="3" eb="5">
      <t>シュトク</t>
    </rPh>
    <phoneticPr fontId="1"/>
  </si>
  <si>
    <t>無線LAN提供予定</t>
    <rPh sb="0" eb="2">
      <t>ムセン</t>
    </rPh>
    <rPh sb="5" eb="7">
      <t>テイキョウ</t>
    </rPh>
    <rPh sb="7" eb="9">
      <t>ヨテイ</t>
    </rPh>
    <phoneticPr fontId="1"/>
  </si>
  <si>
    <t>決済アプリにログイン</t>
    <rPh sb="0" eb="2">
      <t>ケッサイ</t>
    </rPh>
    <phoneticPr fontId="1"/>
  </si>
  <si>
    <t>スマホ</t>
    <phoneticPr fontId="1"/>
  </si>
  <si>
    <t>LANルータ</t>
    <phoneticPr fontId="1"/>
  </si>
  <si>
    <t>管理者PW</t>
    <rPh sb="0" eb="3">
      <t>カンリシャ</t>
    </rPh>
    <phoneticPr fontId="1"/>
  </si>
  <si>
    <t>DNSパケットフィルタ</t>
    <phoneticPr fontId="1"/>
  </si>
  <si>
    <t>管理者機能のログイン可能</t>
    <rPh sb="0" eb="3">
      <t>カンリシャ</t>
    </rPh>
    <rPh sb="3" eb="5">
      <t>キノウ</t>
    </rPh>
    <rPh sb="10" eb="12">
      <t>カノウ</t>
    </rPh>
    <phoneticPr fontId="1"/>
  </si>
  <si>
    <t>会員番号を示すバーコードを生成して、決済する</t>
    <rPh sb="0" eb="2">
      <t>カイイン</t>
    </rPh>
    <rPh sb="2" eb="4">
      <t>バンゴウ</t>
    </rPh>
    <rPh sb="5" eb="6">
      <t>シメ</t>
    </rPh>
    <rPh sb="13" eb="15">
      <t>セイセイ</t>
    </rPh>
    <rPh sb="18" eb="20">
      <t>ケッサイ</t>
    </rPh>
    <phoneticPr fontId="1"/>
  </si>
  <si>
    <t>バーコードが会員番号で作成されること</t>
    <rPh sb="6" eb="8">
      <t>カイイン</t>
    </rPh>
    <rPh sb="8" eb="10">
      <t>バンゴウ</t>
    </rPh>
    <rPh sb="11" eb="13">
      <t>サクセイ</t>
    </rPh>
    <phoneticPr fontId="1"/>
  </si>
  <si>
    <t>HAMC値αとHMAC値βが一致するか確認する</t>
    <rPh sb="4" eb="5">
      <t>アタイ</t>
    </rPh>
    <rPh sb="11" eb="12">
      <t>アタイ</t>
    </rPh>
    <rPh sb="14" eb="16">
      <t>イッチ</t>
    </rPh>
    <rPh sb="19" eb="21">
      <t>カクニン</t>
    </rPh>
    <phoneticPr fontId="1"/>
  </si>
  <si>
    <t>2-1</t>
    <phoneticPr fontId="1"/>
  </si>
  <si>
    <t>バーコード読取り</t>
    <rPh sb="5" eb="7">
      <t>ヨミト</t>
    </rPh>
    <phoneticPr fontId="1"/>
  </si>
  <si>
    <t>い</t>
    <phoneticPr fontId="1"/>
  </si>
  <si>
    <t>攻撃者のDNSサーバーのIPアドレス</t>
    <rPh sb="0" eb="3">
      <t>コウゲキシャ</t>
    </rPh>
    <phoneticPr fontId="1"/>
  </si>
  <si>
    <t>2-2</t>
    <phoneticPr fontId="1"/>
  </si>
  <si>
    <t>d: イ</t>
    <phoneticPr fontId="1"/>
  </si>
  <si>
    <t>c: FQDN</t>
    <phoneticPr fontId="1"/>
  </si>
  <si>
    <t>b: オ</t>
    <phoneticPr fontId="1"/>
  </si>
  <si>
    <t>メールアドレスが会員登録されてるかでメッセージが異なる挙動</t>
    <rPh sb="8" eb="10">
      <t>カイイン</t>
    </rPh>
    <rPh sb="10" eb="12">
      <t>トウロク</t>
    </rPh>
    <rPh sb="24" eb="25">
      <t>コト</t>
    </rPh>
    <rPh sb="27" eb="29">
      <t>キョドウ</t>
    </rPh>
    <phoneticPr fontId="1"/>
  </si>
  <si>
    <t>2-b</t>
    <phoneticPr fontId="1"/>
  </si>
  <si>
    <t>2-aと同じメッセージを表示する</t>
    <rPh sb="4" eb="5">
      <t>オナ</t>
    </rPh>
    <rPh sb="12" eb="14">
      <t>ヒョウジ</t>
    </rPh>
    <phoneticPr fontId="1"/>
  </si>
  <si>
    <t>PM1-3</t>
  </si>
  <si>
    <t>PM1-3</t>
    <phoneticPr fontId="1"/>
  </si>
  <si>
    <t>webセキュリティ診断</t>
    <rPh sb="9" eb="11">
      <t>シンダン</t>
    </rPh>
    <phoneticPr fontId="1"/>
  </si>
  <si>
    <t>ECサイトを運営する企業</t>
    <rPh sb="6" eb="8">
      <t>ウンエイ</t>
    </rPh>
    <rPh sb="10" eb="12">
      <t>キギョウ</t>
    </rPh>
    <phoneticPr fontId="1"/>
  </si>
  <si>
    <t>Lモール→Pシステム</t>
    <phoneticPr fontId="1"/>
  </si>
  <si>
    <t>DB管理PC</t>
    <rPh sb="2" eb="4">
      <t>カンリ</t>
    </rPh>
    <phoneticPr fontId="1"/>
  </si>
  <si>
    <t>web管理PC</t>
    <rPh sb="3" eb="5">
      <t>カンリ</t>
    </rPh>
    <phoneticPr fontId="1"/>
  </si>
  <si>
    <t>DMZ→FW1</t>
    <phoneticPr fontId="1"/>
  </si>
  <si>
    <t>NICを備えている</t>
    <rPh sb="4" eb="5">
      <t>ソナ</t>
    </rPh>
    <phoneticPr fontId="1"/>
  </si>
  <si>
    <t>inetから本番への通信</t>
    <rPh sb="6" eb="8">
      <t>ホンバン</t>
    </rPh>
    <rPh sb="10" eb="12">
      <t>ツウシン</t>
    </rPh>
    <phoneticPr fontId="1"/>
  </si>
  <si>
    <t>遮断検知</t>
    <rPh sb="0" eb="2">
      <t>シャダン</t>
    </rPh>
    <rPh sb="2" eb="4">
      <t>ケンチ</t>
    </rPh>
    <phoneticPr fontId="1"/>
  </si>
  <si>
    <t>ホワイトリスト</t>
    <phoneticPr fontId="1"/>
  </si>
  <si>
    <t>通信ごとに侵入う検知設定</t>
    <rPh sb="0" eb="2">
      <t>ツウシン</t>
    </rPh>
    <rPh sb="5" eb="7">
      <t>シンニュウ</t>
    </rPh>
    <rPh sb="8" eb="10">
      <t>ケンチ</t>
    </rPh>
    <rPh sb="10" eb="12">
      <t>セッテイ</t>
    </rPh>
    <phoneticPr fontId="1"/>
  </si>
  <si>
    <t>HL</t>
    <phoneticPr fontId="1"/>
  </si>
  <si>
    <t>親友検知→警告</t>
    <rPh sb="0" eb="4">
      <t>シンユウケンチ</t>
    </rPh>
    <rPh sb="5" eb="7">
      <t>ケイコク</t>
    </rPh>
    <phoneticPr fontId="1"/>
  </si>
  <si>
    <t>Pシステムの診断</t>
    <rPh sb="6" eb="8">
      <t>シンダン</t>
    </rPh>
    <phoneticPr fontId="1"/>
  </si>
  <si>
    <t>N-IPSにより遮断されていた通信も診断対象となるため</t>
    <rPh sb="8" eb="10">
      <t>シャダン</t>
    </rPh>
    <rPh sb="15" eb="17">
      <t>ツウシン</t>
    </rPh>
    <rPh sb="18" eb="20">
      <t>シンダン</t>
    </rPh>
    <rPh sb="20" eb="22">
      <t>タイショウ</t>
    </rPh>
    <phoneticPr fontId="1"/>
  </si>
  <si>
    <t>診断用PCのIPアドレスをホワイトリストに登録する</t>
    <rPh sb="0" eb="2">
      <t>シンダン</t>
    </rPh>
    <rPh sb="2" eb="3">
      <t>ヨウ</t>
    </rPh>
    <rPh sb="21" eb="23">
      <t>トウロク</t>
    </rPh>
    <phoneticPr fontId="1"/>
  </si>
  <si>
    <t>本番webサーバが攻撃される脅威</t>
    <rPh sb="0" eb="2">
      <t>ホンバン</t>
    </rPh>
    <rPh sb="9" eb="11">
      <t>コウゲキ</t>
    </rPh>
    <rPh sb="14" eb="16">
      <t>キョウイ</t>
    </rPh>
    <phoneticPr fontId="1"/>
  </si>
  <si>
    <t>a</t>
    <phoneticPr fontId="1"/>
  </si>
  <si>
    <t>b: 利用者ID</t>
    <rPh sb="3" eb="6">
      <t>リヨウシャ</t>
    </rPh>
    <phoneticPr fontId="1"/>
  </si>
  <si>
    <t>日時</t>
    <rPh sb="0" eb="2">
      <t>ニチジ</t>
    </rPh>
    <phoneticPr fontId="1"/>
  </si>
  <si>
    <t>0～8時</t>
    <rPh sb="3" eb="4">
      <t>ジ</t>
    </rPh>
    <phoneticPr fontId="1"/>
  </si>
  <si>
    <t>2-3</t>
    <phoneticPr fontId="1"/>
  </si>
  <si>
    <t>IPS</t>
    <phoneticPr fontId="1"/>
  </si>
  <si>
    <t>ホワイトリストに診断用PCのIPアドレスを登録する</t>
    <rPh sb="8" eb="11">
      <t>シンダンヨウ</t>
    </rPh>
    <rPh sb="21" eb="23">
      <t>トウロク</t>
    </rPh>
    <phoneticPr fontId="1"/>
  </si>
  <si>
    <t>2-4</t>
    <phoneticPr fontId="1"/>
  </si>
  <si>
    <t>c:本番DBサーバ</t>
    <rPh sb="2" eb="4">
      <t>ホンバン</t>
    </rPh>
    <phoneticPr fontId="1"/>
  </si>
  <si>
    <t>d:DB管理PC</t>
    <rPh sb="4" eb="6">
      <t>カンリ</t>
    </rPh>
    <phoneticPr fontId="1"/>
  </si>
  <si>
    <t>e:許可</t>
    <rPh sb="2" eb="4">
      <t>キョカ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</si>
</sst>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zoomScale="85" zoomScaleNormal="85" workbookViewId="0">
      <selection activeCell="K7" sqref="K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72</v>
      </c>
      <c r="C2" s="2" t="s">
        <v>12</v>
      </c>
      <c r="D2">
        <v>94</v>
      </c>
      <c r="E2">
        <v>100</v>
      </c>
    </row>
    <row r="3" spans="1:6">
      <c r="A3">
        <v>2</v>
      </c>
      <c r="B3" s="2" t="s">
        <v>72</v>
      </c>
      <c r="C3" s="2" t="s">
        <v>74</v>
      </c>
      <c r="D3">
        <v>50</v>
      </c>
      <c r="E3">
        <v>50</v>
      </c>
    </row>
    <row r="4" spans="1:6">
      <c r="A4">
        <v>3</v>
      </c>
      <c r="B4" s="2" t="s">
        <v>72</v>
      </c>
      <c r="C4" s="2" t="s">
        <v>108</v>
      </c>
      <c r="D4">
        <v>30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0E044-06B7-412D-BF37-D052E533FB30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46.75" style="1" customWidth="1"/>
    <col min="3" max="3" width="9.75" customWidth="1"/>
  </cols>
  <sheetData>
    <row r="1" spans="1:15">
      <c r="A1" s="2" t="s">
        <v>0</v>
      </c>
      <c r="B1" s="1">
        <v>2020</v>
      </c>
    </row>
    <row r="2" spans="1:15">
      <c r="A2" s="2" t="s">
        <v>2</v>
      </c>
      <c r="B2" s="3" t="s">
        <v>13</v>
      </c>
      <c r="D2">
        <f>SUM(D4:D1000)</f>
        <v>94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34</v>
      </c>
      <c r="B4" s="1" t="s">
        <v>36</v>
      </c>
      <c r="C4">
        <f>IF(B4&lt;&gt;"",LEN(B4),"")</f>
        <v>1</v>
      </c>
      <c r="D4">
        <f>E4*F4</f>
        <v>6</v>
      </c>
      <c r="E4">
        <v>6</v>
      </c>
      <c r="F4">
        <v>1</v>
      </c>
      <c r="G4" t="s">
        <v>14</v>
      </c>
      <c r="I4" t="s">
        <v>21</v>
      </c>
      <c r="K4" t="s">
        <v>28</v>
      </c>
      <c r="M4" t="s">
        <v>40</v>
      </c>
      <c r="O4" t="s">
        <v>54</v>
      </c>
    </row>
    <row r="5" spans="1:15" ht="37.5">
      <c r="A5" s="2" t="s">
        <v>37</v>
      </c>
      <c r="B5" s="1" t="s">
        <v>38</v>
      </c>
      <c r="C5">
        <f t="shared" ref="C5:C68" si="0">IF(B5&lt;&gt;"",LEN(B5),"")</f>
        <v>32</v>
      </c>
      <c r="D5">
        <f t="shared" ref="D5:D19" si="1">E5*F5</f>
        <v>0</v>
      </c>
      <c r="E5">
        <v>6</v>
      </c>
      <c r="F5">
        <v>0</v>
      </c>
      <c r="G5" t="s">
        <v>15</v>
      </c>
      <c r="I5" t="s">
        <v>22</v>
      </c>
      <c r="K5" t="s">
        <v>29</v>
      </c>
      <c r="M5" t="s">
        <v>41</v>
      </c>
      <c r="O5" t="s">
        <v>55</v>
      </c>
    </row>
    <row r="6" spans="1:15">
      <c r="A6" s="2" t="s">
        <v>39</v>
      </c>
      <c r="B6" s="1" t="s">
        <v>44</v>
      </c>
      <c r="C6">
        <f t="shared" si="0"/>
        <v>4</v>
      </c>
      <c r="D6">
        <f t="shared" si="1"/>
        <v>4</v>
      </c>
      <c r="E6">
        <v>4</v>
      </c>
      <c r="F6">
        <v>1</v>
      </c>
      <c r="G6" t="s">
        <v>16</v>
      </c>
      <c r="I6" t="s">
        <v>23</v>
      </c>
      <c r="K6" t="s">
        <v>30</v>
      </c>
      <c r="M6" t="s">
        <v>42</v>
      </c>
      <c r="O6" t="s">
        <v>60</v>
      </c>
    </row>
    <row r="7" spans="1:15">
      <c r="B7" s="1" t="s">
        <v>45</v>
      </c>
      <c r="C7">
        <f t="shared" si="0"/>
        <v>4</v>
      </c>
      <c r="D7">
        <f t="shared" si="1"/>
        <v>4</v>
      </c>
      <c r="E7">
        <v>4</v>
      </c>
      <c r="F7">
        <v>1</v>
      </c>
      <c r="G7" t="s">
        <v>17</v>
      </c>
      <c r="I7" t="s">
        <v>24</v>
      </c>
      <c r="K7" t="s">
        <v>31</v>
      </c>
      <c r="M7" t="s">
        <v>43</v>
      </c>
    </row>
    <row r="8" spans="1:15">
      <c r="B8" s="1" t="s">
        <v>46</v>
      </c>
      <c r="C8">
        <f t="shared" si="0"/>
        <v>4</v>
      </c>
      <c r="D8">
        <f t="shared" si="1"/>
        <v>4</v>
      </c>
      <c r="E8">
        <v>4</v>
      </c>
      <c r="F8">
        <v>1</v>
      </c>
      <c r="G8" t="s">
        <v>18</v>
      </c>
      <c r="I8" t="s">
        <v>25</v>
      </c>
      <c r="K8" t="s">
        <v>32</v>
      </c>
      <c r="M8" t="s">
        <v>51</v>
      </c>
    </row>
    <row r="9" spans="1:15">
      <c r="B9" s="1" t="s">
        <v>47</v>
      </c>
      <c r="C9">
        <f t="shared" si="0"/>
        <v>4</v>
      </c>
      <c r="D9">
        <f t="shared" si="1"/>
        <v>4</v>
      </c>
      <c r="E9">
        <v>4</v>
      </c>
      <c r="F9">
        <v>1</v>
      </c>
      <c r="G9" t="s">
        <v>19</v>
      </c>
      <c r="I9" t="s">
        <v>26</v>
      </c>
      <c r="K9" t="s">
        <v>33</v>
      </c>
      <c r="M9" t="s">
        <v>52</v>
      </c>
    </row>
    <row r="10" spans="1:15">
      <c r="B10" s="1" t="s">
        <v>48</v>
      </c>
      <c r="C10">
        <f t="shared" si="0"/>
        <v>4</v>
      </c>
      <c r="D10">
        <f t="shared" si="1"/>
        <v>4</v>
      </c>
      <c r="E10">
        <v>4</v>
      </c>
      <c r="F10">
        <v>1</v>
      </c>
      <c r="G10" t="s">
        <v>20</v>
      </c>
      <c r="I10" t="s">
        <v>27</v>
      </c>
      <c r="K10" t="s">
        <v>35</v>
      </c>
      <c r="M10" t="s">
        <v>53</v>
      </c>
    </row>
    <row r="11" spans="1:15">
      <c r="B11" s="1" t="s">
        <v>49</v>
      </c>
      <c r="C11">
        <f t="shared" si="0"/>
        <v>4</v>
      </c>
      <c r="D11">
        <f t="shared" si="1"/>
        <v>4</v>
      </c>
      <c r="E11">
        <v>4</v>
      </c>
      <c r="F11">
        <v>1</v>
      </c>
    </row>
    <row r="12" spans="1:15" ht="37.5">
      <c r="A12" s="2" t="s">
        <v>50</v>
      </c>
      <c r="B12" s="1" t="s">
        <v>56</v>
      </c>
      <c r="C12">
        <f t="shared" si="0"/>
        <v>25</v>
      </c>
      <c r="D12">
        <f t="shared" si="1"/>
        <v>6</v>
      </c>
      <c r="E12">
        <v>6</v>
      </c>
      <c r="F12">
        <v>1</v>
      </c>
    </row>
    <row r="13" spans="1:15" ht="37.5">
      <c r="A13" s="2" t="s">
        <v>57</v>
      </c>
      <c r="B13" s="1" t="s">
        <v>58</v>
      </c>
      <c r="C13">
        <f t="shared" si="0"/>
        <v>30</v>
      </c>
      <c r="D13">
        <f t="shared" si="1"/>
        <v>8</v>
      </c>
      <c r="E13">
        <v>8</v>
      </c>
      <c r="F13">
        <v>1</v>
      </c>
    </row>
    <row r="14" spans="1:15">
      <c r="A14" s="2" t="s">
        <v>59</v>
      </c>
      <c r="B14" s="1" t="s">
        <v>61</v>
      </c>
      <c r="C14">
        <f t="shared" si="0"/>
        <v>3</v>
      </c>
      <c r="D14">
        <f t="shared" si="1"/>
        <v>6</v>
      </c>
      <c r="E14">
        <v>6</v>
      </c>
      <c r="F14">
        <v>1</v>
      </c>
    </row>
    <row r="15" spans="1:15" ht="37.5">
      <c r="A15" s="2" t="s">
        <v>62</v>
      </c>
      <c r="B15" s="1" t="s">
        <v>63</v>
      </c>
      <c r="C15">
        <f t="shared" si="0"/>
        <v>31</v>
      </c>
      <c r="D15">
        <f t="shared" si="1"/>
        <v>10</v>
      </c>
      <c r="E15">
        <v>10</v>
      </c>
      <c r="F15">
        <v>1</v>
      </c>
    </row>
    <row r="16" spans="1:15">
      <c r="A16" s="2" t="s">
        <v>64</v>
      </c>
      <c r="B16" s="1" t="s">
        <v>65</v>
      </c>
      <c r="C16">
        <f t="shared" si="0"/>
        <v>18</v>
      </c>
      <c r="D16">
        <f t="shared" si="1"/>
        <v>8</v>
      </c>
      <c r="E16">
        <v>8</v>
      </c>
      <c r="F16">
        <v>1</v>
      </c>
    </row>
    <row r="17" spans="1:6">
      <c r="A17" s="2" t="s">
        <v>66</v>
      </c>
      <c r="B17" s="1" t="s">
        <v>67</v>
      </c>
      <c r="C17">
        <f t="shared" si="0"/>
        <v>15</v>
      </c>
      <c r="D17">
        <f t="shared" si="1"/>
        <v>8</v>
      </c>
      <c r="E17">
        <v>8</v>
      </c>
      <c r="F17">
        <v>1</v>
      </c>
    </row>
    <row r="18" spans="1:6">
      <c r="A18" s="2" t="s">
        <v>68</v>
      </c>
      <c r="B18" s="1" t="s">
        <v>69</v>
      </c>
      <c r="C18">
        <f t="shared" si="0"/>
        <v>19</v>
      </c>
      <c r="D18">
        <f t="shared" si="1"/>
        <v>8</v>
      </c>
      <c r="E18">
        <v>8</v>
      </c>
      <c r="F18">
        <v>1</v>
      </c>
    </row>
    <row r="19" spans="1:6">
      <c r="A19" s="2" t="s">
        <v>70</v>
      </c>
      <c r="B19" s="1" t="s">
        <v>71</v>
      </c>
      <c r="C19">
        <f t="shared" si="0"/>
        <v>24</v>
      </c>
      <c r="D19">
        <f t="shared" si="1"/>
        <v>10</v>
      </c>
      <c r="E19">
        <v>10</v>
      </c>
      <c r="F19">
        <v>1</v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E9972-FC6D-4EAC-BC54-D7C314C5E1AC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4.5" style="1" customWidth="1"/>
    <col min="3" max="3" width="9.75" customWidth="1"/>
  </cols>
  <sheetData>
    <row r="1" spans="1:11">
      <c r="A1" s="2" t="s">
        <v>0</v>
      </c>
      <c r="B1" s="1">
        <v>2020</v>
      </c>
    </row>
    <row r="2" spans="1:11">
      <c r="A2" s="2" t="s">
        <v>2</v>
      </c>
      <c r="B2" s="3" t="s">
        <v>75</v>
      </c>
      <c r="D2">
        <f>SUM(D4:D1000)</f>
        <v>50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34</v>
      </c>
      <c r="B4" s="1" t="s">
        <v>94</v>
      </c>
      <c r="C4">
        <f>IF(B4&lt;&gt;"",LEN(B4),"")</f>
        <v>22</v>
      </c>
      <c r="D4">
        <f>E4*F4</f>
        <v>6</v>
      </c>
      <c r="E4">
        <v>6</v>
      </c>
      <c r="F4">
        <v>1</v>
      </c>
      <c r="G4" t="s">
        <v>73</v>
      </c>
      <c r="I4" t="s">
        <v>83</v>
      </c>
      <c r="K4" t="s">
        <v>89</v>
      </c>
    </row>
    <row r="5" spans="1:11">
      <c r="B5" s="1" t="s">
        <v>95</v>
      </c>
      <c r="C5">
        <f t="shared" ref="C5:C68" si="0">IF(B5&lt;&gt;"",LEN(B5),"")</f>
        <v>18</v>
      </c>
      <c r="D5">
        <f t="shared" ref="D5:D14" si="1">E5*F5</f>
        <v>4</v>
      </c>
      <c r="E5">
        <v>4</v>
      </c>
      <c r="F5">
        <v>1</v>
      </c>
      <c r="G5" t="s">
        <v>76</v>
      </c>
      <c r="I5" t="s">
        <v>84</v>
      </c>
      <c r="K5" t="s">
        <v>90</v>
      </c>
    </row>
    <row r="6" spans="1:11">
      <c r="A6" s="2" t="s">
        <v>37</v>
      </c>
      <c r="B6" s="1" t="s">
        <v>96</v>
      </c>
      <c r="C6">
        <f t="shared" si="0"/>
        <v>23</v>
      </c>
      <c r="D6">
        <f t="shared" si="1"/>
        <v>6</v>
      </c>
      <c r="E6">
        <v>6</v>
      </c>
      <c r="F6">
        <v>1</v>
      </c>
      <c r="G6" t="s">
        <v>77</v>
      </c>
      <c r="I6" t="s">
        <v>85</v>
      </c>
      <c r="K6" t="s">
        <v>91</v>
      </c>
    </row>
    <row r="7" spans="1:11">
      <c r="A7" s="2" t="s">
        <v>97</v>
      </c>
      <c r="B7" s="1" t="s">
        <v>99</v>
      </c>
      <c r="C7">
        <f t="shared" si="0"/>
        <v>1</v>
      </c>
      <c r="D7">
        <f t="shared" si="1"/>
        <v>4</v>
      </c>
      <c r="E7">
        <v>4</v>
      </c>
      <c r="F7">
        <v>1</v>
      </c>
      <c r="G7" t="s">
        <v>78</v>
      </c>
      <c r="I7" t="s">
        <v>86</v>
      </c>
      <c r="K7" t="s">
        <v>92</v>
      </c>
    </row>
    <row r="8" spans="1:11">
      <c r="B8" s="1" t="s">
        <v>100</v>
      </c>
      <c r="C8">
        <f t="shared" si="0"/>
        <v>18</v>
      </c>
      <c r="D8">
        <f t="shared" si="1"/>
        <v>4</v>
      </c>
      <c r="E8">
        <v>4</v>
      </c>
      <c r="F8">
        <v>1</v>
      </c>
      <c r="G8" t="s">
        <v>79</v>
      </c>
      <c r="I8" t="s">
        <v>83</v>
      </c>
      <c r="K8" t="s">
        <v>77</v>
      </c>
    </row>
    <row r="9" spans="1:11">
      <c r="A9" s="2" t="s">
        <v>101</v>
      </c>
      <c r="B9" s="1" t="s">
        <v>104</v>
      </c>
      <c r="C9">
        <f t="shared" si="0"/>
        <v>4</v>
      </c>
      <c r="D9">
        <f t="shared" si="1"/>
        <v>4</v>
      </c>
      <c r="E9">
        <v>4</v>
      </c>
      <c r="F9">
        <v>1</v>
      </c>
      <c r="G9" t="s">
        <v>80</v>
      </c>
      <c r="I9" t="s">
        <v>87</v>
      </c>
      <c r="K9" t="s">
        <v>93</v>
      </c>
    </row>
    <row r="10" spans="1:11">
      <c r="B10" s="1" t="s">
        <v>103</v>
      </c>
      <c r="C10">
        <f t="shared" si="0"/>
        <v>7</v>
      </c>
      <c r="D10">
        <f t="shared" si="1"/>
        <v>4</v>
      </c>
      <c r="E10">
        <v>4</v>
      </c>
      <c r="F10">
        <v>1</v>
      </c>
      <c r="G10" t="s">
        <v>81</v>
      </c>
      <c r="I10" t="s">
        <v>88</v>
      </c>
      <c r="K10" t="s">
        <v>79</v>
      </c>
    </row>
    <row r="11" spans="1:11">
      <c r="B11" s="1" t="s">
        <v>102</v>
      </c>
      <c r="C11">
        <f t="shared" si="0"/>
        <v>4</v>
      </c>
      <c r="D11">
        <f t="shared" si="1"/>
        <v>4</v>
      </c>
      <c r="E11">
        <v>4</v>
      </c>
      <c r="F11">
        <v>1</v>
      </c>
      <c r="G11" t="s">
        <v>82</v>
      </c>
      <c r="I11" t="s">
        <v>78</v>
      </c>
      <c r="K11" t="s">
        <v>98</v>
      </c>
    </row>
    <row r="12" spans="1:11" ht="37.5">
      <c r="A12" s="2" t="s">
        <v>57</v>
      </c>
      <c r="B12" s="1" t="s">
        <v>105</v>
      </c>
      <c r="C12">
        <f t="shared" si="0"/>
        <v>29</v>
      </c>
      <c r="D12">
        <f t="shared" si="1"/>
        <v>6</v>
      </c>
      <c r="E12">
        <v>6</v>
      </c>
      <c r="F12">
        <v>1</v>
      </c>
    </row>
    <row r="13" spans="1:11">
      <c r="A13" s="2" t="s">
        <v>59</v>
      </c>
      <c r="B13" s="1" t="s">
        <v>106</v>
      </c>
      <c r="C13">
        <f t="shared" si="0"/>
        <v>3</v>
      </c>
      <c r="D13">
        <f t="shared" si="1"/>
        <v>4</v>
      </c>
      <c r="E13">
        <v>4</v>
      </c>
      <c r="F13">
        <v>1</v>
      </c>
    </row>
    <row r="14" spans="1:11">
      <c r="B14" s="1" t="s">
        <v>107</v>
      </c>
      <c r="C14">
        <f t="shared" si="0"/>
        <v>16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8CB3E-3A88-4703-8E58-99C9DFE2BBDF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4"/>
    </sheetView>
  </sheetViews>
  <sheetFormatPr defaultRowHeight="18.75"/>
  <cols>
    <col min="1" max="1" width="9" style="2"/>
    <col min="2" max="2" width="47" style="1" customWidth="1"/>
    <col min="3" max="3" width="9.75" customWidth="1"/>
  </cols>
  <sheetData>
    <row r="1" spans="1:11">
      <c r="A1" s="2" t="s">
        <v>0</v>
      </c>
      <c r="B1" s="1">
        <v>2020</v>
      </c>
    </row>
    <row r="2" spans="1:11">
      <c r="A2" s="2" t="s">
        <v>2</v>
      </c>
      <c r="B2" s="3" t="s">
        <v>109</v>
      </c>
      <c r="D2">
        <f>SUM(D4:D1000)</f>
        <v>30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34</v>
      </c>
      <c r="B4" s="1" t="s">
        <v>124</v>
      </c>
      <c r="C4">
        <f>IF(B4&lt;&gt;"",LEN(B4),"")</f>
        <v>27</v>
      </c>
      <c r="D4">
        <f>E4*F4</f>
        <v>6</v>
      </c>
      <c r="E4">
        <v>6</v>
      </c>
      <c r="F4">
        <v>1</v>
      </c>
      <c r="G4" t="s">
        <v>110</v>
      </c>
      <c r="I4" t="s">
        <v>116</v>
      </c>
      <c r="K4" t="s">
        <v>122</v>
      </c>
    </row>
    <row r="5" spans="1:11">
      <c r="A5" s="2" t="s">
        <v>37</v>
      </c>
      <c r="B5" s="1" t="s">
        <v>125</v>
      </c>
      <c r="C5">
        <f t="shared" ref="C5:C68" si="0">IF(B5&lt;&gt;"",LEN(B5),"")</f>
        <v>25</v>
      </c>
      <c r="D5">
        <f t="shared" ref="D5:D14" si="1">E5*F5</f>
        <v>6</v>
      </c>
      <c r="E5">
        <v>6</v>
      </c>
      <c r="F5">
        <v>1</v>
      </c>
      <c r="G5" t="s">
        <v>111</v>
      </c>
      <c r="I5" t="s">
        <v>117</v>
      </c>
      <c r="K5" t="s">
        <v>123</v>
      </c>
    </row>
    <row r="6" spans="1:11">
      <c r="A6" s="2" t="s">
        <v>39</v>
      </c>
      <c r="B6" s="1" t="s">
        <v>127</v>
      </c>
      <c r="C6">
        <f t="shared" si="0"/>
        <v>1</v>
      </c>
      <c r="D6">
        <f t="shared" si="1"/>
        <v>4</v>
      </c>
      <c r="E6">
        <v>4</v>
      </c>
      <c r="F6">
        <v>1</v>
      </c>
      <c r="G6" t="s">
        <v>112</v>
      </c>
      <c r="I6" t="s">
        <v>118</v>
      </c>
    </row>
    <row r="7" spans="1:11">
      <c r="A7" s="2" t="s">
        <v>97</v>
      </c>
      <c r="B7" s="1" t="s">
        <v>128</v>
      </c>
      <c r="C7">
        <f t="shared" si="0"/>
        <v>8</v>
      </c>
      <c r="D7">
        <f t="shared" si="1"/>
        <v>2</v>
      </c>
      <c r="E7">
        <v>4</v>
      </c>
      <c r="F7">
        <v>0.5</v>
      </c>
      <c r="G7" t="s">
        <v>113</v>
      </c>
      <c r="I7" t="s">
        <v>119</v>
      </c>
    </row>
    <row r="8" spans="1:11">
      <c r="A8" s="2" t="s">
        <v>101</v>
      </c>
      <c r="B8" s="1" t="s">
        <v>129</v>
      </c>
      <c r="C8">
        <f t="shared" si="0"/>
        <v>2</v>
      </c>
      <c r="D8">
        <f t="shared" si="1"/>
        <v>4</v>
      </c>
      <c r="E8">
        <v>4</v>
      </c>
      <c r="F8">
        <v>1</v>
      </c>
      <c r="G8" t="s">
        <v>114</v>
      </c>
      <c r="I8" t="s">
        <v>120</v>
      </c>
    </row>
    <row r="9" spans="1:11">
      <c r="B9" s="1" t="s">
        <v>130</v>
      </c>
      <c r="C9">
        <f t="shared" si="0"/>
        <v>4</v>
      </c>
      <c r="D9">
        <f t="shared" si="1"/>
        <v>4</v>
      </c>
      <c r="E9">
        <v>4</v>
      </c>
      <c r="F9">
        <v>1</v>
      </c>
      <c r="G9" t="s">
        <v>115</v>
      </c>
      <c r="I9" t="s">
        <v>121</v>
      </c>
    </row>
    <row r="10" spans="1:11">
      <c r="A10" s="2" t="s">
        <v>131</v>
      </c>
      <c r="B10" s="1" t="s">
        <v>132</v>
      </c>
      <c r="C10">
        <f t="shared" si="0"/>
        <v>3</v>
      </c>
      <c r="D10">
        <f t="shared" si="1"/>
        <v>0</v>
      </c>
      <c r="E10">
        <v>4</v>
      </c>
      <c r="F10">
        <v>0</v>
      </c>
      <c r="G10" t="s">
        <v>126</v>
      </c>
    </row>
    <row r="11" spans="1:11">
      <c r="B11" s="1" t="s">
        <v>133</v>
      </c>
      <c r="C11">
        <f t="shared" si="0"/>
        <v>25</v>
      </c>
      <c r="D11">
        <f t="shared" si="1"/>
        <v>0</v>
      </c>
      <c r="E11">
        <v>6</v>
      </c>
      <c r="F11">
        <v>0</v>
      </c>
    </row>
    <row r="12" spans="1:11">
      <c r="A12" s="2" t="s">
        <v>134</v>
      </c>
      <c r="B12" s="1" t="s">
        <v>135</v>
      </c>
      <c r="C12">
        <f t="shared" si="0"/>
        <v>9</v>
      </c>
      <c r="D12">
        <f t="shared" si="1"/>
        <v>0</v>
      </c>
      <c r="E12">
        <v>4</v>
      </c>
      <c r="F12">
        <v>0</v>
      </c>
    </row>
    <row r="13" spans="1:11">
      <c r="B13" s="1" t="s">
        <v>136</v>
      </c>
      <c r="C13">
        <f t="shared" si="0"/>
        <v>8</v>
      </c>
      <c r="D13">
        <f t="shared" si="1"/>
        <v>0</v>
      </c>
      <c r="E13">
        <v>4</v>
      </c>
      <c r="F13">
        <v>0</v>
      </c>
    </row>
    <row r="14" spans="1:11">
      <c r="B14" s="1" t="s">
        <v>137</v>
      </c>
      <c r="C14">
        <f t="shared" si="0"/>
        <v>4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2025-03-15T04:04:07Z</dcterms:modified>
</cp:coreProperties>
</file>