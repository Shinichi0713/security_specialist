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aga\Documents\Python Scripts\security_specialist\2025\6-client-security\"/>
    </mc:Choice>
  </mc:AlternateContent>
  <xr:revisionPtr revIDLastSave="0" documentId="13_ncr:1_{A249157B-4371-491E-9452-A9E322085549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レビュー" sheetId="2" r:id="rId1"/>
    <sheet name="format" sheetId="4" r:id="rId2"/>
    <sheet name="1" sheetId="5" r:id="rId3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7" i="5" l="1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2" i="5"/>
  <c r="D2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</calcChain>
</file>

<file path=xl/sharedStrings.xml><?xml version="1.0" encoding="utf-8"?>
<sst xmlns="http://schemas.openxmlformats.org/spreadsheetml/2006/main" count="52" uniqueCount="44">
  <si>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</si>
  <si>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</si>
  <si>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</si>
  <si>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</si>
  <si>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</si>
  <si>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</si>
  <si>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</si>
  <si>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</si>
  <si>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</si>
  <si>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</si>
  <si>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</si>
  <si>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</si>
  <si>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重点対策</t>
  </si>
  <si>
    <t>重点対策</t>
    <rPh sb="0" eb="2">
      <t>ジュウテン</t>
    </rPh>
    <rPh sb="2" eb="4">
      <t>タイサク</t>
    </rPh>
    <phoneticPr fontId="1"/>
  </si>
  <si>
    <t>6-1</t>
  </si>
  <si>
    <t>6-1</t>
    <phoneticPr fontId="1"/>
  </si>
  <si>
    <t>ゲームVの発売</t>
    <rPh sb="5" eb="7">
      <t>ハツバイ</t>
    </rPh>
    <phoneticPr fontId="1"/>
  </si>
  <si>
    <t>ゲームシステムV</t>
    <phoneticPr fontId="1"/>
  </si>
  <si>
    <t>通信プログラムはゲームサーバと認証サーバと通信する</t>
    <rPh sb="0" eb="2">
      <t>ツウシン</t>
    </rPh>
    <rPh sb="15" eb="17">
      <t>ニンショウ</t>
    </rPh>
    <rPh sb="21" eb="23">
      <t>ツウシン</t>
    </rPh>
    <phoneticPr fontId="1"/>
  </si>
  <si>
    <t>ゲームプログラムはサーバー上に存在</t>
    <rPh sb="13" eb="14">
      <t>ジョウ</t>
    </rPh>
    <rPh sb="15" eb="17">
      <t>ソンザイ</t>
    </rPh>
    <phoneticPr fontId="1"/>
  </si>
  <si>
    <t>各ゲームには固有ID</t>
    <rPh sb="0" eb="1">
      <t>カク</t>
    </rPh>
    <rPh sb="6" eb="8">
      <t>コユウ</t>
    </rPh>
    <phoneticPr fontId="1"/>
  </si>
  <si>
    <t>ゲームサーバごとに証明書を発行</t>
    <rPh sb="9" eb="12">
      <t>ショウメイショ</t>
    </rPh>
    <rPh sb="13" eb="15">
      <t>ハッコウ</t>
    </rPh>
    <phoneticPr fontId="1"/>
  </si>
  <si>
    <t>認証サーバーは認可もしてる</t>
    <rPh sb="0" eb="2">
      <t>ニンショウ</t>
    </rPh>
    <rPh sb="7" eb="9">
      <t>ニンカ</t>
    </rPh>
    <phoneticPr fontId="1"/>
  </si>
  <si>
    <t>認証トークンはFQDN、ID、MACが保管される</t>
    <rPh sb="0" eb="2">
      <t>ニンショウ</t>
    </rPh>
    <rPh sb="19" eb="21">
      <t>ホカン</t>
    </rPh>
    <phoneticPr fontId="1"/>
  </si>
  <si>
    <t>MACはFQDN＋ユーザーIDに共通鍵を組み合わせて生成</t>
    <rPh sb="16" eb="19">
      <t>キョウツウカギ</t>
    </rPh>
    <rPh sb="20" eb="21">
      <t>ク</t>
    </rPh>
    <rPh sb="22" eb="23">
      <t>ア</t>
    </rPh>
    <rPh sb="26" eb="28">
      <t>セイセイ</t>
    </rPh>
    <phoneticPr fontId="1"/>
  </si>
  <si>
    <t>１</t>
    <phoneticPr fontId="1"/>
  </si>
  <si>
    <t>エ</t>
    <phoneticPr fontId="1"/>
  </si>
  <si>
    <t>2-(1)</t>
    <phoneticPr fontId="1"/>
  </si>
  <si>
    <t>ゲームプログラムID</t>
    <phoneticPr fontId="1"/>
  </si>
  <si>
    <t>2-(2)</t>
    <phoneticPr fontId="1"/>
  </si>
  <si>
    <t>ゲームシステム全体で共通の鍵を利用しているため</t>
    <rPh sb="7" eb="9">
      <t>ゼンタイ</t>
    </rPh>
    <rPh sb="10" eb="12">
      <t>キョウツウ</t>
    </rPh>
    <rPh sb="13" eb="14">
      <t>カギ</t>
    </rPh>
    <rPh sb="15" eb="17">
      <t>リヨウ</t>
    </rPh>
    <phoneticPr fontId="1"/>
  </si>
  <si>
    <t>2-(3)</t>
    <phoneticPr fontId="1"/>
  </si>
  <si>
    <t>原因：共通鍵の設定はサーバー管理者が行うため。</t>
    <rPh sb="0" eb="2">
      <t>ゲンイン</t>
    </rPh>
    <rPh sb="3" eb="5">
      <t>キョウツウ</t>
    </rPh>
    <rPh sb="5" eb="6">
      <t>カギ</t>
    </rPh>
    <rPh sb="7" eb="9">
      <t>セッテイ</t>
    </rPh>
    <rPh sb="14" eb="17">
      <t>カンリシャ</t>
    </rPh>
    <rPh sb="18" eb="19">
      <t>オコナ</t>
    </rPh>
    <phoneticPr fontId="1"/>
  </si>
  <si>
    <t>範囲：ゲームサーバー内に管理されているゲームプログラム。</t>
    <rPh sb="0" eb="2">
      <t>ハンイ</t>
    </rPh>
    <rPh sb="10" eb="11">
      <t>ナイ</t>
    </rPh>
    <rPh sb="12" eb="14">
      <t>カンリ</t>
    </rPh>
    <phoneticPr fontId="1"/>
  </si>
  <si>
    <t>2-(4)</t>
    <phoneticPr fontId="1"/>
  </si>
  <si>
    <t>b:エ</t>
    <phoneticPr fontId="1"/>
  </si>
  <si>
    <t>a:オ</t>
    <phoneticPr fontId="1"/>
  </si>
  <si>
    <t>c:カ</t>
    <phoneticPr fontId="1"/>
  </si>
  <si>
    <t>2-(5)</t>
    <phoneticPr fontId="1"/>
  </si>
  <si>
    <t>SSDを取り出した上PCに接続して、記憶領域を読み取る</t>
    <rPh sb="4" eb="5">
      <t>ト</t>
    </rPh>
    <rPh sb="6" eb="7">
      <t>ダ</t>
    </rPh>
    <rPh sb="9" eb="10">
      <t>ウエ</t>
    </rPh>
    <rPh sb="13" eb="15">
      <t>セツゾク</t>
    </rPh>
    <rPh sb="18" eb="20">
      <t>キオク</t>
    </rPh>
    <rPh sb="20" eb="22">
      <t>リョウイキ</t>
    </rPh>
    <rPh sb="23" eb="24">
      <t>ヨ</t>
    </rPh>
    <rPh sb="25" eb="26">
      <t>ト</t>
    </rPh>
    <phoneticPr fontId="1"/>
  </si>
  <si>
    <t>2-(6)</t>
    <phoneticPr fontId="1"/>
  </si>
  <si>
    <t>耐タンパ性</t>
    <rPh sb="0" eb="1">
      <t>タイ</t>
    </rPh>
    <rPh sb="4" eb="5">
      <t>セイ</t>
    </rPh>
    <phoneticPr fontId="1"/>
  </si>
  <si>
    <t>3</t>
    <phoneticPr fontId="1"/>
  </si>
  <si>
    <t>ハッシュ値リストをTPMに保管し運用する</t>
    <rPh sb="4" eb="5">
      <t>アタイ</t>
    </rPh>
    <rPh sb="13" eb="15">
      <t>ホカン</t>
    </rPh>
    <rPh sb="16" eb="18">
      <t>ウンヨウ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</si>
</sst>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0" fontId="0" fillId="2" borderId="0" xfId="0" applyFill="1" applyAlignment="1">
      <alignment wrapText="1"/>
    </xf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2"/>
  <sheetViews>
    <sheetView tabSelected="1" workbookViewId="0">
      <selection activeCell="F8" sqref="F8"/>
    </sheetView>
  </sheetViews>
  <sheetFormatPr defaultRowHeight="18.75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s="2" t="s">
        <v>12</v>
      </c>
      <c r="C2" s="2" t="s">
        <v>14</v>
      </c>
      <c r="D2">
        <v>42</v>
      </c>
      <c r="E2">
        <v>50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.75"/>
  <cols>
    <col min="1" max="1" width="8.75" style="2"/>
    <col min="2" max="2" width="96.875" style="1" customWidth="1"/>
    <col min="3" max="3" width="9.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BDE6C-D73C-4138-9395-8AAE8EC3B680}">
  <sheetPr codeName="Sheet4"/>
  <dimension ref="A1:G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E17" sqref="E17"/>
    </sheetView>
  </sheetViews>
  <sheetFormatPr defaultRowHeight="18.75"/>
  <cols>
    <col min="1" max="1" width="9" style="2"/>
    <col min="2" max="2" width="96.875" style="1" customWidth="1"/>
    <col min="3" max="3" width="9.75" customWidth="1"/>
  </cols>
  <sheetData>
    <row r="1" spans="1:7">
      <c r="A1" s="2" t="s">
        <v>0</v>
      </c>
      <c r="B1" s="1" t="s">
        <v>13</v>
      </c>
    </row>
    <row r="2" spans="1:7">
      <c r="A2" s="2" t="s">
        <v>2</v>
      </c>
      <c r="B2" s="3" t="s">
        <v>15</v>
      </c>
      <c r="D2">
        <f>SUM(D4:D1000)</f>
        <v>42</v>
      </c>
      <c r="E2">
        <f>SUM(E4:E1000)</f>
        <v>50</v>
      </c>
    </row>
    <row r="3" spans="1:7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7">
      <c r="A4" s="2" t="s">
        <v>25</v>
      </c>
      <c r="B4" s="1" t="s">
        <v>26</v>
      </c>
      <c r="C4">
        <f>IF(B4&lt;&gt;"",LEN(B4),"")</f>
        <v>1</v>
      </c>
      <c r="D4">
        <v>4</v>
      </c>
      <c r="E4">
        <v>4</v>
      </c>
      <c r="G4" t="s">
        <v>16</v>
      </c>
    </row>
    <row r="5" spans="1:7">
      <c r="A5" s="2" t="s">
        <v>27</v>
      </c>
      <c r="B5" s="1" t="s">
        <v>28</v>
      </c>
      <c r="C5">
        <f t="shared" ref="C5:C68" si="0">IF(B5&lt;&gt;"",LEN(B5),"")</f>
        <v>10</v>
      </c>
      <c r="D5">
        <v>4</v>
      </c>
      <c r="E5">
        <v>4</v>
      </c>
      <c r="G5" t="s">
        <v>19</v>
      </c>
    </row>
    <row r="6" spans="1:7">
      <c r="A6" s="2" t="s">
        <v>29</v>
      </c>
      <c r="B6" s="4" t="s">
        <v>30</v>
      </c>
      <c r="C6" s="5">
        <f t="shared" si="0"/>
        <v>23</v>
      </c>
      <c r="D6" s="5">
        <v>3</v>
      </c>
      <c r="E6" s="5">
        <v>6</v>
      </c>
      <c r="G6" t="s">
        <v>17</v>
      </c>
    </row>
    <row r="7" spans="1:7">
      <c r="A7" s="2" t="s">
        <v>31</v>
      </c>
      <c r="B7" s="4" t="s">
        <v>32</v>
      </c>
      <c r="C7" s="5">
        <f t="shared" si="0"/>
        <v>23</v>
      </c>
      <c r="D7" s="5">
        <v>0</v>
      </c>
      <c r="E7" s="5">
        <v>5</v>
      </c>
      <c r="G7" t="s">
        <v>18</v>
      </c>
    </row>
    <row r="8" spans="1:7">
      <c r="B8" s="1" t="s">
        <v>33</v>
      </c>
      <c r="C8">
        <f t="shared" si="0"/>
        <v>28</v>
      </c>
      <c r="D8">
        <v>5</v>
      </c>
      <c r="E8">
        <v>5</v>
      </c>
      <c r="G8" t="s">
        <v>20</v>
      </c>
    </row>
    <row r="9" spans="1:7">
      <c r="A9" s="2" t="s">
        <v>34</v>
      </c>
      <c r="B9" s="1" t="s">
        <v>36</v>
      </c>
      <c r="C9">
        <f t="shared" si="0"/>
        <v>3</v>
      </c>
      <c r="D9">
        <v>3</v>
      </c>
      <c r="E9">
        <v>3</v>
      </c>
      <c r="G9" t="s">
        <v>21</v>
      </c>
    </row>
    <row r="10" spans="1:7">
      <c r="B10" s="1" t="s">
        <v>35</v>
      </c>
      <c r="C10">
        <f t="shared" si="0"/>
        <v>3</v>
      </c>
      <c r="D10">
        <v>3</v>
      </c>
      <c r="E10">
        <v>3</v>
      </c>
    </row>
    <row r="11" spans="1:7">
      <c r="B11" s="1" t="s">
        <v>37</v>
      </c>
      <c r="C11">
        <f t="shared" si="0"/>
        <v>3</v>
      </c>
      <c r="D11">
        <v>3</v>
      </c>
      <c r="E11">
        <v>3</v>
      </c>
      <c r="G11" t="s">
        <v>22</v>
      </c>
    </row>
    <row r="12" spans="1:7">
      <c r="A12" s="2" t="s">
        <v>38</v>
      </c>
      <c r="B12" s="1" t="s">
        <v>39</v>
      </c>
      <c r="C12">
        <f t="shared" si="0"/>
        <v>27</v>
      </c>
      <c r="D12">
        <v>6</v>
      </c>
      <c r="E12">
        <v>6</v>
      </c>
      <c r="G12" t="s">
        <v>23</v>
      </c>
    </row>
    <row r="13" spans="1:7">
      <c r="A13" s="2" t="s">
        <v>40</v>
      </c>
      <c r="B13" s="1" t="s">
        <v>41</v>
      </c>
      <c r="C13">
        <f t="shared" si="0"/>
        <v>5</v>
      </c>
      <c r="D13">
        <v>5</v>
      </c>
      <c r="E13">
        <v>5</v>
      </c>
      <c r="G13" t="s">
        <v>24</v>
      </c>
    </row>
    <row r="14" spans="1:7">
      <c r="A14" s="2" t="s">
        <v>42</v>
      </c>
      <c r="B14" s="1" t="s">
        <v>43</v>
      </c>
      <c r="C14">
        <f t="shared" si="0"/>
        <v>20</v>
      </c>
      <c r="D14">
        <v>6</v>
      </c>
      <c r="E14">
        <v>6</v>
      </c>
    </row>
    <row r="15" spans="1:7">
      <c r="C15" t="str">
        <f t="shared" si="0"/>
        <v/>
      </c>
    </row>
    <row r="16" spans="1:7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レビュー</vt:lpstr>
      <vt:lpstr>format</vt:lpstr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信一 吉永</cp:lastModifiedBy>
  <dcterms:created xsi:type="dcterms:W3CDTF">2015-06-05T18:19:34Z</dcterms:created>
  <dcterms:modified xsi:type="dcterms:W3CDTF">2025-01-05T04:48:39Z</dcterms:modified>
</cp:coreProperties>
</file>